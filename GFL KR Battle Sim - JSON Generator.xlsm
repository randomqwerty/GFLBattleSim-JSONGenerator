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4CF1FDFF-77F0-4740-A7F6-384D79377F98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" hidden="1">'Preset Teams'!$AR$2:$AU$158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Main!$E$9</definedName>
    <definedName name="gunScript">'Misc Inputs'!$C$50</definedName>
    <definedName name="HOCJSONPath">'Misc Inputs'!$C$38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253" i="2" l="1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AZ257" i="2"/>
  <c r="BA257" i="2"/>
  <c r="BB257" i="2"/>
  <c r="BC257" i="2"/>
  <c r="BD257" i="2"/>
  <c r="BE257" i="2"/>
  <c r="BF257" i="2"/>
  <c r="BG257" i="2"/>
  <c r="BH257" i="2"/>
  <c r="BI257" i="2"/>
  <c r="BJ257" i="2"/>
  <c r="BK257" i="2"/>
  <c r="BL257" i="2"/>
  <c r="BM257" i="2"/>
  <c r="BN257" i="2"/>
  <c r="BO257" i="2"/>
  <c r="BP257" i="2"/>
  <c r="BQ257" i="2"/>
  <c r="BR257" i="2"/>
  <c r="BS257" i="2"/>
  <c r="AZ258" i="2"/>
  <c r="BA258" i="2"/>
  <c r="BB258" i="2"/>
  <c r="BC258" i="2"/>
  <c r="BD258" i="2"/>
  <c r="BE258" i="2"/>
  <c r="BF258" i="2"/>
  <c r="BG258" i="2"/>
  <c r="BH258" i="2"/>
  <c r="BI258" i="2"/>
  <c r="BJ258" i="2"/>
  <c r="BK258" i="2"/>
  <c r="BL258" i="2"/>
  <c r="BM258" i="2"/>
  <c r="BN258" i="2"/>
  <c r="BO258" i="2"/>
  <c r="BP258" i="2"/>
  <c r="BQ258" i="2"/>
  <c r="BR258" i="2"/>
  <c r="BS258" i="2"/>
  <c r="AZ259" i="2"/>
  <c r="BA259" i="2"/>
  <c r="BB259" i="2"/>
  <c r="BC259" i="2"/>
  <c r="BD259" i="2"/>
  <c r="BE259" i="2"/>
  <c r="BF259" i="2"/>
  <c r="BG259" i="2"/>
  <c r="BH259" i="2"/>
  <c r="BI259" i="2"/>
  <c r="BJ259" i="2"/>
  <c r="BK259" i="2"/>
  <c r="BL259" i="2"/>
  <c r="BM259" i="2"/>
  <c r="BN259" i="2"/>
  <c r="BO259" i="2"/>
  <c r="BP259" i="2"/>
  <c r="BQ259" i="2"/>
  <c r="BR259" i="2"/>
  <c r="BS259" i="2"/>
  <c r="AZ260" i="2"/>
  <c r="BA260" i="2"/>
  <c r="BB260" i="2"/>
  <c r="BC260" i="2"/>
  <c r="BD260" i="2"/>
  <c r="BE260" i="2"/>
  <c r="BF260" i="2"/>
  <c r="BG260" i="2"/>
  <c r="BH260" i="2"/>
  <c r="BI260" i="2"/>
  <c r="BJ260" i="2"/>
  <c r="BK260" i="2"/>
  <c r="BL260" i="2"/>
  <c r="BM260" i="2"/>
  <c r="BN260" i="2"/>
  <c r="BO260" i="2"/>
  <c r="BP260" i="2"/>
  <c r="BQ260" i="2"/>
  <c r="BR260" i="2"/>
  <c r="BS260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AZ311" i="2"/>
  <c r="BA311" i="2"/>
  <c r="BB311" i="2"/>
  <c r="BC311" i="2"/>
  <c r="BD311" i="2"/>
  <c r="BE311" i="2"/>
  <c r="BF311" i="2"/>
  <c r="BG311" i="2"/>
  <c r="BH311" i="2"/>
  <c r="BI311" i="2"/>
  <c r="BJ311" i="2"/>
  <c r="BK311" i="2"/>
  <c r="BL311" i="2"/>
  <c r="BM311" i="2"/>
  <c r="BN311" i="2"/>
  <c r="BO311" i="2"/>
  <c r="BP311" i="2"/>
  <c r="BQ311" i="2"/>
  <c r="BR311" i="2"/>
  <c r="BS311" i="2"/>
  <c r="AZ312" i="2"/>
  <c r="BA312" i="2"/>
  <c r="BB312" i="2"/>
  <c r="BC312" i="2"/>
  <c r="BD312" i="2"/>
  <c r="BE312" i="2"/>
  <c r="BF312" i="2"/>
  <c r="BG312" i="2"/>
  <c r="BH312" i="2"/>
  <c r="BI312" i="2"/>
  <c r="BJ312" i="2"/>
  <c r="BK312" i="2"/>
  <c r="BL312" i="2"/>
  <c r="BM312" i="2"/>
  <c r="BN312" i="2"/>
  <c r="BO312" i="2"/>
  <c r="BP312" i="2"/>
  <c r="BQ312" i="2"/>
  <c r="BR312" i="2"/>
  <c r="BS312" i="2"/>
  <c r="AZ313" i="2"/>
  <c r="BA313" i="2"/>
  <c r="BB313" i="2"/>
  <c r="BC313" i="2"/>
  <c r="BD313" i="2"/>
  <c r="BE313" i="2"/>
  <c r="BF313" i="2"/>
  <c r="BG313" i="2"/>
  <c r="BH313" i="2"/>
  <c r="BI313" i="2"/>
  <c r="BJ313" i="2"/>
  <c r="BK313" i="2"/>
  <c r="BL313" i="2"/>
  <c r="BM313" i="2"/>
  <c r="BN313" i="2"/>
  <c r="BO313" i="2"/>
  <c r="BP313" i="2"/>
  <c r="BQ313" i="2"/>
  <c r="BR313" i="2"/>
  <c r="BS313" i="2"/>
  <c r="AZ314" i="2"/>
  <c r="BA314" i="2"/>
  <c r="BB314" i="2"/>
  <c r="BC314" i="2"/>
  <c r="BD314" i="2"/>
  <c r="BE314" i="2"/>
  <c r="BF314" i="2"/>
  <c r="BG314" i="2"/>
  <c r="BH314" i="2"/>
  <c r="BI314" i="2"/>
  <c r="BJ314" i="2"/>
  <c r="BK314" i="2"/>
  <c r="BL314" i="2"/>
  <c r="BM314" i="2"/>
  <c r="BN314" i="2"/>
  <c r="BO314" i="2"/>
  <c r="BP314" i="2"/>
  <c r="BQ314" i="2"/>
  <c r="BR314" i="2"/>
  <c r="BS314" i="2"/>
  <c r="AZ315" i="2"/>
  <c r="BA315" i="2"/>
  <c r="BB315" i="2"/>
  <c r="BC315" i="2"/>
  <c r="BD315" i="2"/>
  <c r="BE315" i="2"/>
  <c r="BF315" i="2"/>
  <c r="BG315" i="2"/>
  <c r="BH315" i="2"/>
  <c r="BI315" i="2"/>
  <c r="BJ315" i="2"/>
  <c r="BK315" i="2"/>
  <c r="BL315" i="2"/>
  <c r="BM315" i="2"/>
  <c r="BN315" i="2"/>
  <c r="BO315" i="2"/>
  <c r="BP315" i="2"/>
  <c r="BQ315" i="2"/>
  <c r="BR315" i="2"/>
  <c r="BS315" i="2"/>
  <c r="AZ316" i="2"/>
  <c r="BA316" i="2"/>
  <c r="BB316" i="2"/>
  <c r="BC316" i="2"/>
  <c r="BD316" i="2"/>
  <c r="BE316" i="2"/>
  <c r="BF316" i="2"/>
  <c r="BG316" i="2"/>
  <c r="BH316" i="2"/>
  <c r="BI316" i="2"/>
  <c r="BJ316" i="2"/>
  <c r="BK316" i="2"/>
  <c r="BL316" i="2"/>
  <c r="BM316" i="2"/>
  <c r="BN316" i="2"/>
  <c r="BO316" i="2"/>
  <c r="BP316" i="2"/>
  <c r="BQ316" i="2"/>
  <c r="BR316" i="2"/>
  <c r="BS316" i="2"/>
  <c r="AZ317" i="2"/>
  <c r="BA317" i="2"/>
  <c r="BB317" i="2"/>
  <c r="BC317" i="2"/>
  <c r="BD317" i="2"/>
  <c r="BE317" i="2"/>
  <c r="BF317" i="2"/>
  <c r="BG317" i="2"/>
  <c r="BH317" i="2"/>
  <c r="BI317" i="2"/>
  <c r="BJ317" i="2"/>
  <c r="BK317" i="2"/>
  <c r="BL317" i="2"/>
  <c r="BM317" i="2"/>
  <c r="BN317" i="2"/>
  <c r="BO317" i="2"/>
  <c r="BP317" i="2"/>
  <c r="BQ317" i="2"/>
  <c r="BR317" i="2"/>
  <c r="BS317" i="2"/>
  <c r="AZ318" i="2"/>
  <c r="BA318" i="2"/>
  <c r="BB318" i="2"/>
  <c r="BC318" i="2"/>
  <c r="BD318" i="2"/>
  <c r="BE318" i="2"/>
  <c r="BF318" i="2"/>
  <c r="BG318" i="2"/>
  <c r="BH318" i="2"/>
  <c r="BI318" i="2"/>
  <c r="BJ318" i="2"/>
  <c r="BK318" i="2"/>
  <c r="BL318" i="2"/>
  <c r="BM318" i="2"/>
  <c r="BN318" i="2"/>
  <c r="BO318" i="2"/>
  <c r="BP318" i="2"/>
  <c r="BQ318" i="2"/>
  <c r="BR318" i="2"/>
  <c r="BS318" i="2"/>
  <c r="AZ319" i="2"/>
  <c r="BA319" i="2"/>
  <c r="BB319" i="2"/>
  <c r="BC319" i="2"/>
  <c r="BD319" i="2"/>
  <c r="BE319" i="2"/>
  <c r="BF319" i="2"/>
  <c r="BG319" i="2"/>
  <c r="BH319" i="2"/>
  <c r="BI319" i="2"/>
  <c r="BJ319" i="2"/>
  <c r="BK319" i="2"/>
  <c r="BL319" i="2"/>
  <c r="BM319" i="2"/>
  <c r="BN319" i="2"/>
  <c r="BO319" i="2"/>
  <c r="BP319" i="2"/>
  <c r="BQ319" i="2"/>
  <c r="BR319" i="2"/>
  <c r="BS319" i="2"/>
  <c r="AZ320" i="2"/>
  <c r="BA320" i="2"/>
  <c r="BB320" i="2"/>
  <c r="BC320" i="2"/>
  <c r="BD320" i="2"/>
  <c r="BE320" i="2"/>
  <c r="BF320" i="2"/>
  <c r="BG320" i="2"/>
  <c r="BH320" i="2"/>
  <c r="BI320" i="2"/>
  <c r="BJ320" i="2"/>
  <c r="BK320" i="2"/>
  <c r="BL320" i="2"/>
  <c r="BM320" i="2"/>
  <c r="BN320" i="2"/>
  <c r="BO320" i="2"/>
  <c r="BP320" i="2"/>
  <c r="BQ320" i="2"/>
  <c r="BR320" i="2"/>
  <c r="BS320" i="2"/>
  <c r="AZ321" i="2"/>
  <c r="BA321" i="2"/>
  <c r="BB321" i="2"/>
  <c r="BC321" i="2"/>
  <c r="BD321" i="2"/>
  <c r="BE321" i="2"/>
  <c r="BF321" i="2"/>
  <c r="BG321" i="2"/>
  <c r="BH321" i="2"/>
  <c r="BI321" i="2"/>
  <c r="BJ321" i="2"/>
  <c r="BK321" i="2"/>
  <c r="BL321" i="2"/>
  <c r="BM321" i="2"/>
  <c r="BN321" i="2"/>
  <c r="BO321" i="2"/>
  <c r="BP321" i="2"/>
  <c r="BQ321" i="2"/>
  <c r="BR321" i="2"/>
  <c r="BS321" i="2"/>
  <c r="AZ322" i="2"/>
  <c r="BA322" i="2"/>
  <c r="BB322" i="2"/>
  <c r="BC322" i="2"/>
  <c r="BD322" i="2"/>
  <c r="BE322" i="2"/>
  <c r="BF322" i="2"/>
  <c r="BG322" i="2"/>
  <c r="BH322" i="2"/>
  <c r="BI322" i="2"/>
  <c r="BJ322" i="2"/>
  <c r="BK322" i="2"/>
  <c r="BL322" i="2"/>
  <c r="BM322" i="2"/>
  <c r="BN322" i="2"/>
  <c r="BO322" i="2"/>
  <c r="BP322" i="2"/>
  <c r="BQ322" i="2"/>
  <c r="BR322" i="2"/>
  <c r="BS322" i="2"/>
  <c r="AZ323" i="2"/>
  <c r="BA323" i="2"/>
  <c r="BB323" i="2"/>
  <c r="BC323" i="2"/>
  <c r="BD323" i="2"/>
  <c r="BE323" i="2"/>
  <c r="BF323" i="2"/>
  <c r="BG323" i="2"/>
  <c r="BH323" i="2"/>
  <c r="BI323" i="2"/>
  <c r="BJ323" i="2"/>
  <c r="BK323" i="2"/>
  <c r="BL323" i="2"/>
  <c r="BM323" i="2"/>
  <c r="BN323" i="2"/>
  <c r="BO323" i="2"/>
  <c r="BP323" i="2"/>
  <c r="BQ323" i="2"/>
  <c r="BR323" i="2"/>
  <c r="BS323" i="2"/>
  <c r="AZ324" i="2"/>
  <c r="BA324" i="2"/>
  <c r="BB324" i="2"/>
  <c r="BC324" i="2"/>
  <c r="BD324" i="2"/>
  <c r="BE324" i="2"/>
  <c r="BF324" i="2"/>
  <c r="BG324" i="2"/>
  <c r="BH324" i="2"/>
  <c r="BI324" i="2"/>
  <c r="BJ324" i="2"/>
  <c r="BK324" i="2"/>
  <c r="BL324" i="2"/>
  <c r="BM324" i="2"/>
  <c r="BN324" i="2"/>
  <c r="BO324" i="2"/>
  <c r="BP324" i="2"/>
  <c r="BQ324" i="2"/>
  <c r="BR324" i="2"/>
  <c r="BS324" i="2"/>
  <c r="AZ325" i="2"/>
  <c r="BA325" i="2"/>
  <c r="BB325" i="2"/>
  <c r="BC325" i="2"/>
  <c r="BD325" i="2"/>
  <c r="BE325" i="2"/>
  <c r="BF325" i="2"/>
  <c r="BG325" i="2"/>
  <c r="BH325" i="2"/>
  <c r="BI325" i="2"/>
  <c r="BJ325" i="2"/>
  <c r="BK325" i="2"/>
  <c r="BL325" i="2"/>
  <c r="BM325" i="2"/>
  <c r="BN325" i="2"/>
  <c r="BO325" i="2"/>
  <c r="BP325" i="2"/>
  <c r="BQ325" i="2"/>
  <c r="BR325" i="2"/>
  <c r="BS325" i="2"/>
  <c r="AZ326" i="2"/>
  <c r="BA326" i="2"/>
  <c r="BB326" i="2"/>
  <c r="BC326" i="2"/>
  <c r="BD326" i="2"/>
  <c r="BE326" i="2"/>
  <c r="BF326" i="2"/>
  <c r="BG326" i="2"/>
  <c r="BH326" i="2"/>
  <c r="BI326" i="2"/>
  <c r="BJ326" i="2"/>
  <c r="BK326" i="2"/>
  <c r="BL326" i="2"/>
  <c r="BM326" i="2"/>
  <c r="BN326" i="2"/>
  <c r="BO326" i="2"/>
  <c r="BP326" i="2"/>
  <c r="BQ326" i="2"/>
  <c r="BR326" i="2"/>
  <c r="BS326" i="2"/>
  <c r="AZ327" i="2"/>
  <c r="BA327" i="2"/>
  <c r="BB327" i="2"/>
  <c r="BC327" i="2"/>
  <c r="BD327" i="2"/>
  <c r="BE327" i="2"/>
  <c r="BF327" i="2"/>
  <c r="BG327" i="2"/>
  <c r="BH327" i="2"/>
  <c r="BI327" i="2"/>
  <c r="BJ327" i="2"/>
  <c r="BK327" i="2"/>
  <c r="BL327" i="2"/>
  <c r="BM327" i="2"/>
  <c r="BN327" i="2"/>
  <c r="BO327" i="2"/>
  <c r="BP327" i="2"/>
  <c r="BQ327" i="2"/>
  <c r="BR327" i="2"/>
  <c r="BS327" i="2"/>
  <c r="AZ328" i="2"/>
  <c r="BA328" i="2"/>
  <c r="BB328" i="2"/>
  <c r="BC328" i="2"/>
  <c r="BD328" i="2"/>
  <c r="BE328" i="2"/>
  <c r="BF328" i="2"/>
  <c r="BG328" i="2"/>
  <c r="BH328" i="2"/>
  <c r="BI328" i="2"/>
  <c r="BJ328" i="2"/>
  <c r="BK328" i="2"/>
  <c r="BL328" i="2"/>
  <c r="BM328" i="2"/>
  <c r="BN328" i="2"/>
  <c r="BO328" i="2"/>
  <c r="BP328" i="2"/>
  <c r="BQ328" i="2"/>
  <c r="BR328" i="2"/>
  <c r="BS328" i="2"/>
  <c r="AZ329" i="2"/>
  <c r="BA329" i="2"/>
  <c r="BB329" i="2"/>
  <c r="BC329" i="2"/>
  <c r="BD329" i="2"/>
  <c r="BE329" i="2"/>
  <c r="BF329" i="2"/>
  <c r="BG329" i="2"/>
  <c r="BH329" i="2"/>
  <c r="BI329" i="2"/>
  <c r="BJ329" i="2"/>
  <c r="BK329" i="2"/>
  <c r="BL329" i="2"/>
  <c r="BM329" i="2"/>
  <c r="BN329" i="2"/>
  <c r="BO329" i="2"/>
  <c r="BP329" i="2"/>
  <c r="BQ329" i="2"/>
  <c r="BR329" i="2"/>
  <c r="BS329" i="2"/>
  <c r="AZ330" i="2"/>
  <c r="BA330" i="2"/>
  <c r="BB330" i="2"/>
  <c r="BC330" i="2"/>
  <c r="BD330" i="2"/>
  <c r="BE330" i="2"/>
  <c r="BF330" i="2"/>
  <c r="BG330" i="2"/>
  <c r="BH330" i="2"/>
  <c r="BI330" i="2"/>
  <c r="BJ330" i="2"/>
  <c r="BK330" i="2"/>
  <c r="BL330" i="2"/>
  <c r="BM330" i="2"/>
  <c r="BN330" i="2"/>
  <c r="BO330" i="2"/>
  <c r="BP330" i="2"/>
  <c r="BQ330" i="2"/>
  <c r="BR330" i="2"/>
  <c r="BS330" i="2"/>
  <c r="AZ331" i="2"/>
  <c r="BA331" i="2"/>
  <c r="BB331" i="2"/>
  <c r="BC331" i="2"/>
  <c r="BD331" i="2"/>
  <c r="BE331" i="2"/>
  <c r="BF331" i="2"/>
  <c r="BG331" i="2"/>
  <c r="BH331" i="2"/>
  <c r="BI331" i="2"/>
  <c r="BJ331" i="2"/>
  <c r="BK331" i="2"/>
  <c r="BL331" i="2"/>
  <c r="BM331" i="2"/>
  <c r="BN331" i="2"/>
  <c r="BO331" i="2"/>
  <c r="BP331" i="2"/>
  <c r="BQ331" i="2"/>
  <c r="BR331" i="2"/>
  <c r="BS331" i="2"/>
  <c r="AZ332" i="2"/>
  <c r="BA332" i="2"/>
  <c r="BB332" i="2"/>
  <c r="BC332" i="2"/>
  <c r="BD332" i="2"/>
  <c r="BE332" i="2"/>
  <c r="BF332" i="2"/>
  <c r="BG332" i="2"/>
  <c r="BH332" i="2"/>
  <c r="BI332" i="2"/>
  <c r="BJ332" i="2"/>
  <c r="BK332" i="2"/>
  <c r="BL332" i="2"/>
  <c r="BM332" i="2"/>
  <c r="BN332" i="2"/>
  <c r="BO332" i="2"/>
  <c r="BP332" i="2"/>
  <c r="BQ332" i="2"/>
  <c r="BR332" i="2"/>
  <c r="BS332" i="2"/>
  <c r="AZ333" i="2"/>
  <c r="BA333" i="2"/>
  <c r="BB333" i="2"/>
  <c r="BC333" i="2"/>
  <c r="BD333" i="2"/>
  <c r="BE333" i="2"/>
  <c r="BF333" i="2"/>
  <c r="BG333" i="2"/>
  <c r="BH333" i="2"/>
  <c r="BI333" i="2"/>
  <c r="BJ333" i="2"/>
  <c r="BK333" i="2"/>
  <c r="BL333" i="2"/>
  <c r="BM333" i="2"/>
  <c r="BN333" i="2"/>
  <c r="BO333" i="2"/>
  <c r="BP333" i="2"/>
  <c r="BQ333" i="2"/>
  <c r="BR333" i="2"/>
  <c r="BS333" i="2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6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<sst xmlns="http://schemas.openxmlformats.org/spreadsheetml/2006/main" count="24010" uniqueCount="7215">
  <si>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</si>
  <si>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</si>
  <si>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</si>
  <si>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</si>
  <si>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</si>
  <si>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</si>
  <si>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</si>
  <si>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</si>
  <si>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</si>
  <si>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</si>
  <si>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</si>
  <si>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</si>
  <si>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</si>
  <si>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</si>
  <si>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</si>
  <si>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</si>
  <si>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</si>
  <si>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</si>
  <si>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</si>
  <si>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</si>
  <si>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</si>
  <si>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</si>
  <si>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</si>
  <si>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</si>
  <si>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</si>
  <si>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</si>
  <si>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</si>
  <si>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</si>
  <si>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</si>
  <si>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</si>
  <si>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</si>
  <si>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</si>
  <si>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</si>
  <si>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</si>
  <si>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</si>
  <si>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</si>
  <si>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</si>
  <si>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</si>
  <si>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</si>
  <si>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</si>
  <si>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</si>
  <si>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</si>
  <si>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</si>
  <si>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</si>
  <si>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</si>
  <si>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</si>
  <si>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</si>
  <si>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</si>
  <si>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</si>
  <si>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</si>
  <si>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</si>
  <si>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</si>
  <si>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</si>
  <si>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</si>
  <si>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</si>
  <si>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</si>
  <si>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</si>
  <si>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</si>
  <si>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</si>
  <si>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</si>
  <si>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</si>
  <si>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</si>
  <si>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</si>
  <si>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</si>
  <si>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</si>
  <si>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</si>
  <si>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</si>
  <si>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</si>
  <si>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</si>
  <si>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</si>
  <si>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</si>
  <si>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</si>
  <si>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</si>
  <si>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</si>
  <si>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</si>
  <si>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</si>
  <si>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</si>
  <si>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</si>
  <si>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</si>
  <si>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</si>
  <si>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</si>
  <si>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</si>
  <si>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</si>
  <si>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</si>
  <si>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</si>
  <si>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</si>
  <si>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</si>
  <si>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</si>
  <si>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</si>
  <si>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</si>
  <si>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</si>
  <si>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</si>
  <si>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</si>
  <si>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</si>
  <si>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</si>
  <si>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</si>
  <si>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</si>
  <si>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</si>
  <si>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</si>
  <si>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</si>
  <si>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</si>
  <si>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</si>
  <si>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</si>
  <si>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</si>
  <si>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</si>
  <si>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</si>
  <si>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</si>
  <si>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</si>
  <si>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</si>
  <si>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</si>
  <si>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</si>
  <si>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</si>
  <si>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</si>
  <si>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</si>
  <si>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</si>
  <si>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</si>
  <si>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</si>
  <si>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</si>
  <si>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</si>
  <si>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</si>
  <si>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</si>
  <si>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</si>
  <si>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</si>
  <si>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</si>
  <si>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</si>
  <si>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</si>
  <si>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</si>
  <si>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</si>
  <si>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</si>
  <si>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</si>
  <si>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</si>
  <si>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</si>
  <si>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</si>
  <si>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</si>
  <si>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</si>
  <si>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</si>
  <si>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</si>
  <si>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</si>
  <si>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</si>
  <si>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</si>
  <si>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</si>
  <si>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</si>
  <si>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</si>
  <si>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</si>
  <si>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</si>
  <si>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</si>
  <si>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</si>
  <si>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</si>
  <si>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</si>
  <si>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</si>
  <si>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</si>
  <si>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</si>
  <si>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</si>
  <si>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</si>
  <si>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</si>
  <si>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</si>
  <si>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</si>
  <si>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</si>
  <si>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</si>
  <si>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</si>
  <si>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</si>
  <si>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</si>
  <si>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</si>
  <si>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</si>
  <si>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</si>
  <si>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</si>
  <si>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</si>
  <si>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</si>
  <si>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</si>
  <si>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</si>
  <si>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</si>
  <si>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</si>
  <si>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</si>
  <si>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</si>
  <si>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</si>
  <si>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</si>
  <si>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</si>
  <si>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</si>
  <si>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</si>
  <si>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</si>
  <si>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</si>
  <si>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</si>
  <si>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</si>
  <si>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</si>
  <si>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</si>
  <si>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</si>
  <si>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</si>
  <si>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</si>
  <si>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</si>
  <si>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</si>
  <si>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</si>
  <si>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</si>
  <si>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</si>
  <si>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</si>
  <si>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</si>
  <si>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</si>
  <si>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</si>
  <si>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</si>
  <si>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</si>
  <si>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</si>
  <si>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</si>
  <si>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</si>
  <si>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</si>
  <si>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</si>
  <si>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</si>
  <si>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</si>
  <si>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</si>
  <si>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</si>
  <si>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</si>
  <si>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</si>
  <si>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</si>
  <si>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</si>
  <si>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</si>
  <si>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</si>
  <si>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</si>
  <si>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</si>
  <si>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</si>
  <si>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</si>
  <si>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</si>
  <si>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</si>
  <si>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</si>
  <si>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</si>
  <si>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</si>
  <si>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</si>
  <si>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</si>
  <si>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</si>
  <si>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</si>
  <si>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</si>
  <si>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</si>
  <si>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</si>
  <si>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</si>
  <si>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</si>
  <si>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</si>
  <si>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</si>
  <si>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</si>
  <si>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</si>
  <si>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</si>
  <si>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</si>
  <si>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</si>
  <si>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</si>
  <si>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</si>
  <si>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</si>
  <si>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</si>
  <si>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</si>
  <si>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</si>
  <si>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</si>
  <si>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</si>
  <si>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</si>
  <si>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</si>
  <si>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</si>
  <si>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</si>
  <si>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</si>
  <si>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</si>
  <si>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</si>
  <si>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</si>
  <si>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</si>
  <si>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</si>
  <si>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</si>
  <si>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</si>
  <si>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</si>
  <si>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</si>
  <si>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</si>
  <si>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</si>
  <si>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</si>
  <si>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</si>
  <si>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</si>
  <si>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</si>
  <si>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</si>
  <si>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</si>
  <si>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</si>
  <si>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</si>
  <si>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</si>
  <si>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</si>
  <si>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</si>
  <si>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</si>
  <si>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</si>
  <si>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</si>
  <si>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</si>
  <si>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</si>
  <si>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</si>
  <si>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</si>
  <si>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</si>
  <si>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</si>
  <si>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</si>
  <si>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</si>
  <si>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</si>
  <si>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</si>
  <si>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</si>
  <si>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</si>
  <si>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</si>
  <si>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</si>
  <si>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</si>
  <si>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</si>
  <si>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</si>
  <si>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</si>
  <si>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</si>
  <si>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</si>
  <si>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</si>
  <si>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</si>
  <si>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</si>
  <si>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</si>
  <si>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</si>
  <si>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</si>
  <si>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</si>
  <si>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</si>
  <si>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</si>
  <si>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</si>
  <si>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</si>
  <si>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</si>
  <si>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</si>
  <si>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</si>
  <si>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</si>
  <si>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</si>
  <si>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</si>
  <si>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</si>
  <si>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</si>
  <si>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</si>
  <si>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</si>
  <si>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</si>
  <si>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</si>
  <si>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</si>
  <si>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</si>
  <si>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</si>
  <si>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</si>
  <si>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</si>
  <si>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</si>
  <si>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</si>
  <si>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</si>
  <si>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</si>
  <si>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</si>
  <si>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</si>
  <si>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</si>
  <si>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</si>
  <si>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</si>
  <si>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</si>
  <si>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</si>
  <si>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</si>
  <si>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</si>
  <si>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</si>
  <si>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</si>
  <si>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</si>
  <si>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</si>
  <si>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</si>
  <si>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</si>
  <si>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</si>
  <si>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</si>
  <si>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</si>
  <si>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</si>
  <si>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</si>
  <si>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</si>
  <si>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</si>
  <si>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</si>
  <si>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</si>
  <si>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</si>
  <si>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</si>
  <si>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</si>
  <si>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</si>
  <si>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</si>
  <si>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</si>
  <si>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</si>
  <si>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</si>
  <si>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</si>
  <si>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</si>
  <si>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</si>
  <si>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</si>
  <si>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</si>
  <si>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</si>
  <si>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</si>
  <si>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</si>
  <si>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</si>
  <si>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</si>
  <si>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</si>
  <si>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</si>
  <si>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</si>
  <si>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</si>
  <si>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</si>
  <si>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</si>
  <si>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</si>
  <si>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</si>
  <si>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</si>
  <si>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</si>
  <si>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</si>
  <si>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</si>
  <si>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</si>
  <si>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</si>
  <si>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</si>
  <si>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</si>
  <si>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</si>
  <si>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</si>
  <si>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</si>
  <si>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</si>
  <si>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</si>
  <si>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</si>
  <si>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</si>
  <si>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</si>
  <si>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</si>
  <si>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</si>
  <si>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</si>
  <si>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</si>
  <si>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</si>
  <si>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</si>
  <si>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</si>
  <si>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</si>
  <si>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</si>
  <si>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</si>
  <si>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</si>
  <si>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</si>
  <si>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</si>
  <si>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</si>
  <si>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</si>
  <si>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</si>
  <si>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</si>
  <si>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</si>
  <si>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</si>
  <si>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</si>
  <si>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</si>
  <si>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</si>
  <si>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</si>
  <si>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</si>
  <si>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</si>
  <si>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</si>
  <si>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</si>
  <si>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</si>
  <si>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</si>
  <si>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</si>
  <si>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</si>
  <si>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</si>
  <si>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</si>
  <si>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</si>
  <si>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</si>
  <si>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</si>
  <si>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</si>
  <si>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</si>
  <si>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</si>
  <si>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</si>
  <si>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</si>
  <si>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</si>
  <si>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</si>
  <si>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</si>
  <si>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</si>
  <si>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</si>
  <si>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</si>
  <si>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</si>
  <si>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</si>
  <si>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</si>
  <si>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</si>
  <si>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</si>
  <si>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</si>
  <si>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</si>
  <si>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</si>
  <si>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</si>
  <si>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</si>
  <si>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</si>
  <si>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</si>
  <si>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</si>
  <si>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</si>
  <si>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</si>
  <si>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</si>
  <si>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</si>
  <si>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</si>
  <si>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</si>
  <si>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</si>
  <si>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</si>
  <si>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</si>
  <si>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</si>
  <si>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</si>
  <si>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</si>
  <si>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</si>
  <si>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</si>
  <si>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</si>
  <si>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</si>
  <si>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</si>
  <si>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</si>
  <si>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</si>
  <si>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</si>
  <si>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</si>
  <si>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</si>
  <si>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</si>
  <si>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</si>
  <si>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</si>
  <si>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</si>
  <si>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</si>
  <si>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</si>
  <si>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</si>
  <si>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</si>
  <si>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</si>
  <si>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</si>
  <si>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</si>
  <si>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</si>
  <si>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</si>
  <si>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</si>
  <si>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</si>
  <si>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</si>
  <si>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</si>
  <si>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</si>
  <si>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</si>
  <si>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</si>
  <si>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</si>
  <si>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</si>
  <si>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</si>
  <si>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</si>
  <si>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</si>
  <si>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</si>
  <si>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</si>
  <si>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</si>
  <si>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</si>
  <si>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</si>
  <si>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</si>
  <si>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</si>
  <si>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</si>
  <si>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</si>
  <si>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</si>
  <si>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</si>
  <si>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</si>
  <si>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</si>
  <si>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</si>
  <si>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</si>
  <si>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</si>
  <si>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</si>
  <si>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</si>
  <si>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</si>
  <si>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</si>
  <si>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</si>
  <si>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</si>
  <si>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</si>
  <si>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</si>
  <si>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</si>
  <si>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</si>
  <si>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</si>
  <si>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</si>
  <si>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</si>
  <si>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</si>
  <si>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</si>
  <si>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</si>
  <si>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</si>
  <si>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</si>
  <si>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</si>
  <si>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</si>
  <si>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</si>
  <si>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</si>
  <si>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</si>
  <si>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</si>
  <si>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</si>
  <si>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</si>
  <si>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</si>
  <si>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</si>
  <si>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</si>
  <si>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</si>
  <si>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</si>
  <si>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</si>
  <si>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</si>
  <si>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</si>
  <si>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</si>
  <si>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</si>
  <si>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</si>
  <si>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</si>
  <si>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</si>
  <si>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</si>
  <si>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</si>
  <si>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</si>
  <si>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</si>
  <si>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</si>
  <si>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</si>
  <si>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</si>
  <si>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</si>
  <si>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</si>
  <si>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</si>
  <si>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</si>
  <si>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</si>
  <si>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</si>
  <si>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</si>
  <si>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</si>
  <si>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</si>
  <si>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</si>
  <si>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</si>
  <si>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</si>
  <si>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</si>
  <si>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</si>
  <si>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</si>
  <si>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</si>
  <si>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</si>
  <si>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</si>
  <si>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</si>
  <si>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</si>
  <si>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</si>
  <si>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</si>
  <si>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</si>
  <si>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</si>
  <si>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</si>
  <si>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</si>
  <si>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</si>
  <si>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</si>
  <si>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</si>
  <si>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</si>
  <si>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</si>
  <si>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</si>
  <si>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</si>
  <si>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</si>
  <si>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</si>
  <si>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</si>
  <si>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</si>
  <si>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</si>
  <si>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</si>
  <si>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</si>
  <si>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</si>
  <si>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</si>
  <si>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</si>
  <si>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</si>
  <si>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</si>
  <si>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</si>
  <si>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</si>
  <si>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</si>
  <si>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</si>
  <si>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</si>
  <si>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</si>
  <si>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</si>
  <si>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</si>
  <si>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</si>
  <si>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</si>
  <si>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</si>
  <si>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</si>
  <si>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</si>
  <si>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</si>
  <si>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</si>
  <si>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</si>
  <si>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</si>
  <si>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</si>
  <si>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</si>
  <si>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</si>
  <si>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</si>
  <si>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</si>
  <si>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</si>
  <si>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</si>
  <si>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</si>
  <si>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</si>
  <si>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</si>
  <si>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</si>
  <si>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</si>
  <si>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</si>
  <si>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</si>
  <si>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</si>
  <si>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</si>
  <si>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</si>
  <si>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</si>
  <si>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</si>
  <si>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</si>
  <si>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</si>
  <si>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</si>
  <si>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</si>
  <si>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</si>
  <si>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</si>
  <si>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</si>
  <si>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</si>
  <si>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</si>
  <si>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</si>
  <si>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</si>
  <si>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</si>
  <si>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</si>
  <si>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</si>
  <si>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</si>
  <si>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</si>
  <si>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</si>
  <si>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</si>
  <si>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</si>
  <si>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</si>
  <si>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</si>
  <si>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</si>
  <si>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</si>
  <si>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</si>
  <si>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</si>
  <si>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</si>
  <si>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</si>
  <si>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</si>
  <si>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</si>
  <si>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</si>
  <si>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</si>
  <si>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</si>
  <si>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</si>
  <si>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</si>
  <si>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</si>
  <si>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</si>
  <si>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</si>
  <si>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</si>
  <si>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</si>
  <si>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</si>
  <si>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</si>
  <si>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</si>
  <si>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</si>
  <si>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</si>
  <si>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</si>
  <si>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</si>
  <si>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</si>
  <si>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</si>
  <si>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</si>
  <si>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</si>
  <si>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</si>
  <si>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</si>
  <si>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</si>
  <si>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</si>
  <si>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</si>
  <si>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</si>
  <si>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</si>
  <si>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</si>
  <si>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</si>
  <si>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</si>
  <si>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</si>
  <si>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</si>
  <si>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</si>
  <si>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</si>
  <si>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</si>
  <si>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</si>
  <si>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</si>
  <si>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</si>
  <si>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</si>
  <si>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</si>
  <si>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</si>
  <si>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</si>
  <si>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</si>
  <si>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</si>
  <si>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</si>
  <si>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</si>
  <si>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</si>
  <si>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</si>
  <si>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</si>
  <si>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</si>
  <si>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</si>
  <si>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</si>
  <si>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</si>
  <si>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</si>
  <si>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</si>
  <si>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</si>
  <si>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</si>
  <si>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</si>
  <si>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</si>
  <si>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</si>
  <si>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</si>
  <si>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</si>
  <si>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</si>
  <si>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</si>
  <si>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</si>
  <si>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</si>
  <si>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</si>
  <si>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</si>
  <si>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</si>
  <si>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</si>
  <si>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</si>
  <si>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</si>
  <si>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</si>
  <si>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</si>
  <si>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</si>
  <si>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</si>
  <si>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</si>
  <si>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</si>
  <si>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</si>
  <si>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</si>
  <si>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</si>
  <si>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</si>
  <si>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</si>
  <si>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</si>
  <si>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</si>
  <si>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</si>
  <si>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</si>
  <si>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</si>
  <si>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</si>
  <si>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</si>
  <si>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</si>
  <si>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</si>
  <si>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</si>
  <si>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</si>
  <si>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</si>
  <si>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</si>
  <si>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</si>
  <si>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</si>
  <si>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</si>
  <si>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</si>
  <si>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</si>
  <si>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</si>
  <si>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</si>
  <si>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</si>
  <si>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</si>
  <si>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</si>
  <si>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</si>
  <si>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</si>
  <si>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</si>
  <si>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</si>
  <si>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</si>
  <si>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</si>
  <si>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</si>
  <si>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</si>
  <si>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</si>
  <si>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</si>
  <si>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</si>
  <si>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</si>
  <si>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</si>
  <si>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</si>
  <si>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</si>
  <si>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</si>
  <si>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</si>
  <si>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</si>
  <si>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</si>
  <si>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</si>
  <si>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</si>
  <si>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</si>
  <si>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</si>
  <si>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</si>
  <si>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</si>
  <si>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</si>
  <si>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</si>
  <si>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</si>
  <si>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</si>
  <si>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</si>
  <si>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</si>
  <si>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</si>
  <si>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</si>
  <si>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</si>
  <si>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</si>
  <si>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</si>
  <si>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</si>
  <si>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</si>
  <si>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</si>
  <si>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</si>
  <si>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</si>
  <si>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</si>
  <si>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</si>
  <si>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</si>
  <si>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</si>
  <si>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</si>
  <si>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</si>
  <si>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</si>
  <si>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</si>
  <si>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</si>
  <si>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</si>
  <si>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</si>
  <si>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</si>
  <si>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</si>
  <si>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</si>
  <si>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</si>
  <si>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</si>
  <si>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</si>
  <si>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</si>
  <si>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</si>
  <si>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</si>
  <si>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</si>
  <si>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</si>
  <si>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</si>
  <si>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</si>
  <si>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</si>
  <si>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</si>
  <si>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</si>
  <si>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</si>
  <si>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</si>
  <si>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</si>
  <si>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</si>
  <si>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</si>
  <si>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</si>
  <si>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</si>
  <si>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</si>
  <si>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</si>
  <si>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</si>
  <si>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</si>
  <si>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</si>
  <si>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</si>
  <si>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</si>
  <si>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</si>
  <si>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</si>
  <si>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</si>
  <si>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</si>
  <si>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</si>
  <si>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</si>
  <si>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</si>
  <si>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</si>
  <si>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</si>
  <si>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</si>
  <si>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</si>
  <si>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</si>
  <si>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</si>
  <si>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</si>
  <si>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</si>
  <si>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</si>
  <si>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</si>
  <si>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</si>
  <si>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</si>
  <si>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</si>
  <si>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</si>
  <si>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</si>
  <si>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</si>
  <si>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</si>
  <si>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</si>
  <si>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</si>
  <si>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</si>
  <si>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</si>
  <si>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</si>
  <si>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</si>
  <si>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</si>
  <si>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</si>
  <si>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</si>
  <si>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</si>
  <si>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</si>
  <si>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</si>
  <si>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</si>
  <si>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</si>
  <si>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</si>
  <si>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</si>
  <si>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</si>
  <si>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</si>
  <si>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</si>
  <si>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</si>
  <si>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</si>
  <si>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</si>
  <si>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</si>
  <si>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</si>
  <si>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</si>
  <si>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</si>
  <si>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</si>
  <si>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</si>
  <si>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</si>
  <si>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</si>
  <si>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</si>
  <si>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</si>
  <si>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</si>
  <si>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</si>
  <si>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</si>
  <si>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</si>
  <si>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</si>
  <si>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</si>
  <si>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</si>
  <si>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</si>
  <si>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</si>
  <si>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</si>
  <si>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</si>
  <si>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</si>
  <si>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</si>
  <si>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</si>
  <si>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</si>
  <si>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</si>
  <si>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</si>
  <si>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</si>
  <si>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</si>
  <si>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</si>
  <si>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</si>
  <si>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</si>
  <si>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</si>
  <si>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</si>
  <si>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</si>
  <si>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</si>
  <si>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</si>
  <si>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</si>
  <si>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</si>
  <si>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</si>
  <si>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</si>
  <si>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</si>
  <si>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</si>
  <si>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</si>
  <si>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</si>
  <si>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</si>
  <si>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</si>
  <si>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</si>
  <si>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</si>
  <si>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</si>
  <si>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</si>
  <si>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</si>
  <si>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</si>
  <si>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</si>
  <si>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</si>
  <si>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</si>
  <si>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</si>
  <si>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</si>
  <si>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</si>
  <si>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</si>
  <si>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</si>
  <si>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</si>
  <si>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</si>
  <si>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</si>
  <si>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</si>
  <si>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</si>
  <si>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</si>
  <si>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</si>
  <si>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</si>
  <si>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</si>
  <si>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</si>
  <si>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</si>
  <si>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</si>
  <si>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</si>
  <si>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</si>
  <si>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</si>
  <si>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</si>
  <si>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</si>
  <si>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</si>
  <si>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</si>
  <si>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</si>
  <si>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</si>
  <si>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</si>
  <si>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</si>
  <si>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</si>
  <si>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</si>
  <si>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</si>
  <si>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</si>
  <si>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</si>
  <si>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</si>
  <si>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</si>
  <si>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</si>
  <si>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</si>
  <si>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</si>
  <si>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</si>
  <si>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</si>
  <si>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</si>
  <si>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</si>
  <si>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</si>
  <si>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</si>
  <si>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</si>
  <si>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</si>
  <si>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</si>
  <si>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</si>
  <si>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</si>
  <si>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</si>
  <si>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</si>
  <si>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</si>
  <si>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</si>
  <si>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</si>
  <si>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</si>
  <si>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</si>
  <si>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</si>
  <si>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</si>
  <si>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</si>
  <si>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</si>
  <si>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</si>
  <si>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</si>
  <si>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</si>
  <si>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</si>
  <si>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</si>
  <si>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</si>
  <si>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</si>
  <si>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</si>
  <si>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</si>
  <si>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</si>
  <si>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</si>
  <si>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</si>
  <si>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</si>
  <si>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</si>
  <si>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</si>
  <si>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</si>
  <si>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</si>
  <si>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</si>
  <si>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</si>
  <si>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</si>
  <si>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</si>
  <si>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</si>
  <si>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</si>
  <si>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</si>
  <si>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</si>
  <si>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</si>
  <si>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</si>
  <si>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</si>
  <si>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</si>
  <si>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</si>
  <si>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</si>
  <si>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</si>
  <si>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</si>
  <si>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</si>
  <si>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</si>
  <si>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</si>
  <si>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</si>
  <si>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</si>
  <si>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</si>
  <si>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</si>
  <si>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</si>
  <si>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</si>
  <si>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</si>
  <si>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</si>
  <si>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</si>
  <si>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</si>
  <si>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</si>
  <si>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</si>
  <si>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</si>
  <si>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</si>
  <si>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</si>
  <si>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</si>
  <si>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</si>
  <si>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</si>
  <si>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</si>
  <si>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</si>
  <si>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</si>
  <si>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</si>
  <si>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</si>
  <si>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</si>
  <si>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</si>
  <si>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</si>
  <si>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</si>
  <si>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</si>
  <si>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</si>
  <si>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</si>
  <si>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</si>
  <si>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</si>
  <si>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</si>
  <si>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</si>
  <si>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</si>
  <si>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</si>
  <si>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</si>
  <si>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</si>
  <si>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</si>
  <si>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</si>
  <si>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</si>
  <si>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</si>
  <si>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</si>
  <si>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</si>
  <si>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</si>
  <si>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</si>
  <si>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</si>
  <si>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</si>
  <si>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</si>
  <si>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</si>
  <si>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</si>
  <si>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</si>
  <si>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</si>
  <si>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</si>
  <si>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</si>
  <si>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</si>
  <si>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</si>
  <si>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</si>
  <si>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</si>
  <si>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</si>
  <si>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</si>
  <si>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</si>
  <si>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</si>
  <si>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</si>
  <si>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</si>
  <si>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</si>
  <si>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</si>
  <si>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</si>
  <si>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</si>
  <si>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</si>
  <si>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</si>
  <si>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</si>
  <si>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</si>
  <si>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</si>
  <si>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</si>
  <si>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</si>
  <si>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</si>
  <si>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</si>
  <si>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</si>
  <si>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</si>
  <si>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</si>
  <si>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</si>
  <si>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</si>
  <si>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</si>
  <si>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</si>
  <si>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</si>
  <si>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</si>
  <si>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</si>
  <si>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</si>
  <si>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</si>
  <si>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</si>
  <si>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</si>
  <si>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</si>
  <si>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</si>
  <si>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</si>
  <si>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</si>
  <si>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</si>
  <si>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</si>
  <si>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</si>
  <si>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</si>
  <si>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</si>
  <si>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</si>
  <si>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</si>
  <si>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</si>
  <si>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</si>
  <si>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</si>
  <si>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</si>
  <si>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</si>
  <si>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</si>
  <si>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</si>
  <si>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</si>
  <si>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</si>
  <si>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</si>
  <si>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</si>
  <si>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</si>
  <si>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</si>
  <si>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</si>
  <si>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</si>
  <si>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</si>
  <si>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</si>
  <si>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</si>
  <si>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</si>
  <si>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</si>
  <si>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</si>
  <si>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</si>
  <si>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</si>
  <si>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</si>
  <si>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</si>
  <si>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</si>
  <si>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</si>
  <si>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</si>
  <si>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</si>
  <si>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</si>
  <si>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</si>
  <si>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</si>
  <si>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</si>
  <si>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</si>
  <si>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</si>
  <si>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</si>
  <si>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</si>
  <si>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</si>
  <si>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</si>
  <si>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</si>
  <si>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</si>
  <si>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</si>
  <si>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</si>
  <si>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</si>
  <si>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</si>
  <si>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</si>
  <si>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</si>
  <si>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</si>
  <si>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</si>
  <si>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</si>
  <si>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</si>
  <si>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</si>
  <si>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</si>
  <si>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</si>
  <si>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</si>
  <si>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</si>
  <si>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</si>
  <si>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</si>
  <si>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</si>
  <si>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</si>
  <si>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</si>
  <si>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</si>
  <si>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</si>
  <si>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</si>
  <si>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</si>
  <si>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</si>
  <si>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</si>
  <si>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</si>
  <si>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</si>
  <si>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</si>
  <si>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</si>
  <si>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</si>
  <si>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</si>
  <si>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</si>
  <si>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</si>
  <si>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</si>
  <si>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</si>
  <si>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</si>
  <si>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</si>
  <si>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</si>
  <si>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</si>
  <si>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</si>
  <si>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</si>
  <si>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</si>
  <si>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</si>
  <si>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</si>
  <si>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</si>
  <si>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</si>
  <si>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</si>
  <si>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</si>
  <si>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</si>
  <si>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</si>
  <si>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</si>
  <si>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</si>
  <si>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</si>
  <si>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</si>
  <si>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</si>
  <si>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</si>
  <si>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</si>
  <si>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</si>
  <si>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</si>
  <si>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</si>
  <si>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</si>
  <si>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</si>
  <si>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</si>
  <si>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</si>
  <si>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</si>
  <si>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</si>
  <si>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</si>
  <si>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</si>
  <si>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</si>
  <si>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</si>
  <si>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</si>
  <si>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</si>
  <si>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</si>
  <si>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</si>
  <si>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</si>
  <si>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</si>
  <si>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</si>
  <si>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</si>
  <si>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</si>
  <si>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</si>
  <si>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</si>
  <si>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</si>
  <si>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</si>
  <si>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</si>
  <si>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</si>
  <si>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</si>
  <si>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</si>
  <si>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</si>
  <si>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</si>
  <si>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</si>
  <si>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</si>
  <si>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</si>
  <si>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</si>
  <si>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</si>
  <si>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</si>
  <si>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</si>
  <si>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</si>
  <si>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</si>
  <si>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</si>
  <si>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</si>
  <si>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</si>
  <si>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</si>
  <si>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</si>
  <si>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</si>
  <si>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</si>
  <si>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</si>
  <si>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</si>
  <si>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</si>
  <si>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</si>
  <si>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</si>
  <si>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</si>
  <si>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</si>
  <si>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</si>
  <si>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</si>
  <si>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</si>
  <si>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</si>
  <si>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</si>
  <si>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</si>
  <si>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</si>
  <si>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</si>
  <si>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</si>
  <si>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</si>
  <si>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</si>
  <si>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</si>
  <si>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</si>
  <si>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</si>
  <si>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</si>
  <si>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</si>
  <si>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</si>
  <si>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</si>
  <si>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</si>
  <si>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</si>
  <si>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</si>
  <si>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</si>
  <si>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</si>
  <si>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</si>
  <si>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</si>
  <si>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</si>
  <si>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</si>
  <si>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</si>
  <si>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</si>
  <si>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</si>
  <si>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</si>
  <si>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</si>
  <si>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</si>
  <si>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</si>
  <si>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</si>
  <si>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</si>
  <si>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</si>
  <si>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</si>
  <si>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</si>
  <si>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</si>
  <si>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</si>
  <si>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</si>
  <si>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</si>
  <si>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</si>
  <si>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</si>
  <si>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</si>
  <si>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</si>
  <si>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</si>
  <si>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</si>
  <si>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</si>
  <si>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</si>
  <si>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</si>
  <si>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</si>
  <si>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</si>
  <si>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</si>
  <si>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</si>
  <si>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</si>
  <si>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</si>
  <si>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</si>
  <si>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</si>
  <si>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</si>
  <si>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</si>
  <si>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</si>
  <si>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</si>
  <si>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</si>
  <si>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</si>
  <si>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</si>
  <si>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</si>
  <si>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</si>
  <si>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</si>
  <si>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</si>
  <si>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</si>
  <si>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</si>
  <si>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</si>
  <si>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</si>
  <si>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</si>
  <si>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</si>
  <si>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</si>
  <si>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</si>
  <si>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</si>
  <si>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</si>
  <si>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</si>
  <si>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</si>
  <si>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</si>
  <si>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</si>
  <si>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</si>
  <si>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</si>
  <si>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</si>
  <si>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</si>
  <si>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</si>
  <si>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</si>
  <si>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</si>
  <si>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</si>
  <si>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</si>
  <si>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</si>
  <si>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</si>
  <si>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</si>
  <si>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</si>
  <si>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</si>
  <si>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</si>
  <si>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</si>
  <si>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</si>
  <si>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</si>
  <si>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</si>
  <si>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</si>
  <si>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</si>
  <si>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</si>
  <si>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</si>
  <si>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</si>
  <si>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</si>
  <si>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</si>
  <si>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</si>
  <si>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</si>
  <si>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</si>
  <si>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</si>
  <si>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</si>
  <si>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</si>
  <si>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</si>
  <si>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</si>
  <si>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</si>
  <si>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</si>
  <si>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</si>
  <si>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</si>
  <si>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</si>
  <si>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</si>
  <si>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</si>
  <si>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</si>
  <si>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</si>
  <si>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</si>
  <si>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</si>
  <si>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</si>
  <si>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</si>
  <si>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</si>
  <si>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</si>
  <si>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</si>
  <si>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</si>
  <si>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</si>
  <si>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</si>
  <si>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</si>
  <si>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</si>
  <si>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</si>
  <si>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</si>
  <si>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</si>
  <si>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</si>
  <si>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</si>
  <si>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</si>
  <si>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</si>
  <si>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</si>
  <si>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</si>
  <si>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</si>
  <si>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</si>
  <si>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</si>
  <si>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</si>
  <si>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</si>
  <si>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</si>
  <si>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</si>
  <si>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</si>
  <si>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</si>
  <si>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</si>
  <si>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</si>
  <si>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</si>
  <si>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</si>
  <si>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</si>
  <si>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</si>
  <si>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</si>
  <si>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</si>
  <si>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</si>
  <si>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</si>
  <si>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</si>
  <si>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</si>
  <si>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</si>
  <si>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</si>
  <si>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</si>
  <si>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</si>
  <si>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</si>
  <si>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</si>
  <si>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</si>
  <si>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</si>
  <si>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</si>
  <si>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</si>
  <si>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</si>
  <si>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</si>
  <si>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</si>
  <si>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</si>
  <si>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</si>
  <si>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</si>
  <si>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</si>
  <si>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</si>
  <si>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</si>
  <si>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</si>
  <si>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</si>
  <si>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</si>
  <si>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</si>
  <si>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</si>
  <si>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</si>
  <si>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</si>
  <si>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</si>
  <si>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</si>
  <si>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</si>
  <si>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</si>
  <si>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</si>
  <si>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</si>
  <si>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</si>
  <si>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</si>
  <si>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</si>
  <si>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</si>
  <si>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</si>
  <si>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</si>
  <si>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</si>
  <si>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</si>
  <si>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</si>
  <si>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</si>
  <si>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</si>
  <si>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</si>
  <si>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</si>
  <si>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</si>
  <si>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</si>
  <si>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</si>
  <si>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</si>
  <si>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</si>
  <si>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</si>
  <si>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</si>
  <si>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</si>
  <si>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</si>
  <si>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</si>
  <si>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</si>
  <si>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</si>
  <si>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</si>
  <si>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</si>
  <si>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</si>
  <si>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</si>
  <si>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</si>
  <si>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</si>
  <si>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</si>
  <si>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</si>
  <si>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</si>
  <si>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</si>
  <si>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</si>
  <si>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</si>
  <si>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</si>
  <si>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</si>
  <si>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</si>
  <si>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</si>
  <si>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</si>
  <si>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</si>
  <si>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</si>
  <si>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</si>
  <si>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</si>
  <si>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</si>
  <si>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</si>
  <si>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</si>
  <si>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</si>
  <si>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</si>
  <si>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</si>
  <si>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</si>
  <si>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</si>
  <si>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</si>
  <si>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</si>
  <si>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</si>
  <si>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</si>
  <si>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</si>
  <si>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</si>
  <si>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</si>
  <si>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</si>
  <si>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</si>
  <si>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</si>
  <si>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</si>
  <si>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</si>
  <si>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</si>
  <si>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</si>
  <si>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</si>
  <si>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</si>
  <si>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</si>
  <si>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</si>
  <si>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</si>
  <si>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</si>
  <si>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</si>
  <si>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</si>
  <si>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</si>
  <si>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</si>
  <si>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</si>
  <si>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</si>
  <si>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</si>
  <si>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</si>
  <si>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</si>
  <si>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</si>
  <si>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</si>
  <si>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</si>
  <si>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</si>
  <si>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</si>
  <si>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</si>
  <si>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</si>
  <si>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</si>
  <si>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</si>
  <si>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</si>
  <si>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</si>
  <si>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</si>
  <si>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</si>
  <si>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</si>
  <si>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</si>
  <si>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</si>
  <si>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</si>
  <si>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</si>
  <si>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</si>
  <si>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</si>
  <si>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</si>
  <si>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</si>
  <si>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</si>
  <si>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</si>
  <si>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</si>
  <si>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</si>
  <si>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</si>
  <si>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</si>
  <si>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</si>
  <si>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</si>
  <si>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</si>
  <si>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</si>
  <si>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</si>
  <si>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</si>
  <si>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</si>
  <si>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</si>
  <si>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</si>
  <si>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</si>
  <si>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</si>
  <si>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</si>
  <si>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</si>
  <si>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</si>
  <si>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</si>
  <si>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</si>
  <si>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</si>
  <si>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</si>
  <si>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</si>
  <si>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</si>
  <si>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</si>
  <si>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</si>
  <si>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</si>
  <si>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</si>
  <si>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</si>
  <si>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</si>
  <si>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</si>
  <si>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</si>
  <si>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</si>
  <si>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</si>
  <si>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</si>
  <si>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</si>
  <si>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</si>
  <si>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</si>
  <si>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</si>
  <si>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</si>
  <si>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</si>
  <si>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</si>
  <si>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</si>
  <si>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</si>
  <si>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</si>
  <si>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</si>
  <si>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</si>
  <si>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</si>
  <si>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</si>
  <si>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</si>
  <si>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</si>
  <si>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</si>
  <si>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</si>
  <si>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</si>
  <si>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</si>
  <si>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</si>
  <si>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</si>
  <si>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</si>
  <si>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</si>
  <si>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</si>
  <si>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</si>
  <si>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</si>
  <si>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</si>
  <si>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</si>
  <si>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</si>
  <si>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</si>
  <si>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</si>
  <si>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</si>
  <si>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</si>
  <si>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</si>
  <si>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</si>
  <si>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</si>
  <si>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</si>
  <si>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</si>
  <si>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</si>
  <si>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</si>
  <si>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</si>
  <si>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</si>
  <si>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</si>
  <si>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</si>
  <si>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</si>
  <si>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</si>
  <si>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</si>
  <si>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</si>
  <si>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</si>
  <si>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</si>
  <si>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</si>
  <si>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</si>
  <si>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</si>
  <si>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</si>
  <si>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</si>
  <si>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</si>
  <si>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</si>
  <si>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</si>
  <si>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</si>
  <si>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</si>
  <si>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</si>
  <si>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</si>
  <si>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</si>
  <si>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</si>
  <si>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</si>
  <si>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</si>
  <si>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</si>
  <si>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</si>
  <si>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</si>
  <si>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</si>
  <si>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</si>
  <si>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</si>
  <si>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</si>
  <si>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</si>
  <si>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</si>
  <si>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</si>
  <si>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</si>
  <si>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</si>
  <si>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</si>
  <si>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</si>
  <si>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</si>
  <si>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</si>
  <si>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</si>
  <si>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</si>
  <si>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</si>
  <si>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</si>
  <si>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</si>
  <si>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</si>
  <si>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</si>
  <si>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</si>
  <si>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</si>
  <si>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</si>
  <si>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</si>
  <si>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</si>
  <si>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</si>
  <si>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</si>
  <si>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</si>
  <si>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</si>
  <si>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</si>
  <si>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</si>
  <si>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</si>
  <si>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</si>
  <si>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</si>
  <si>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</si>
  <si>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</si>
  <si>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</si>
  <si>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</si>
  <si>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</si>
  <si>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</si>
  <si>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</si>
  <si>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</si>
  <si>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</si>
  <si>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</si>
  <si>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</si>
  <si>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</si>
  <si>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</si>
  <si>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</si>
  <si>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</si>
  <si>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</si>
  <si>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</si>
  <si>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</si>
  <si>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</si>
  <si>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</si>
  <si>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</si>
  <si>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</si>
  <si>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</si>
  <si>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</si>
  <si>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</si>
  <si>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</si>
  <si>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</si>
  <si>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</si>
  <si>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</si>
  <si>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</si>
  <si>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</si>
  <si>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</si>
  <si>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</si>
  <si>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</si>
  <si>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</si>
  <si>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</si>
  <si>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</si>
  <si>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</si>
  <si>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</si>
  <si>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</si>
  <si>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</si>
  <si>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</si>
  <si>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</si>
  <si>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</si>
  <si>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</si>
  <si>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</si>
  <si>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</si>
  <si>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</si>
  <si>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</si>
  <si>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</si>
  <si>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</si>
  <si>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</si>
  <si>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</si>
  <si>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</si>
  <si>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</si>
  <si>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</si>
  <si>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</si>
  <si>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</si>
  <si>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</si>
  <si>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</si>
  <si>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</si>
  <si>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</si>
  <si>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</si>
  <si>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</si>
  <si>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</si>
  <si>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</si>
  <si>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</si>
  <si>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</si>
  <si>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</si>
  <si>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</si>
  <si>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</si>
  <si>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</si>
  <si>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</si>
  <si>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</si>
  <si>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</si>
  <si>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</si>
  <si>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</si>
  <si>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</si>
  <si>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</si>
  <si>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</si>
  <si>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</si>
  <si>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</si>
  <si>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</si>
  <si>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</si>
  <si>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</si>
  <si>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</si>
  <si>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</si>
  <si>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</si>
  <si>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</si>
  <si>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</si>
  <si>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</si>
  <si>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</si>
  <si>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</si>
  <si>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</si>
  <si>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</si>
  <si>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</si>
  <si>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</si>
  <si>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</si>
  <si>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</si>
  <si>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</si>
  <si>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</si>
  <si>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</si>
  <si>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</si>
  <si>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</si>
  <si>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</si>
  <si>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</si>
  <si>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</si>
  <si>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</si>
  <si>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</si>
  <si>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</si>
  <si>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</si>
  <si>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</si>
  <si>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</si>
  <si>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</si>
  <si>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</si>
  <si>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</si>
  <si>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</si>
  <si>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</si>
  <si>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</si>
  <si>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</si>
  <si>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</si>
  <si>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</si>
  <si>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</si>
  <si>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</si>
  <si>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</si>
  <si>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</si>
  <si>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</si>
  <si>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</si>
  <si>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</si>
  <si>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</si>
  <si>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</si>
  <si>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</si>
  <si>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</si>
  <si>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</si>
  <si>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</si>
  <si>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</si>
  <si>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</si>
  <si>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</si>
  <si>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</si>
  <si>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</si>
  <si>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</si>
  <si>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</si>
  <si>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</si>
  <si>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</si>
  <si>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</si>
  <si>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</si>
  <si>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</si>
  <si>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</si>
  <si>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</si>
  <si>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</si>
  <si>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</si>
  <si>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</si>
  <si>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</si>
  <si>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</si>
  <si>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</si>
  <si>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</si>
  <si>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</si>
  <si>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</si>
  <si>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</si>
  <si>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</si>
  <si>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</si>
  <si>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</si>
  <si>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</si>
  <si>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</si>
  <si>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</si>
  <si>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</si>
  <si>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</si>
  <si>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</si>
  <si>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</si>
  <si>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</si>
  <si>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</si>
  <si>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</si>
  <si>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</si>
  <si>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</si>
  <si>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</si>
  <si>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</si>
  <si>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</si>
  <si>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</si>
  <si>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</si>
  <si>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</si>
  <si>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</si>
  <si>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</si>
  <si>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</si>
  <si>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</si>
  <si>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</si>
  <si>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</si>
  <si>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</si>
  <si>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</si>
  <si>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</si>
  <si>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</si>
  <si>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</si>
  <si>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</si>
  <si>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</si>
  <si>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</si>
  <si>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</si>
  <si>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</si>
  <si>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</si>
  <si>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</si>
  <si>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</si>
  <si>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</si>
  <si>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</si>
  <si>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</si>
  <si>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</si>
  <si>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</si>
  <si>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</si>
  <si>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</si>
  <si>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</si>
  <si>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</si>
  <si>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</si>
  <si>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</si>
  <si>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</si>
  <si>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</si>
  <si>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</si>
  <si>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</si>
  <si>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</si>
  <si>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</si>
  <si>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</si>
  <si>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</si>
  <si>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</si>
  <si>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</si>
  <si>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</si>
  <si>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</si>
  <si>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</si>
  <si>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</si>
  <si>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</si>
  <si>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</si>
  <si>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</si>
  <si>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</si>
  <si>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</si>
  <si>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</si>
  <si>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</si>
  <si>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</si>
  <si>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</si>
  <si>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</si>
  <si>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</si>
  <si>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</si>
  <si>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</si>
  <si>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</si>
  <si>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</si>
  <si>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</si>
  <si>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</si>
  <si>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</si>
  <si>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</si>
  <si>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</si>
  <si>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</si>
  <si>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</si>
  <si>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</si>
  <si>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</si>
  <si>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</si>
  <si>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</si>
  <si>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</si>
  <si>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</si>
  <si>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</si>
  <si>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</si>
  <si>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</si>
  <si>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</si>
  <si>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</si>
  <si>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</si>
  <si>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</si>
  <si>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</si>
  <si>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</si>
  <si>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</si>
  <si>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</si>
  <si>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</si>
  <si>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</si>
  <si>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</si>
  <si>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</si>
  <si>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</si>
  <si>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</si>
  <si>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</si>
  <si>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</si>
  <si>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</si>
  <si>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</si>
  <si>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</si>
  <si>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</si>
  <si>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</si>
  <si>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</si>
  <si>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</si>
  <si>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</si>
  <si>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</si>
  <si>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</si>
  <si>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</si>
  <si>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</si>
  <si>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</si>
  <si>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</si>
  <si>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</si>
  <si>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</si>
  <si>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</si>
  <si>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</si>
  <si>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</si>
  <si>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</si>
  <si>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</si>
  <si>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</si>
  <si>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</si>
  <si>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</si>
  <si>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</si>
  <si>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</si>
  <si>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</si>
  <si>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</si>
  <si>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</si>
  <si>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</si>
  <si>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</si>
  <si>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</si>
  <si>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</si>
  <si>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</si>
  <si>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</si>
  <si>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</si>
  <si>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</si>
  <si>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</si>
  <si>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</si>
  <si>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</si>
  <si>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</si>
  <si>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</si>
  <si>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</si>
  <si>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</si>
  <si>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</si>
  <si>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</si>
  <si>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</si>
  <si>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</si>
  <si>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</si>
  <si>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</si>
  <si>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</si>
  <si>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</si>
  <si>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</si>
  <si>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</si>
  <si>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</si>
  <si>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</si>
  <si>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</si>
  <si>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</si>
  <si>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</si>
  <si>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</si>
  <si>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</si>
  <si>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</si>
  <si>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</si>
  <si>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</si>
  <si>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</si>
  <si>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</si>
  <si>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</si>
  <si>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</si>
  <si>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</si>
  <si>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</si>
  <si>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</si>
  <si>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</si>
  <si>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</si>
  <si>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</si>
  <si>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</si>
  <si>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</si>
  <si>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</si>
  <si>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</si>
  <si>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</si>
  <si>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</si>
  <si>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</si>
  <si>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</si>
  <si>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</si>
  <si>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</si>
  <si>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</si>
  <si>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</si>
  <si>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</si>
  <si>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</si>
  <si>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</si>
  <si>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</si>
  <si>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</si>
  <si>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</si>
  <si>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</si>
  <si>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</si>
  <si>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</si>
  <si>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</si>
  <si>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</si>
  <si>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</si>
  <si>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</si>
  <si>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</si>
  <si>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</si>
  <si>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</si>
  <si>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</si>
  <si>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</si>
  <si>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</si>
  <si>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</si>
  <si>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</si>
  <si>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</si>
  <si>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</si>
  <si>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</si>
  <si>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</si>
  <si>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</si>
  <si>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</si>
  <si>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</si>
  <si>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</si>
  <si>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</si>
  <si>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</si>
  <si>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</si>
  <si>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</si>
  <si>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</si>
  <si>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</si>
  <si>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</si>
  <si>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</si>
  <si>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</si>
  <si>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</si>
  <si>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</si>
  <si>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</si>
  <si>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</si>
  <si>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</si>
  <si>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</si>
  <si>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</si>
  <si>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</si>
  <si>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</si>
  <si>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</si>
  <si>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</si>
  <si>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</si>
  <si>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</si>
  <si>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</si>
  <si>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</si>
  <si>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</si>
  <si>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</si>
  <si>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</si>
  <si>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</si>
  <si>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</si>
  <si>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</si>
  <si>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</si>
  <si>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</si>
  <si>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</si>
  <si>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</si>
  <si>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</si>
  <si>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</si>
  <si>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</si>
  <si>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</si>
  <si>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</si>
  <si>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</si>
  <si>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</si>
  <si>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</si>
  <si>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</si>
  <si>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</si>
  <si>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</si>
  <si>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</si>
  <si>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</si>
  <si>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</si>
  <si>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</si>
  <si>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</si>
  <si>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</si>
  <si>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</si>
  <si>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</si>
  <si>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</si>
  <si>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</si>
  <si>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</si>
  <si>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</si>
  <si>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</si>
  <si>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</si>
  <si>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</si>
  <si>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</si>
  <si>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</si>
  <si>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</si>
  <si>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</si>
  <si>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</si>
  <si>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</si>
  <si>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</si>
  <si>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</si>
  <si>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</si>
  <si>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</si>
  <si>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</si>
  <si>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</si>
  <si>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</si>
  <si>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</si>
  <si>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</si>
  <si>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</si>
  <si>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</si>
  <si>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</si>
  <si>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</si>
  <si>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</si>
  <si>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</si>
  <si>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</si>
  <si>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</si>
  <si>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</si>
  <si>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</si>
  <si>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</si>
  <si>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</si>
  <si>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</si>
  <si>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</si>
  <si>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</si>
  <si>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</si>
  <si>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</si>
  <si>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</si>
  <si>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</si>
  <si>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</si>
  <si>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</si>
  <si>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</si>
  <si>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</si>
  <si>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</si>
  <si>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</si>
  <si>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</si>
  <si>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</si>
  <si>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</si>
  <si>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</si>
  <si>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</si>
  <si>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</si>
  <si>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</si>
  <si>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</si>
  <si>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</si>
  <si>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</si>
  <si>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</si>
  <si>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</si>
  <si>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</si>
  <si>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</si>
  <si>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</si>
  <si>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</si>
  <si>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</si>
  <si>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</si>
  <si>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</si>
  <si>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</si>
  <si>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</si>
  <si>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</si>
  <si>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</si>
  <si>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</si>
  <si>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</si>
  <si>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</si>
  <si>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</si>
  <si>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</si>
  <si>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</si>
  <si>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</si>
  <si>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</si>
  <si>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</si>
  <si>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</si>
  <si>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</si>
  <si>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</si>
  <si>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</si>
  <si>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</si>
  <si>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</si>
  <si>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</si>
  <si>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</si>
  <si>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</si>
  <si>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</si>
  <si>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</si>
  <si>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</si>
  <si>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</si>
  <si>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</si>
  <si>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</si>
  <si>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</si>
  <si>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</si>
  <si>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</si>
  <si>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</si>
  <si>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</si>
  <si>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</si>
  <si>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</si>
  <si>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</si>
  <si>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</si>
  <si>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</si>
  <si>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</si>
  <si>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</si>
  <si>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</si>
  <si>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</si>
  <si>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</si>
  <si>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</si>
  <si>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</si>
  <si>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</si>
  <si>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</si>
  <si>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</si>
  <si>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</si>
  <si>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</si>
  <si>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</si>
  <si>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</si>
  <si>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</si>
  <si>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</si>
  <si>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</si>
  <si>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</si>
  <si>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</si>
  <si>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</si>
  <si>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</si>
  <si>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</si>
  <si>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</si>
  <si>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</si>
  <si>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</si>
  <si>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</si>
  <si>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</si>
  <si>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</si>
  <si>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</si>
  <si>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</si>
  <si>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</si>
  <si>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</si>
  <si>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</si>
  <si>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</si>
  <si>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</si>
  <si>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</si>
  <si>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</si>
  <si>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</si>
  <si>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</si>
  <si>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</si>
  <si>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</si>
  <si>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</si>
  <si>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</si>
  <si>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</si>
  <si>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</si>
  <si>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</si>
  <si>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</si>
  <si>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</si>
  <si>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</si>
  <si>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</si>
  <si>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</si>
  <si>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</si>
  <si>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</si>
  <si>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</si>
  <si>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</si>
  <si>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</si>
  <si>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</si>
  <si>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</si>
  <si>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</si>
  <si>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</si>
  <si>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</si>
  <si>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</si>
  <si>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</si>
  <si>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</si>
  <si>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</si>
  <si>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</si>
  <si>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</si>
  <si>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</si>
  <si>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</si>
  <si>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</si>
  <si>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</si>
  <si>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</si>
  <si>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</si>
  <si>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</si>
  <si>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</si>
  <si>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</si>
  <si>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</si>
  <si>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</si>
  <si>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</si>
  <si>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</si>
  <si>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</si>
  <si>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</si>
  <si>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</si>
  <si>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</si>
  <si>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</si>
  <si>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</si>
  <si>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</si>
  <si>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</si>
  <si>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</si>
  <si>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</si>
  <si>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</si>
  <si>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</si>
  <si>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</si>
  <si>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</si>
  <si>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</si>
  <si>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</si>
  <si>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</si>
  <si>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</si>
  <si>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</si>
  <si>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</si>
  <si>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</si>
  <si>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</si>
  <si>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</si>
  <si>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</si>
  <si>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</si>
  <si>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</si>
  <si>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</si>
  <si>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</si>
  <si>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</si>
  <si>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</si>
  <si>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</si>
  <si>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</si>
  <si>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</si>
  <si>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</si>
  <si>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</si>
  <si>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</si>
  <si>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</si>
  <si>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</si>
  <si>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</si>
  <si>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</si>
  <si>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</si>
  <si>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</si>
  <si>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</si>
  <si>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</si>
  <si>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</si>
  <si>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</si>
  <si>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</si>
  <si>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</si>
  <si>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</si>
  <si>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</si>
  <si>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</si>
  <si>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</si>
  <si>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</si>
  <si>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</si>
  <si>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</si>
  <si>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</si>
  <si>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</si>
  <si>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</si>
  <si>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</si>
  <si>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</si>
  <si>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</si>
  <si>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</si>
  <si>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</si>
  <si>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</si>
  <si>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</si>
  <si>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</si>
  <si>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</si>
  <si>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</si>
  <si>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</si>
  <si>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</si>
  <si>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</si>
  <si>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</si>
  <si>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</si>
  <si>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</si>
  <si>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</si>
  <si>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</si>
  <si>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</si>
  <si>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</si>
  <si>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</si>
  <si>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</si>
  <si>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</si>
  <si>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</si>
  <si>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</si>
  <si>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</si>
  <si>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</si>
  <si>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</si>
  <si>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</si>
  <si>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</si>
  <si>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</si>
  <si>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</si>
  <si>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</si>
  <si>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</si>
  <si>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</si>
  <si>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</si>
  <si>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</si>
  <si>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</si>
  <si>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</si>
  <si>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</si>
  <si>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</si>
  <si>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</si>
  <si>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</si>
  <si>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</si>
  <si>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</si>
  <si>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</si>
  <si>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</si>
  <si>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</si>
  <si>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</si>
  <si>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</si>
  <si>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</si>
  <si>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</si>
  <si>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</si>
  <si>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</si>
  <si>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</si>
  <si>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</si>
  <si>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</si>
  <si>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</si>
  <si>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</si>
  <si>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</si>
  <si>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</si>
  <si>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</si>
  <si>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</si>
  <si>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</si>
  <si>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</si>
  <si>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</si>
  <si>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</si>
  <si>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</si>
  <si>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</si>
  <si>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</si>
  <si>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</si>
  <si>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</si>
  <si>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</si>
  <si>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</si>
  <si>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</si>
  <si>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</si>
  <si>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</si>
  <si>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</si>
  <si>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</si>
  <si>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</si>
  <si>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</si>
  <si>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</si>
  <si>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</si>
  <si>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</si>
  <si>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</si>
  <si>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</si>
  <si>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</si>
  <si>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</si>
  <si>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</si>
  <si>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</si>
  <si>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</si>
  <si>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</si>
  <si>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</si>
  <si>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</si>
  <si>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</si>
  <si>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</si>
  <si>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</si>
  <si>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</si>
  <si>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</si>
  <si>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</si>
  <si>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</si>
  <si>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</si>
  <si>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</si>
  <si>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</si>
  <si>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</si>
  <si>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</si>
  <si>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</si>
  <si>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</si>
  <si>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</si>
  <si>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</si>
  <si>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</si>
  <si>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</si>
  <si>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</si>
  <si>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</si>
  <si>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</si>
  <si>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</si>
  <si>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</si>
  <si>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</si>
  <si>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</si>
  <si>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</si>
  <si>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</si>
  <si>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</si>
  <si>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</si>
  <si>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</si>
  <si>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</si>
  <si>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</si>
  <si>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</si>
  <si>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</si>
  <si>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</si>
  <si>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</si>
  <si>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</si>
  <si>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</si>
  <si>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</si>
  <si>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</si>
  <si>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</si>
  <si>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</si>
  <si>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</si>
  <si>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</si>
  <si>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</si>
  <si>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</si>
  <si>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</si>
  <si>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</si>
  <si>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</si>
  <si>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</si>
  <si>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</si>
  <si>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</si>
  <si>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</si>
  <si>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</si>
  <si>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</si>
  <si>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</si>
  <si>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</si>
  <si>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</si>
  <si>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</si>
  <si>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</si>
  <si>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</si>
  <si>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</si>
  <si>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</si>
  <si>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</si>
  <si>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</si>
  <si>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</si>
  <si>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</si>
  <si>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</si>
  <si>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</si>
  <si>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</si>
  <si>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</si>
  <si>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</si>
  <si>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</si>
  <si>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</si>
  <si>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</si>
  <si>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</si>
  <si>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</si>
  <si>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</si>
  <si>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</si>
  <si>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</si>
  <si>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</si>
  <si>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</si>
  <si>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</si>
  <si>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</si>
  <si>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</si>
  <si>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</si>
  <si>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</si>
  <si>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</si>
  <si>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</si>
  <si>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</si>
  <si>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</si>
  <si>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</si>
  <si>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</si>
  <si>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</si>
  <si>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</si>
  <si>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</si>
  <si>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</si>
  <si>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</si>
  <si>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</si>
  <si>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</si>
  <si>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</si>
  <si>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</si>
  <si>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</si>
  <si>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</si>
  <si>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</si>
  <si>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</si>
  <si>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</si>
  <si>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</si>
  <si>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</si>
  <si>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</si>
  <si>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</si>
  <si>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</si>
  <si>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</si>
  <si>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</si>
  <si>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</si>
  <si>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</si>
  <si>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</si>
  <si>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</si>
  <si>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</si>
  <si>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</si>
  <si>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</si>
  <si>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</si>
  <si>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</si>
  <si>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</si>
  <si>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</si>
  <si>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</si>
  <si>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</si>
  <si>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</si>
  <si>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</si>
  <si>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</si>
  <si>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</si>
  <si>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</si>
  <si>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</si>
  <si>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</si>
  <si>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</si>
  <si>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</si>
  <si>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</si>
  <si>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</si>
  <si>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</si>
  <si>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</si>
  <si>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</si>
  <si>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</si>
  <si>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</si>
  <si>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</si>
  <si>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</si>
  <si>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</si>
  <si>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</si>
  <si>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</si>
  <si>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</si>
  <si>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</si>
  <si>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</si>
  <si>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</si>
  <si>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</si>
  <si>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</si>
  <si>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</si>
  <si>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</si>
  <si>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</si>
  <si>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</si>
  <si>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</si>
  <si>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</si>
  <si>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</si>
  <si>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</si>
  <si>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</si>
  <si>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</si>
  <si>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</si>
  <si>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</si>
  <si>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</si>
  <si>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</si>
  <si>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</si>
  <si>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</si>
  <si>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</si>
  <si>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</si>
  <si>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</si>
  <si>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</si>
  <si>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</si>
  <si>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</si>
  <si>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</si>
  <si>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</si>
  <si>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</si>
  <si>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</si>
  <si>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</si>
  <si>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</si>
  <si>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</si>
  <si>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</si>
  <si>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</si>
  <si>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</si>
  <si>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</si>
  <si>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</si>
  <si>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</si>
  <si>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</si>
  <si>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</si>
  <si>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</si>
  <si>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</si>
  <si>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</si>
  <si>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</si>
  <si>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</si>
  <si>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</si>
  <si>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</si>
  <si>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</si>
  <si>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</si>
  <si>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</si>
  <si>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</si>
  <si>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</si>
  <si>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</si>
  <si>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</si>
  <si>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</si>
  <si>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</si>
  <si>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</si>
  <si>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</si>
  <si>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</si>
  <si>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</si>
  <si>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</si>
  <si>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</si>
  <si>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</si>
  <si>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</si>
  <si>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</si>
  <si>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</si>
  <si>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</si>
  <si>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</si>
  <si>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</si>
  <si>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</si>
  <si>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</si>
  <si>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</si>
  <si>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</si>
  <si>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</si>
  <si>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</si>
  <si>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</si>
  <si>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</si>
  <si>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</si>
  <si>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</si>
  <si>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</si>
  <si>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</si>
  <si>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</si>
  <si>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</si>
  <si>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</si>
  <si>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</si>
  <si>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</si>
  <si>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</si>
  <si>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</si>
  <si>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</si>
  <si>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</si>
  <si>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</si>
  <si>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</si>
  <si>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</si>
  <si>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</si>
  <si>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</si>
  <si>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</si>
  <si>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</si>
  <si>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</si>
  <si>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</si>
  <si>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</si>
  <si>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</si>
  <si>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</si>
  <si>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</si>
  <si>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</si>
  <si>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</si>
  <si>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</si>
  <si>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</si>
  <si>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</si>
  <si>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</si>
  <si>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</si>
  <si>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</si>
  <si>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</si>
  <si>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</si>
  <si>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</si>
  <si>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</si>
  <si>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</si>
  <si>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</si>
  <si>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</si>
  <si>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</si>
  <si>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</si>
  <si>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</si>
  <si>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</si>
  <si>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</si>
  <si>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</si>
  <si>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</si>
  <si>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</si>
  <si>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</si>
  <si>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</si>
  <si>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</si>
  <si>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</si>
  <si>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</si>
  <si>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</si>
  <si>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</si>
  <si>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</si>
  <si>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</si>
  <si>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</si>
  <si>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</si>
  <si>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</si>
  <si>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</si>
  <si>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</si>
  <si>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</si>
  <si>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</si>
  <si>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</si>
  <si>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</si>
  <si>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</si>
  <si>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</si>
  <si>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</si>
  <si>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</si>
  <si>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</si>
  <si>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</si>
  <si>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</si>
  <si>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</si>
  <si>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</si>
  <si>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</si>
  <si>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</si>
  <si>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</si>
  <si>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</si>
  <si>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</si>
  <si>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</si>
  <si>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</si>
  <si>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</si>
  <si>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</si>
  <si>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</si>
  <si>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</si>
  <si>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</si>
  <si>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</si>
  <si>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</si>
  <si>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</si>
  <si>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</si>
  <si>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</si>
  <si>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</si>
  <si>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</si>
  <si>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</si>
  <si>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</si>
  <si>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</si>
  <si>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</si>
  <si>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</si>
  <si>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</si>
  <si>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</si>
  <si>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</si>
  <si>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</si>
  <si>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</si>
  <si>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</si>
  <si>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</si>
  <si>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</si>
  <si>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</si>
  <si>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</si>
  <si>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</si>
  <si>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</si>
  <si>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</si>
  <si>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</si>
  <si>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</si>
  <si>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</si>
  <si>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</si>
  <si>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</si>
  <si>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</si>
  <si>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</si>
  <si>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</si>
  <si>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</si>
  <si>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</si>
  <si>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</si>
  <si>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</si>
  <si>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</si>
  <si>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</si>
  <si>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</si>
  <si>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</si>
  <si>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</si>
  <si>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</si>
  <si>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</si>
  <si>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</si>
  <si>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</si>
  <si>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</si>
  <si>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</si>
  <si>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</si>
  <si>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</si>
  <si>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</si>
  <si>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</si>
  <si>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</si>
  <si>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</si>
  <si>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</si>
  <si>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</si>
  <si>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</si>
  <si>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</si>
  <si>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</si>
  <si>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</si>
  <si>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</si>
  <si>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</si>
  <si>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</si>
  <si>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</si>
  <si>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</si>
  <si>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</si>
  <si>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</si>
  <si>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</si>
  <si>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</si>
  <si>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</si>
  <si>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</si>
  <si>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</si>
  <si>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</si>
  <si>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</si>
  <si>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</si>
  <si>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</si>
  <si>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</si>
  <si>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</si>
  <si>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</si>
  <si>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</si>
  <si>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</si>
  <si>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</si>
  <si>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</si>
  <si>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</si>
  <si>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</si>
  <si>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</si>
  <si>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</si>
  <si>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</si>
  <si>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</si>
  <si>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</si>
  <si>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</si>
  <si>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</si>
  <si>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</si>
  <si>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</si>
  <si>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</si>
  <si>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</si>
  <si>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</si>
  <si>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</si>
  <si>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</si>
  <si>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</si>
  <si>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</si>
  <si>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</si>
  <si>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</si>
  <si>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</si>
  <si>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</si>
  <si>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</si>
  <si>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</si>
  <si>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</si>
  <si>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</si>
  <si>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</si>
  <si>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</si>
  <si>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</si>
  <si>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</si>
  <si>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</si>
  <si>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</si>
  <si>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</si>
  <si>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</si>
  <si>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</si>
  <si>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</si>
  <si>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</si>
  <si>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</si>
  <si>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</si>
  <si>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</si>
  <si>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</si>
  <si>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</si>
  <si>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</si>
  <si>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</si>
  <si>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</si>
  <si>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</si>
  <si>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</si>
  <si>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</si>
  <si>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</si>
  <si>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</si>
  <si>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</si>
  <si>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</si>
  <si>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</si>
  <si>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</si>
  <si>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</si>
  <si>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</si>
  <si>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</si>
  <si>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</si>
  <si>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</si>
  <si>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</si>
  <si>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</si>
  <si>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</si>
  <si>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</si>
  <si>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</si>
  <si>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</si>
  <si>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</si>
  <si>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</si>
  <si>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</si>
  <si>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</si>
  <si>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</si>
  <si>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</si>
  <si>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</si>
  <si>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</si>
  <si>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</si>
  <si>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</si>
  <si>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</si>
  <si>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</si>
  <si>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</si>
  <si>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</si>
  <si>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</si>
  <si>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</si>
  <si>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</si>
  <si>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</si>
  <si>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</si>
  <si>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</si>
  <si>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</si>
  <si>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</si>
  <si>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</si>
  <si>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</si>
  <si>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</si>
  <si>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</si>
  <si>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</si>
  <si>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</si>
  <si>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</si>
  <si>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</si>
  <si>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</si>
  <si>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</si>
  <si>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</si>
  <si>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</si>
  <si>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</si>
  <si>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</si>
  <si>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</si>
  <si>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</si>
  <si>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</si>
  <si>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</si>
  <si>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</si>
  <si>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</si>
  <si>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</si>
  <si>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</si>
  <si>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</si>
  <si>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</si>
  <si>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</si>
  <si>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</si>
  <si>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</si>
  <si>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</si>
  <si>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</si>
  <si>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</si>
  <si>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</si>
  <si>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</si>
  <si>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</si>
  <si>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</si>
  <si>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</si>
  <si>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</si>
  <si>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</si>
  <si>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</si>
  <si>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</si>
  <si>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</si>
  <si>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</si>
  <si>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</si>
  <si>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</si>
  <si>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</si>
  <si>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</si>
  <si>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</si>
  <si>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</si>
  <si>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</si>
  <si>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</si>
  <si>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</si>
  <si>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</si>
  <si>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</si>
  <si>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</si>
  <si>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</si>
  <si>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</si>
  <si>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</si>
  <si>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</si>
  <si>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</si>
  <si>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</si>
  <si>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</si>
  <si>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</si>
  <si>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</si>
  <si>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</si>
  <si>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</si>
  <si>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</si>
  <si>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</si>
  <si>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</si>
  <si>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</si>
  <si>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</si>
  <si>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</si>
  <si>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</si>
  <si>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</si>
  <si>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</si>
  <si>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</si>
  <si>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</si>
  <si>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</si>
  <si>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</si>
  <si>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</si>
  <si>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</si>
  <si>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</si>
  <si>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</si>
  <si>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</si>
  <si>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</si>
  <si>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</si>
  <si>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</si>
  <si>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</si>
  <si>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</si>
  <si>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</si>
  <si>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</si>
  <si>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</si>
  <si>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</si>
  <si>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</si>
  <si>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</si>
  <si>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</si>
  <si>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</si>
  <si>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</si>
  <si>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</si>
  <si>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</si>
  <si>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</si>
  <si>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</si>
  <si>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</si>
  <si>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</si>
  <si>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</si>
  <si>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</si>
  <si>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</si>
  <si>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</si>
  <si>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</si>
  <si>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</si>
  <si>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</si>
  <si>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</si>
  <si>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</si>
  <si>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</si>
  <si>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</si>
  <si>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</si>
  <si>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</si>
  <si>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</si>
  <si>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</si>
  <si>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</si>
  <si>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</si>
  <si>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</si>
  <si>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</si>
  <si>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</si>
  <si>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</si>
  <si>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</si>
  <si>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</si>
  <si>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</si>
  <si>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</si>
  <si>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</si>
  <si>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</si>
  <si>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</si>
  <si>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</si>
  <si>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</si>
  <si>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</si>
  <si>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</si>
  <si>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</si>
  <si>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</si>
  <si>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</si>
  <si>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</si>
  <si>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</si>
  <si>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</si>
  <si>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</si>
  <si>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</si>
  <si>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</si>
  <si>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</si>
  <si>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</si>
  <si>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</si>
  <si>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</si>
  <si>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</si>
  <si>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</si>
  <si>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</si>
  <si>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</si>
  <si>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</si>
  <si>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</si>
  <si>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</si>
  <si>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</si>
  <si>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</si>
  <si>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</si>
  <si>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</si>
  <si>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</si>
  <si>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</si>
  <si>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</si>
  <si>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</si>
  <si>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</si>
  <si>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</si>
  <si>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</si>
  <si>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</si>
  <si>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</si>
  <si>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</si>
  <si>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</si>
  <si>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</si>
  <si>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</si>
  <si>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</si>
  <si>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</si>
  <si>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</si>
  <si>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</si>
  <si>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</si>
  <si>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</si>
  <si>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</si>
  <si>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</si>
  <si>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</si>
  <si>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</si>
  <si>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</si>
  <si>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</si>
  <si>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</si>
  <si>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</si>
  <si>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</si>
  <si>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</si>
  <si>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</si>
  <si>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</si>
  <si>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</si>
  <si>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</si>
  <si>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</si>
  <si>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</si>
  <si>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</si>
  <si>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</si>
  <si>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</si>
  <si>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</si>
  <si>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</si>
  <si>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</si>
  <si>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</si>
  <si>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</si>
  <si>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</si>
  <si>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</si>
  <si>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</si>
  <si>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</si>
  <si>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</si>
  <si>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</si>
  <si>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</si>
  <si>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</si>
  <si>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</si>
  <si>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</si>
  <si>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</si>
  <si>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</si>
  <si>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</si>
  <si>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</si>
  <si>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</si>
  <si>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</si>
  <si>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</si>
  <si>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</si>
  <si>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</si>
  <si>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</si>
  <si>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</si>
  <si>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</si>
  <si>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</si>
  <si>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</si>
  <si>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</si>
  <si>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</si>
  <si>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</si>
  <si>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</si>
  <si>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</si>
  <si>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</si>
  <si>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</si>
  <si>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</si>
  <si>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</si>
  <si>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</si>
  <si>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</si>
  <si>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</si>
  <si>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</si>
  <si>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</si>
  <si>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</si>
  <si>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</si>
  <si>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</si>
  <si>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</si>
  <si>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</si>
  <si>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</si>
  <si>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</si>
  <si>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</si>
  <si>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</si>
  <si>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</si>
  <si>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</si>
  <si>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</si>
  <si>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</si>
  <si>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</si>
  <si>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</si>
  <si>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</si>
  <si>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</si>
  <si>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</si>
  <si>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</si>
  <si>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</si>
  <si>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</si>
  <si>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</si>
  <si>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</si>
  <si>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</si>
  <si>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</si>
  <si>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</si>
  <si>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</si>
  <si>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</si>
  <si>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</si>
  <si>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</si>
  <si>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</si>
  <si>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</si>
  <si>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</si>
  <si>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</si>
  <si>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</si>
  <si>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</si>
  <si>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</si>
  <si>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</si>
  <si>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</si>
  <si>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</si>
  <si>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</si>
  <si>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</si>
  <si>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</si>
  <si>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</si>
  <si>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</si>
  <si>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</si>
  <si>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</si>
  <si>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</si>
  <si>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</si>
  <si>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</si>
  <si>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</si>
  <si>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</si>
  <si>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</si>
  <si>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</si>
  <si>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</si>
  <si>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</si>
  <si>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</si>
  <si>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</si>
  <si>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</si>
  <si>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</si>
  <si>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</si>
  <si>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</si>
  <si>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</si>
  <si>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</si>
  <si>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</si>
  <si>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</si>
  <si>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</si>
  <si>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</si>
  <si>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</si>
  <si>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</si>
  <si>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</si>
  <si>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</si>
  <si>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</si>
  <si>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</si>
  <si>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</si>
  <si>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</si>
  <si>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</si>
  <si>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</si>
  <si>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</si>
  <si>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</si>
  <si>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</si>
  <si>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</si>
  <si>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</si>
  <si>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</si>
  <si>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</si>
  <si>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</si>
  <si>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</si>
  <si>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</si>
  <si>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</si>
  <si>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</si>
  <si>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</si>
  <si>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</si>
  <si>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</si>
  <si>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</si>
  <si>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</si>
  <si>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</si>
  <si>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</si>
  <si>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</si>
  <si>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</si>
  <si>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</si>
  <si>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</si>
  <si>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</si>
  <si>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</si>
  <si>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</si>
  <si>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</si>
  <si>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</si>
  <si>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</si>
  <si>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</si>
  <si>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</si>
  <si>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</si>
  <si>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</si>
  <si>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</si>
  <si>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</si>
  <si>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</si>
  <si>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</si>
  <si>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</si>
  <si>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</si>
  <si>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</si>
  <si>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</si>
  <si>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</si>
  <si>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</si>
  <si>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</si>
  <si>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</si>
  <si>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</si>
  <si>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</si>
  <si>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</si>
  <si>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</si>
  <si>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</si>
  <si>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</si>
  <si>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</si>
  <si>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</si>
  <si>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</si>
  <si>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</si>
  <si>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</si>
  <si>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</si>
  <si>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</si>
  <si>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</si>
  <si>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</si>
  <si>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</si>
  <si>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</si>
  <si>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</si>
  <si>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</si>
  <si>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</si>
  <si>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</si>
  <si>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</si>
  <si>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</si>
  <si>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</si>
  <si>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</si>
  <si>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</si>
  <si>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</si>
  <si>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</si>
  <si>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</si>
  <si>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</si>
  <si>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</si>
  <si>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</si>
  <si>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</si>
  <si>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</si>
  <si>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</si>
  <si>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</si>
  <si>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</si>
  <si>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</si>
  <si>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</si>
  <si>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</si>
  <si>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</si>
  <si>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</si>
  <si>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</si>
  <si>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</si>
  <si>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</si>
  <si>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</si>
  <si>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</si>
  <si>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</si>
  <si>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</si>
  <si>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</si>
  <si>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</si>
  <si>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</si>
  <si>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</si>
  <si>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</si>
  <si>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</si>
  <si>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</si>
  <si>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</si>
  <si>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</si>
  <si>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</si>
  <si>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</si>
  <si>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</si>
  <si>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</si>
  <si>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</si>
  <si>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</si>
  <si>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</si>
  <si>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</si>
  <si>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</si>
  <si>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</si>
  <si>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</si>
  <si>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</si>
  <si>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</si>
  <si>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</si>
  <si>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</si>
  <si>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</si>
  <si>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</si>
  <si>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</si>
  <si>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</si>
  <si>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</si>
  <si>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</si>
  <si>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</si>
  <si>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</si>
  <si>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</si>
  <si>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</si>
  <si>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</si>
  <si>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</si>
  <si>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</si>
  <si>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</si>
  <si>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</si>
  <si>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</si>
  <si>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</si>
  <si>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</si>
  <si>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</si>
  <si>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</si>
  <si>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</si>
  <si>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</si>
  <si>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</si>
  <si>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</si>
  <si>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</si>
  <si>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</si>
  <si>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</si>
  <si>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</si>
  <si>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</si>
  <si>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</si>
  <si>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</si>
  <si>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</si>
  <si>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</si>
  <si>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</si>
  <si>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</si>
  <si>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</si>
  <si>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</si>
  <si>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</si>
  <si>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</si>
  <si>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</si>
  <si>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</si>
  <si>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</si>
  <si>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</si>
  <si>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</si>
  <si>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</si>
  <si>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</si>
  <si>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</si>
  <si>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</si>
  <si>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</si>
  <si>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</si>
  <si>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</si>
  <si>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</si>
  <si>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</si>
  <si>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</si>
  <si>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</si>
  <si>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</si>
  <si>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</si>
  <si>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</si>
  <si>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</si>
  <si>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</si>
  <si>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</si>
  <si>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</si>
  <si>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</si>
  <si>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</si>
  <si>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</si>
  <si>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</si>
  <si>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</si>
  <si>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</si>
  <si>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</si>
  <si>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</si>
  <si>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</si>
  <si>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</si>
  <si>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</si>
  <si>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</si>
  <si>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</si>
  <si>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</si>
  <si>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</si>
  <si>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</si>
  <si>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</si>
  <si>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</si>
  <si>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</si>
  <si>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</si>
  <si>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</si>
  <si>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</si>
  <si>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</si>
  <si>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</si>
  <si>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</si>
  <si>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</si>
  <si>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</si>
  <si>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</si>
  <si>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</si>
  <si>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</si>
  <si>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</si>
  <si>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</si>
  <si>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</si>
  <si>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</si>
  <si>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</si>
  <si>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</si>
  <si>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</si>
  <si>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</si>
  <si>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</si>
  <si>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</si>
  <si>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</si>
  <si>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</si>
  <si>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</si>
  <si>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</si>
  <si>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</si>
  <si>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</si>
  <si>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</si>
  <si>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</si>
  <si>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</si>
  <si>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</si>
  <si>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</si>
  <si>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</si>
  <si>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</si>
  <si>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</si>
  <si>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</si>
  <si>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</si>
  <si>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</si>
  <si>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</si>
  <si>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</si>
  <si>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</si>
  <si>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</si>
  <si>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</si>
  <si>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</si>
  <si>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</si>
  <si>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</si>
  <si>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</si>
  <si>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</si>
  <si>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</si>
  <si>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</si>
  <si>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</si>
  <si>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</si>
  <si>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</si>
  <si>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</si>
  <si>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</si>
  <si>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</si>
  <si>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</si>
  <si>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</si>
  <si>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</si>
  <si>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</si>
  <si>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</si>
  <si>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</si>
  <si>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</si>
  <si>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</si>
  <si>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</si>
  <si>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</si>
  <si>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</si>
  <si>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</si>
  <si>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</si>
  <si>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</si>
  <si>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</si>
  <si>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</si>
  <si>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</si>
  <si>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</si>
  <si>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</si>
  <si>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</si>
  <si>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</si>
  <si>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</si>
  <si>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</si>
  <si>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</si>
  <si>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</si>
  <si>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</si>
  <si>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</si>
  <si>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</si>
  <si>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</si>
  <si>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</si>
  <si>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</si>
  <si>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</si>
  <si>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</si>
  <si>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</si>
  <si>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</si>
  <si>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</si>
  <si>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</si>
  <si>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</si>
  <si>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</si>
  <si>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</si>
  <si>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</si>
  <si>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</si>
  <si>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</si>
  <si>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</si>
  <si>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</si>
  <si>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</si>
  <si>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</si>
  <si>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</si>
  <si>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</si>
  <si>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</si>
  <si>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</si>
  <si>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</si>
  <si>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</si>
  <si>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</si>
  <si>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</si>
  <si>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</si>
  <si>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</si>
  <si>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</si>
  <si>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</si>
  <si>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</si>
  <si>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</si>
  <si>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</si>
  <si>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</si>
  <si>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</si>
  <si>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</si>
  <si>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</si>
  <si>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</si>
  <si>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</si>
  <si>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</si>
  <si>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</si>
  <si>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</si>
  <si>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</si>
  <si>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</si>
  <si>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</si>
  <si>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</si>
  <si>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</si>
  <si>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</si>
  <si>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</si>
  <si>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</si>
  <si>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</si>
  <si>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</si>
  <si>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</si>
  <si>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</si>
  <si>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</si>
  <si>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</si>
  <si>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</si>
  <si>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</si>
  <si>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</si>
  <si>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</si>
  <si>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</si>
  <si>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</si>
  <si>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</si>
  <si>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</si>
  <si>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</si>
  <si>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</si>
  <si>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</si>
  <si>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</si>
  <si>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</si>
  <si>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</si>
  <si>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</si>
  <si>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</si>
  <si>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</si>
  <si>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</si>
  <si>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</si>
  <si>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</si>
  <si>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</si>
  <si>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</si>
  <si>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</si>
  <si>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</si>
  <si>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</si>
  <si>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</si>
  <si>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</si>
  <si>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</si>
  <si>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</si>
  <si>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</si>
  <si>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</si>
  <si>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</si>
  <si>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</si>
  <si>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</si>
  <si>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</si>
  <si>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</si>
  <si>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</si>
  <si>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</si>
  <si>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</si>
  <si>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</si>
  <si>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</si>
  <si>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</si>
  <si>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</si>
  <si>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</si>
  <si>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</si>
  <si>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</si>
  <si>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</si>
  <si>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</si>
  <si>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</si>
  <si>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</si>
  <si>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</si>
  <si>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</si>
  <si>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</si>
  <si>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</si>
  <si>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</si>
  <si>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</si>
  <si>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</si>
  <si>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</si>
  <si>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</si>
  <si>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</si>
  <si>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</si>
  <si>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</si>
  <si>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</si>
  <si>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</si>
  <si>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</si>
  <si>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</si>
  <si>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</si>
  <si>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</si>
  <si>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</si>
  <si>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</si>
  <si>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</si>
  <si>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</si>
  <si>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</si>
  <si>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</si>
  <si>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</si>
  <si>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</si>
  <si>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</si>
  <si>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</si>
  <si>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</si>
  <si>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</si>
  <si>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</si>
  <si>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</si>
  <si>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</si>
  <si>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</si>
  <si>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</si>
  <si>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</si>
  <si>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</si>
  <si>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</si>
  <si>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</si>
  <si>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</si>
  <si>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</si>
  <si>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</si>
  <si>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</si>
  <si>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</si>
  <si>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</si>
  <si>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</si>
  <si>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</si>
  <si>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</si>
  <si>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</si>
  <si>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</si>
  <si>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</si>
  <si>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</si>
  <si>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</si>
  <si>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</si>
  <si>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</si>
  <si>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</si>
  <si>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</si>
  <si>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</si>
  <si>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</si>
  <si>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</si>
  <si>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</si>
  <si>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</si>
  <si>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</si>
  <si>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</si>
  <si>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</si>
  <si>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</si>
  <si>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</si>
  <si>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</si>
  <si>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</si>
  <si>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</si>
  <si>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</si>
  <si>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</si>
  <si>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</si>
  <si>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</si>
  <si>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</si>
  <si>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</si>
  <si>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</si>
  <si>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</si>
  <si>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</si>
  <si>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</si>
  <si>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</si>
  <si>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</si>
  <si>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</si>
  <si>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</si>
  <si>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</si>
  <si>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</si>
  <si>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</si>
  <si>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</si>
  <si>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</si>
  <si>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</si>
  <si>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</si>
  <si>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</si>
  <si>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</si>
  <si>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</si>
  <si>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</si>
  <si>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</si>
  <si>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</si>
  <si>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</si>
  <si>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</si>
  <si>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</si>
  <si>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</si>
  <si>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</si>
  <si>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</si>
  <si>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</si>
  <si>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</si>
  <si>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</si>
  <si>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</si>
  <si>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</si>
  <si>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</si>
  <si>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</si>
  <si>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</si>
  <si>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</si>
  <si>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</si>
  <si>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</si>
  <si>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</si>
  <si>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</si>
  <si>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</si>
  <si>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</si>
  <si>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</si>
  <si>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</si>
  <si>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</si>
  <si>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</si>
  <si>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</si>
  <si>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</si>
  <si>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</si>
  <si>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</si>
  <si>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</si>
  <si>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</si>
  <si>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</si>
  <si>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</si>
  <si>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</si>
  <si>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</si>
  <si>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</si>
  <si>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</si>
  <si>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</si>
  <si>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</si>
  <si>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</si>
  <si>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</si>
  <si>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</si>
  <si>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</si>
  <si>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</si>
  <si>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</si>
  <si>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</si>
  <si>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</si>
  <si>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</si>
  <si>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</si>
  <si>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</si>
  <si>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</si>
  <si>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</si>
  <si>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</si>
  <si>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</si>
  <si>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</si>
  <si>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</si>
  <si>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</si>
  <si>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</si>
  <si>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</si>
  <si>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</si>
  <si>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</si>
  <si>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</si>
  <si>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</si>
  <si>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</si>
  <si>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</si>
  <si>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</si>
  <si>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</si>
  <si>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</si>
  <si>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</si>
  <si>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</si>
  <si>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</si>
  <si>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</si>
  <si>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</si>
  <si>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</si>
  <si>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</si>
  <si>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</si>
  <si>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</si>
  <si>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</si>
  <si>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</si>
  <si>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</si>
  <si>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</si>
  <si>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</si>
  <si>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</si>
  <si>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</si>
  <si>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</si>
  <si>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</si>
  <si>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</si>
  <si>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</si>
  <si>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</si>
  <si>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</si>
  <si>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</si>
  <si>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</si>
  <si>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</si>
  <si>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</si>
  <si>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</si>
  <si>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</si>
  <si>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</si>
  <si>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</si>
  <si>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</si>
  <si>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</si>
  <si>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</si>
  <si>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</si>
  <si>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</si>
  <si>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</si>
  <si>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</si>
  <si>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</si>
  <si>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</si>
  <si>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</si>
  <si>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</si>
  <si>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</si>
  <si>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</si>
  <si>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</si>
  <si>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</si>
  <si>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</si>
  <si>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</si>
  <si>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</si>
  <si>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</si>
  <si>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</si>
  <si>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</si>
  <si>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</si>
  <si>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</si>
  <si>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</si>
  <si>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</si>
  <si>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</si>
  <si>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</si>
  <si>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</si>
  <si>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</si>
  <si>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</si>
  <si>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</si>
  <si>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</si>
  <si>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</si>
  <si>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</si>
  <si>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</si>
  <si>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</si>
  <si>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</si>
  <si>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</si>
  <si>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</si>
  <si>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</si>
  <si>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</si>
  <si>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</si>
  <si>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</si>
  <si>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</si>
  <si>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</si>
  <si>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</si>
  <si>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</si>
  <si>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</si>
  <si>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</si>
  <si>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</si>
  <si>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</si>
  <si>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</si>
  <si>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</si>
  <si>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</si>
  <si>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</si>
  <si>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</si>
  <si>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</si>
  <si>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</si>
  <si>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</si>
  <si>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</si>
  <si>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</si>
  <si>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</si>
  <si>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</si>
  <si>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</si>
  <si>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</si>
  <si>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</si>
  <si>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</si>
  <si>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</si>
  <si>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</si>
  <si>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</si>
  <si>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</si>
  <si>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</si>
  <si>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</si>
  <si>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</si>
  <si>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</si>
  <si>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</si>
  <si>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</si>
  <si>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</si>
  <si>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</si>
  <si>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</si>
  <si>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</si>
  <si>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</si>
  <si>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</si>
  <si>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</si>
  <si>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</si>
  <si>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</si>
  <si>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</si>
  <si>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</si>
  <si>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</si>
  <si>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</si>
  <si>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</si>
  <si>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</si>
  <si>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</si>
  <si>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</si>
  <si>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</si>
  <si>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</si>
  <si>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</si>
  <si>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</si>
  <si>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</si>
  <si>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</si>
  <si>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</si>
  <si>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</si>
  <si>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</si>
  <si>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</si>
  <si>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</si>
  <si>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</si>
  <si>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</si>
  <si>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</si>
  <si>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</si>
  <si>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</si>
  <si>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</si>
  <si>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</si>
  <si>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</si>
  <si>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</si>
  <si>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</si>
  <si>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</si>
  <si>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</si>
  <si>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</si>
  <si>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</si>
  <si>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</si>
  <si>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</si>
  <si>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</si>
  <si>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</si>
  <si>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</si>
  <si>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</si>
  <si>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</si>
  <si>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</si>
  <si>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</si>
  <si>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</si>
  <si>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</si>
  <si>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</si>
  <si>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</si>
  <si>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</si>
  <si>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</si>
  <si>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</si>
  <si>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</si>
  <si>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</si>
  <si>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</si>
  <si>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</si>
  <si>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</si>
  <si>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</si>
  <si>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</si>
  <si>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</si>
  <si>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</si>
  <si>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</si>
  <si>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</si>
  <si>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</si>
  <si>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</si>
  <si>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</si>
  <si>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</si>
  <si>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</si>
  <si>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</si>
  <si>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</si>
  <si>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</si>
  <si>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</si>
  <si>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</si>
  <si>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</si>
  <si>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</si>
  <si>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</si>
  <si>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</si>
  <si>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</si>
  <si>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</si>
  <si>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</si>
  <si>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</si>
  <si>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</si>
  <si>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</si>
  <si>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</si>
  <si>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</si>
  <si>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</si>
  <si>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</si>
  <si>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</si>
  <si>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</si>
  <si>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</si>
  <si>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</si>
  <si>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</si>
  <si>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</si>
  <si>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</si>
  <si>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</si>
  <si>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</si>
  <si>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</si>
  <si>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</si>
  <si>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</si>
  <si>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</si>
  <si>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</si>
  <si>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</si>
  <si>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</si>
  <si>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</si>
  <si>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</si>
  <si>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</si>
  <si>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</si>
  <si>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</si>
  <si>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</si>
  <si>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</si>
  <si>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</si>
  <si>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</si>
  <si>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</si>
  <si>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</si>
  <si>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</si>
  <si>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</si>
  <si>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</si>
  <si>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</si>
  <si>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</si>
  <si>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</si>
  <si>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</si>
  <si>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</si>
  <si>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</si>
  <si>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</si>
  <si>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</si>
  <si>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</si>
  <si>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</si>
  <si>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</si>
  <si>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</si>
  <si>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</si>
  <si>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</si>
  <si>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</si>
  <si>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</si>
  <si>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</si>
  <si>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</si>
  <si>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</si>
  <si>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</si>
  <si>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</si>
  <si>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</si>
  <si>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</si>
  <si>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</si>
  <si>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</si>
  <si>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</si>
  <si>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</si>
  <si>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</si>
  <si>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</si>
  <si>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</si>
  <si>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</si>
  <si>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</si>
  <si>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</si>
  <si>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</si>
  <si>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</si>
  <si>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</si>
  <si>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</si>
  <si>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</si>
  <si>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</si>
  <si>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</si>
  <si>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</si>
  <si>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</si>
  <si>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</si>
  <si>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</si>
  <si>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</si>
  <si>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</si>
  <si>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</si>
  <si>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</si>
  <si>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</si>
  <si>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</si>
  <si>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</si>
  <si>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</si>
  <si>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</si>
  <si>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</si>
  <si>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</si>
  <si>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</si>
  <si>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</si>
  <si>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</si>
  <si>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</si>
  <si>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</si>
  <si>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</si>
  <si>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</si>
  <si>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</si>
  <si>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</si>
  <si>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</si>
  <si>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</si>
  <si>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</si>
  <si>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</si>
  <si>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</si>
  <si>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</si>
  <si>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</si>
  <si>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</si>
  <si>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</si>
  <si>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</si>
  <si>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</si>
  <si>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</si>
  <si>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</si>
  <si>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</si>
  <si>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</si>
  <si>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</si>
  <si>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</si>
  <si>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</si>
  <si>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</si>
  <si>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</si>
  <si>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</si>
  <si>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</si>
  <si>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</si>
  <si>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</si>
  <si>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</si>
  <si>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</si>
  <si>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</si>
  <si>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</si>
  <si>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</si>
  <si>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</si>
  <si>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</si>
  <si>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</si>
  <si>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</si>
  <si>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</si>
  <si>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</si>
  <si>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</si>
  <si>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</si>
  <si>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</si>
  <si>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</si>
  <si>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</si>
  <si>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</si>
  <si>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</si>
  <si>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</si>
  <si>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</si>
  <si>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</si>
  <si>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</si>
  <si>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</si>
  <si>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</si>
  <si>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</si>
  <si>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</si>
  <si>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</si>
  <si>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</si>
  <si>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</si>
  <si>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</si>
  <si>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</si>
  <si>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</si>
  <si>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</si>
  <si>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</si>
  <si>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</si>
  <si>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</si>
  <si>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</si>
  <si>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</si>
  <si>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</si>
  <si>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</si>
  <si>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</si>
  <si>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</si>
  <si>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</si>
  <si>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</si>
  <si>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</si>
  <si>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</si>
  <si>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</si>
  <si>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</si>
  <si>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</si>
  <si>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</si>
  <si>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</si>
  <si>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</si>
  <si>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</si>
  <si>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</si>
  <si>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</si>
  <si>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</si>
  <si>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</si>
  <si>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</si>
  <si>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</si>
  <si>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</si>
  <si>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</si>
  <si>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</si>
  <si>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</si>
  <si>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</si>
  <si>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</si>
  <si>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</si>
  <si>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</si>
  <si>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</si>
  <si>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</si>
  <si>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</si>
  <si>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</si>
  <si>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</si>
  <si>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</si>
  <si>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</si>
  <si>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</si>
  <si>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</si>
  <si>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</si>
  <si>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</si>
  <si>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</si>
  <si>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</si>
  <si>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</si>
  <si>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</si>
  <si>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</si>
  <si>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</si>
  <si>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</si>
  <si>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</si>
  <si>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</si>
  <si>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</si>
  <si>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</si>
  <si>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</si>
  <si>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</si>
  <si>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</si>
  <si>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</si>
  <si>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</si>
  <si>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</si>
  <si>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</si>
  <si>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</si>
  <si>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</si>
  <si>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</si>
  <si>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</si>
  <si>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</si>
  <si>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</si>
  <si>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</si>
  <si>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</si>
  <si>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</si>
  <si>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</si>
  <si>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</si>
  <si>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</si>
  <si>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</si>
  <si>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</si>
  <si>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</si>
  <si>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</si>
  <si>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</si>
  <si>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</si>
  <si>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</si>
  <si>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</si>
  <si>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</si>
  <si>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</si>
  <si>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</si>
  <si>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</si>
  <si>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</si>
  <si>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</si>
  <si>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</si>
  <si>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</si>
  <si>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</si>
  <si>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</si>
  <si>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</si>
  <si>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</si>
  <si>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</si>
  <si>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</si>
  <si>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</si>
  <si>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</si>
  <si>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</si>
  <si>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</si>
  <si>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</si>
  <si>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</si>
  <si>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</si>
  <si>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</si>
  <si>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</si>
  <si>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</si>
  <si>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</si>
  <si>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</si>
  <si>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</si>
  <si>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</si>
  <si>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</si>
  <si>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</si>
  <si>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</si>
  <si>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</si>
  <si>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</si>
  <si>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</si>
  <si>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</si>
  <si>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</si>
  <si>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</si>
  <si>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</si>
  <si>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</si>
  <si>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</si>
  <si>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</si>
  <si>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</si>
  <si>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</si>
  <si>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</si>
  <si>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</si>
  <si>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</si>
  <si>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</si>
  <si>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</si>
  <si>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</si>
  <si>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</si>
  <si>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</si>
  <si>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</si>
  <si>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</si>
  <si>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</si>
  <si>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</si>
  <si>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</si>
  <si>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</si>
  <si>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</si>
  <si>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</si>
  <si>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</si>
  <si>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</si>
  <si>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</si>
  <si>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</si>
  <si>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</si>
  <si>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</si>
  <si>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</si>
  <si>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</si>
  <si>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</si>
  <si>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</si>
  <si>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</si>
  <si>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</si>
  <si>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</si>
  <si>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</si>
  <si>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</si>
  <si>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</si>
  <si>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</si>
  <si>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</si>
  <si>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</si>
  <si>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</si>
  <si>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</si>
  <si>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</si>
  <si>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</si>
  <si>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</si>
  <si>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</si>
  <si>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</si>
  <si>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</si>
  <si>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</si>
  <si>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</si>
  <si>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</si>
  <si>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</si>
  <si>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</si>
  <si>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</si>
  <si>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</si>
  <si>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</si>
  <si>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</si>
  <si>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</si>
  <si>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</si>
  <si>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</si>
  <si>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</si>
  <si>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</si>
  <si>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</si>
  <si>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</si>
  <si>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</si>
  <si>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</si>
  <si>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</si>
  <si>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</si>
  <si>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</si>
  <si>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</si>
  <si>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</si>
  <si>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</si>
  <si>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</si>
  <si>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</si>
  <si>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</si>
  <si>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</si>
  <si>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</si>
  <si>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</si>
  <si>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</si>
  <si>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</si>
  <si>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</si>
  <si>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</si>
  <si>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</si>
  <si>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</si>
  <si>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</si>
  <si>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</si>
  <si>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</si>
  <si>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</si>
  <si>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</si>
  <si>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</si>
  <si>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</si>
  <si>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</si>
  <si>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</si>
  <si>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</si>
  <si>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</si>
  <si>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</si>
  <si>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</si>
  <si>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</si>
  <si>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</si>
  <si>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</si>
  <si>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</si>
  <si>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</si>
  <si>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</si>
  <si>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</si>
  <si>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</si>
  <si>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</si>
  <si>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</si>
  <si>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</si>
  <si>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</si>
  <si>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</si>
  <si>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</si>
  <si>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</si>
  <si>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</si>
  <si>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</si>
  <si>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</si>
  <si>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</si>
  <si>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</si>
  <si>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</si>
  <si>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</si>
  <si>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</si>
  <si>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</si>
  <si>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</si>
  <si>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</si>
  <si>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</si>
  <si>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</si>
  <si>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</si>
  <si>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</si>
  <si>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</si>
  <si>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</si>
  <si>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</si>
  <si>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</si>
  <si>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</si>
  <si>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</si>
  <si>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</si>
  <si>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</si>
  <si>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</si>
  <si>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</si>
  <si>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</si>
  <si>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</si>
  <si>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</si>
  <si>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</si>
  <si>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</si>
  <si>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</si>
  <si>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</si>
  <si>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</si>
  <si>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</si>
  <si>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</si>
  <si>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</si>
  <si>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</si>
  <si>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</si>
  <si>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</si>
  <si>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</si>
  <si>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</si>
  <si>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</si>
  <si>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</si>
  <si>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</si>
  <si>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</si>
  <si>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</si>
  <si>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</si>
  <si>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</si>
  <si>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</si>
  <si>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</si>
  <si>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</si>
  <si>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</si>
  <si>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</si>
  <si>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</si>
  <si>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</si>
  <si>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</si>
  <si>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</si>
  <si>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</si>
  <si>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</si>
  <si>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</si>
  <si>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</si>
  <si>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</si>
  <si>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</si>
  <si>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</si>
  <si>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</si>
  <si>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</si>
  <si>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</si>
  <si>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</si>
  <si>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</si>
  <si>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</si>
  <si>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</si>
  <si>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</si>
  <si>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</si>
  <si>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</si>
  <si>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</si>
  <si>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</si>
  <si>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</si>
  <si>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</si>
  <si>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</si>
  <si>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</si>
  <si>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</si>
  <si>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</si>
  <si>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</si>
  <si>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</si>
  <si>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</si>
  <si>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</si>
  <si>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</si>
  <si>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</si>
  <si>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</si>
  <si>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</si>
  <si>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</si>
  <si>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</si>
  <si>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</si>
  <si>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</si>
  <si>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</si>
  <si>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</si>
  <si>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</si>
  <si>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</si>
  <si>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</si>
  <si>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</si>
  <si>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</si>
  <si>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</si>
  <si>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</si>
  <si>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</si>
  <si>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</si>
  <si>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</si>
  <si>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</si>
  <si>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</si>
  <si>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</si>
  <si>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</si>
  <si>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</si>
  <si>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</si>
  <si>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</si>
  <si>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</si>
  <si>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</si>
  <si>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</si>
  <si>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</si>
  <si>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</si>
  <si>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</si>
  <si>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</si>
  <si>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</si>
  <si>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</si>
  <si>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</si>
  <si>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</si>
  <si>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</si>
  <si>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</si>
  <si>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</si>
  <si>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</si>
  <si>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</si>
  <si>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</si>
  <si>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</si>
  <si>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</si>
  <si>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</si>
  <si>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</si>
  <si>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</si>
  <si>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</si>
  <si>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</si>
  <si>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</si>
  <si>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</si>
  <si>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</si>
  <si>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</si>
  <si>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</si>
  <si>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</si>
  <si>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</si>
  <si>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</si>
  <si>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</si>
  <si>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</si>
  <si>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</si>
  <si>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</si>
  <si>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</si>
  <si>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</si>
  <si>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</si>
  <si>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</si>
  <si>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</si>
  <si>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</si>
  <si>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</si>
  <si>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</si>
  <si>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</si>
  <si>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</si>
  <si>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</si>
  <si>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</si>
  <si>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</si>
  <si>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</si>
  <si>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</si>
  <si>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</si>
  <si>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</si>
  <si>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</si>
  <si>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</si>
  <si>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</si>
  <si>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</si>
  <si>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</si>
  <si>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</si>
  <si>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</si>
  <si>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</si>
  <si>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</si>
  <si>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</si>
  <si>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</si>
  <si>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</si>
  <si>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</si>
  <si>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</si>
  <si>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</si>
  <si>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</si>
  <si>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</si>
  <si>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</si>
  <si>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</si>
  <si>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</si>
  <si>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</si>
  <si>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</si>
  <si>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</si>
  <si>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</si>
  <si>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</si>
  <si>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</si>
  <si>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</si>
  <si>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</si>
  <si>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</si>
  <si>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</si>
  <si>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</si>
  <si>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</si>
  <si>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</si>
  <si>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</si>
  <si>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</si>
  <si>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</si>
  <si>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</si>
  <si>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</si>
  <si>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</si>
  <si>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</si>
  <si>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</si>
  <si>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</si>
  <si>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</si>
  <si>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</si>
  <si>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</si>
  <si>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</si>
  <si>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</si>
  <si>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</si>
  <si>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</si>
  <si>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</si>
  <si>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</si>
  <si>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</si>
  <si>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</si>
  <si>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</si>
  <si>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</si>
  <si>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</si>
  <si>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</si>
  <si>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</si>
  <si>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</si>
  <si>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</si>
  <si>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</si>
  <si>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</si>
  <si>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</si>
  <si>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</si>
  <si>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</si>
  <si>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</si>
  <si>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</si>
  <si>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</si>
  <si>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</si>
  <si>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</si>
  <si>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</si>
  <si>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</si>
  <si>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</si>
  <si>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</si>
  <si>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</si>
  <si>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</si>
  <si>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</si>
  <si>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</si>
  <si>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</si>
  <si>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</si>
  <si>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</si>
  <si>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</si>
  <si>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</si>
  <si>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</si>
  <si>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</si>
  <si>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</si>
  <si>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</si>
  <si>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</si>
  <si>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</si>
  <si>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</si>
  <si>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</si>
  <si>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</si>
  <si>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</si>
  <si>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</si>
  <si>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</si>
  <si>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</si>
  <si>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</si>
  <si>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</si>
  <si>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</si>
  <si>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</si>
  <si>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</si>
  <si>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</si>
  <si>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</si>
  <si>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</si>
  <si>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</si>
  <si>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</si>
  <si>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</si>
  <si>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</si>
  <si>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</si>
  <si>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</si>
  <si>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</si>
  <si>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</si>
  <si>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</si>
  <si>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</si>
  <si>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</si>
  <si>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</si>
  <si>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</si>
  <si>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</si>
  <si>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</si>
  <si>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</si>
  <si>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</si>
  <si>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</si>
  <si>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</si>
  <si>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</si>
  <si>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</si>
  <si>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</si>
  <si>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</si>
  <si>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</si>
  <si>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</si>
  <si>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</si>
  <si>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</si>
  <si>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</si>
  <si>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</si>
  <si>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</si>
  <si>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</si>
  <si>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</si>
  <si>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</si>
  <si>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</si>
  <si>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</si>
  <si>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</si>
  <si>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</si>
  <si>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</si>
  <si>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</si>
  <si>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</si>
  <si>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</si>
  <si>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</si>
  <si>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</si>
  <si>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</si>
  <si>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</si>
  <si>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</si>
  <si>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</si>
  <si>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</si>
  <si>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</si>
  <si>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</si>
  <si>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</si>
  <si>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</si>
  <si>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</si>
  <si>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</si>
  <si>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</si>
  <si>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</si>
  <si>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</si>
  <si>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</si>
  <si>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</si>
  <si>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</si>
  <si>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</si>
  <si>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</si>
  <si>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</si>
  <si>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</si>
  <si>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</si>
  <si>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</si>
  <si>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</si>
  <si>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</si>
  <si>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</si>
  <si>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</si>
  <si>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</si>
  <si>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</si>
  <si>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</si>
  <si>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</si>
  <si>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</si>
  <si>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</si>
  <si>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</si>
  <si>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</si>
  <si>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</si>
  <si>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</si>
  <si>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</si>
  <si>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</si>
  <si>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</si>
  <si>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</si>
  <si>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</si>
  <si>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</si>
  <si>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</si>
  <si>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</si>
  <si>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</si>
  <si>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</si>
  <si>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</si>
  <si>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</si>
  <si>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</si>
  <si>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</si>
  <si>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</si>
  <si>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</si>
  <si>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</si>
  <si>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</si>
  <si>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</si>
  <si>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</si>
  <si>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</si>
  <si>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</si>
  <si>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</si>
  <si>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</si>
  <si>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</si>
  <si>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</si>
  <si>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</si>
  <si>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</si>
  <si>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</si>
  <si>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</si>
  <si>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</si>
  <si>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</si>
  <si>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</si>
  <si>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</si>
  <si>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</si>
  <si>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</si>
  <si>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</si>
  <si>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</si>
  <si>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</si>
  <si>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</si>
  <si>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</si>
  <si>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</si>
  <si>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</si>
  <si>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</si>
  <si>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</si>
  <si>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</si>
  <si>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</si>
  <si>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</si>
  <si>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</si>
  <si>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</si>
  <si>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</si>
  <si>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</si>
  <si>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</si>
  <si>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</si>
  <si>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</si>
  <si>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</si>
  <si>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</si>
  <si>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</si>
  <si>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</si>
  <si>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</si>
  <si>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</si>
  <si>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</si>
  <si>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</si>
  <si>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</si>
  <si>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</si>
  <si>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</si>
  <si>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</si>
  <si>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</si>
  <si>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</si>
  <si>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</si>
  <si>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</si>
  <si>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</si>
  <si>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</si>
  <si>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</si>
  <si>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</si>
  <si>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</si>
  <si>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</si>
  <si>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</si>
  <si>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</si>
  <si>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</si>
  <si>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</si>
  <si>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</si>
  <si>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</si>
  <si>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</si>
  <si>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</si>
  <si>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</si>
  <si>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</si>
  <si>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</si>
  <si>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</si>
  <si>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</si>
  <si>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</si>
  <si>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</si>
  <si>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</si>
  <si>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</si>
  <si>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</si>
  <si>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</si>
  <si>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</si>
  <si>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</si>
  <si>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</si>
  <si>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</si>
  <si>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</si>
  <si>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</si>
  <si>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</si>
  <si>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</si>
  <si>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</si>
  <si>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</si>
  <si>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</si>
  <si>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</si>
  <si>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</si>
  <si>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</si>
  <si>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</si>
  <si>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</si>
  <si>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</si>
  <si>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</si>
  <si>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</si>
  <si>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</si>
  <si>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</si>
  <si>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</si>
  <si>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</si>
  <si>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</si>
  <si>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</si>
  <si>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</si>
  <si>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</si>
  <si>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</si>
  <si>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</si>
  <si>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</si>
  <si>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</si>
  <si>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</si>
  <si>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</si>
  <si>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</si>
  <si>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</si>
  <si>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</si>
  <si>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</si>
  <si>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</si>
  <si>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</si>
  <si>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</si>
  <si>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</si>
  <si>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</si>
  <si>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</si>
  <si>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</si>
  <si>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</si>
  <si>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</si>
  <si>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</si>
  <si>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</si>
  <si>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</si>
  <si>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</si>
  <si>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</si>
  <si>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</si>
  <si>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</si>
  <si>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</si>
  <si>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</si>
  <si>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</si>
  <si>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</si>
  <si>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</si>
  <si>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</si>
  <si>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</si>
  <si>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</si>
  <si>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</si>
  <si>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</si>
  <si>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</si>
  <si>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</si>
  <si>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</si>
  <si>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</si>
  <si>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</si>
  <si>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</si>
  <si>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</si>
  <si>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</si>
  <si>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</si>
  <si>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</si>
  <si>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</si>
  <si>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</si>
  <si>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</si>
  <si>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</si>
  <si>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</si>
  <si>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</si>
  <si>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</si>
  <si>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</si>
  <si>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</si>
  <si>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</si>
  <si>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</si>
  <si>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</si>
  <si>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</si>
  <si>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</si>
  <si>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</si>
  <si>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</si>
  <si>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</si>
  <si>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</si>
  <si>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</si>
  <si>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</si>
  <si>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</si>
  <si>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</si>
  <si>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</si>
  <si>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</si>
  <si>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</si>
  <si>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</si>
  <si>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</si>
  <si>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</si>
  <si>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</si>
  <si>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</si>
  <si>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</si>
  <si>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</si>
  <si>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</si>
  <si>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</si>
  <si>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</si>
  <si>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</si>
  <si>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</si>
  <si>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</si>
  <si>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</si>
  <si>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</si>
  <si>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</si>
  <si>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</si>
  <si>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</si>
  <si>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</si>
  <si>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</si>
  <si>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</si>
  <si>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</si>
  <si>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</si>
  <si>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</si>
  <si>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</si>
  <si>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</si>
  <si>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</si>
  <si>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</si>
  <si>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</si>
  <si>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</si>
  <si>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</si>
  <si>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</si>
  <si>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</si>
  <si>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</si>
  <si>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</si>
  <si>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</si>
  <si>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</si>
  <si>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</si>
  <si>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</si>
  <si>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</si>
  <si>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</si>
  <si>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</si>
  <si>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</si>
  <si>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</si>
  <si>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</si>
  <si>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</si>
  <si>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</si>
  <si>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</si>
  <si>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</si>
  <si>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</si>
  <si>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</si>
  <si>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</si>
  <si>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</si>
  <si>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</si>
  <si>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</si>
  <si>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</si>
  <si>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</si>
  <si>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</si>
  <si>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</si>
  <si>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</si>
  <si>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</si>
  <si>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</si>
  <si>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</si>
  <si>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</si>
  <si>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</si>
  <si>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</si>
  <si>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</si>
  <si>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</si>
  <si>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</si>
  <si>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</si>
  <si>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</si>
  <si>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</si>
  <si>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</si>
  <si>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</si>
  <si>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</si>
  <si>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</si>
  <si>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</si>
  <si>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</si>
  <si>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</si>
  <si>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</si>
  <si>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</si>
  <si>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</si>
  <si>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</si>
  <si>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</si>
  <si>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</si>
  <si>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</si>
  <si>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</si>
  <si>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</si>
  <si>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</si>
  <si>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</si>
  <si>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</si>
  <si>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</si>
  <si>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</si>
  <si>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</si>
  <si>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</si>
  <si>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</si>
  <si>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</si>
  <si>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</si>
  <si>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</si>
  <si>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</si>
  <si>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</si>
  <si>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</si>
  <si>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</si>
  <si>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</si>
  <si>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</si>
  <si>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</si>
  <si>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</si>
  <si>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</si>
  <si>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</si>
  <si>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</si>
  <si>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</si>
  <si>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</si>
  <si>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</si>
  <si>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</si>
  <si>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</si>
  <si>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</si>
  <si>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</si>
  <si>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</si>
  <si>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</si>
  <si>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</si>
  <si>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</si>
  <si>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</si>
  <si>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</si>
  <si>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</si>
  <si>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</si>
  <si>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</si>
  <si>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</si>
  <si>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</si>
  <si>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</si>
  <si>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</si>
  <si>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</si>
  <si>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</si>
  <si>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</si>
  <si>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</si>
  <si>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</si>
  <si>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</si>
  <si>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</si>
  <si>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</si>
  <si>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</si>
  <si>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</si>
  <si>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</si>
  <si>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</si>
  <si>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</si>
  <si>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</si>
  <si>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</si>
  <si>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</si>
  <si>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</si>
  <si>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</si>
  <si>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</si>
  <si>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</si>
  <si>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</si>
  <si>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</si>
  <si>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</si>
  <si>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</si>
  <si>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</si>
  <si>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</si>
  <si>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</si>
  <si>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</si>
  <si>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</si>
  <si>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</si>
  <si>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</si>
  <si>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</si>
  <si>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</si>
  <si>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</si>
  <si>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</si>
  <si>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</si>
  <si>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</si>
  <si>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</si>
  <si>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</si>
  <si>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</si>
  <si>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</si>
  <si>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</si>
  <si>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</si>
  <si>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</si>
  <si>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</si>
  <si>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</si>
  <si>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</si>
  <si>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</si>
  <si>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</si>
  <si>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</si>
  <si>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</si>
  <si>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</si>
  <si>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</si>
  <si>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</si>
  <si>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</si>
  <si>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</si>
  <si>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</si>
  <si>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</si>
  <si>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</si>
  <si>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</si>
  <si>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</si>
  <si>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</si>
  <si>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</si>
  <si>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</si>
  <si>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</si>
  <si>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</si>
  <si>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</si>
  <si>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</si>
  <si>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</si>
  <si>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</si>
  <si>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</si>
  <si>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</si>
  <si>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</si>
  <si>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</si>
  <si>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</si>
  <si>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</si>
  <si>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</si>
  <si>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</si>
  <si>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</si>
  <si>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</si>
  <si>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</si>
  <si>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</si>
  <si>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</si>
  <si>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</si>
  <si>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</si>
  <si>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</si>
  <si>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</si>
  <si>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</si>
  <si>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</si>
  <si>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</si>
  <si>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</si>
  <si>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</si>
  <si>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</si>
  <si>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</si>
  <si>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</si>
  <si>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</si>
  <si>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</si>
  <si>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</si>
  <si>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</si>
  <si>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</si>
  <si>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</si>
  <si>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</si>
  <si>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</si>
  <si>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</si>
  <si>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</si>
  <si>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</si>
  <si>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</si>
  <si>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</si>
  <si>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</si>
  <si>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</si>
  <si>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</si>
  <si>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</si>
  <si>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</si>
  <si>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</si>
  <si>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</si>
  <si>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</si>
  <si>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</si>
  <si>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</si>
  <si>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</si>
  <si>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</si>
  <si>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</si>
  <si>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</si>
  <si>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</si>
  <si>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</si>
  <si>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</si>
  <si>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</si>
  <si>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</si>
  <si>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</si>
  <si>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</si>
  <si>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</si>
  <si>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</si>
  <si>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</si>
  <si>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</si>
  <si>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</si>
  <si>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</si>
  <si>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</si>
  <si>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</si>
  <si>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</si>
  <si>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</si>
  <si>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</si>
  <si>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</si>
  <si>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</si>
  <si>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</si>
  <si>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</si>
  <si>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</si>
  <si>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</si>
  <si>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</si>
  <si>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</si>
  <si>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</si>
  <si>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</si>
  <si>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</si>
  <si>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</si>
  <si>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</si>
  <si>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</si>
  <si>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</si>
  <si>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</si>
  <si>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</si>
  <si>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</si>
  <si>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</si>
  <si>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</si>
  <si>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</si>
  <si>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</si>
  <si>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</si>
  <si>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</si>
  <si>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</si>
  <si>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</si>
  <si>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</si>
  <si>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</si>
  <si>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</si>
  <si>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</si>
  <si>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</si>
  <si>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</si>
  <si>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</si>
  <si>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</si>
  <si>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</si>
  <si>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</si>
  <si>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</si>
  <si>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</si>
  <si>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</si>
  <si>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</si>
  <si>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</si>
  <si>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</si>
  <si>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</si>
  <si>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</si>
  <si>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</si>
  <si>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</si>
  <si>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</si>
  <si>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</si>
  <si>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</si>
  <si>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</si>
  <si>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</si>
  <si>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</si>
  <si>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</si>
  <si>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</si>
  <si>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</si>
  <si>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</si>
  <si>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</si>
  <si>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</si>
  <si>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</si>
  <si>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</si>
  <si>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</si>
  <si>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</si>
  <si>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</si>
  <si>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</si>
  <si>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</si>
  <si>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</si>
  <si>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</si>
  <si>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</si>
  <si>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</si>
  <si>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</si>
  <si>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</si>
  <si>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</si>
  <si>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</si>
  <si>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</si>
  <si>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</si>
  <si>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</si>
  <si>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</si>
  <si>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</si>
  <si>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</si>
  <si>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</si>
  <si>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</si>
  <si>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</si>
  <si>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</si>
  <si>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</si>
  <si>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</si>
  <si>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</si>
  <si>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</si>
  <si>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</si>
  <si>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</si>
  <si>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</si>
  <si>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</si>
  <si>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</si>
  <si>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</si>
  <si>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</si>
  <si>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</si>
  <si>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</si>
  <si>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</si>
  <si>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</si>
  <si>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</si>
  <si>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</si>
  <si>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</si>
  <si>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</si>
  <si>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</si>
  <si>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</si>
  <si>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</si>
  <si>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</si>
  <si>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</si>
  <si>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</si>
  <si>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</si>
  <si>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</si>
  <si>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</si>
  <si>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</si>
  <si>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</si>
  <si>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</si>
  <si>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</si>
  <si>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</si>
  <si>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</si>
  <si>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</si>
  <si>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</si>
  <si>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</si>
  <si>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</si>
  <si>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</si>
  <si>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</si>
  <si>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</si>
  <si>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</si>
  <si>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</si>
  <si>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</si>
  <si>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</si>
  <si>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</si>
  <si>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</si>
  <si>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</si>
  <si>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</si>
  <si>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</si>
  <si>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</si>
  <si>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</si>
  <si>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</si>
  <si>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</si>
  <si>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</si>
  <si>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</si>
  <si>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</si>
  <si>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</si>
  <si>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</si>
  <si>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</si>
  <si>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</si>
  <si>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</si>
  <si>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</si>
  <si>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</si>
  <si>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</si>
  <si>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</si>
  <si>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</si>
  <si>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</si>
  <si>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</si>
  <si>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</si>
  <si>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</si>
  <si>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</si>
  <si>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</si>
  <si>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</si>
  <si>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</si>
  <si>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</si>
  <si>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</si>
  <si>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</si>
  <si>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</si>
  <si>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</si>
  <si>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</si>
  <si>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</si>
  <si>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</si>
  <si>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</si>
  <si>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</si>
  <si>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</si>
  <si>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</si>
  <si>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</si>
  <si>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</si>
  <si>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</si>
  <si>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</si>
  <si>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</si>
  <si>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</si>
  <si>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</si>
  <si>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</si>
  <si>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</si>
  <si>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</si>
  <si>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</si>
  <si>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</si>
  <si>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</si>
  <si>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</si>
  <si>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</si>
  <si>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</si>
  <si>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</si>
  <si>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</si>
  <si>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</si>
  <si>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</si>
  <si>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</si>
  <si>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</si>
  <si>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</si>
  <si>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</si>
  <si>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</si>
  <si>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</si>
  <si>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</si>
  <si>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</si>
  <si>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</si>
  <si>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</si>
  <si>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</si>
  <si>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</si>
  <si>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</si>
  <si>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</si>
  <si>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</si>
  <si>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</si>
  <si>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</si>
  <si>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</si>
  <si>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</si>
  <si>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</si>
  <si>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</si>
  <si>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</si>
  <si>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</si>
  <si>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</si>
  <si>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</si>
  <si>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</si>
  <si>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</si>
  <si>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</si>
  <si>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</si>
  <si>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</si>
  <si>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</si>
  <si>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</si>
  <si>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</si>
  <si>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</si>
  <si>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</si>
  <si>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</si>
  <si>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</si>
  <si>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</si>
  <si>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</si>
  <si>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</si>
  <si>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</si>
  <si>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</si>
  <si>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</si>
  <si>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</si>
  <si>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</si>
  <si>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</si>
  <si>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</si>
  <si>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</si>
  <si>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</si>
  <si>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</si>
  <si>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</si>
  <si>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</si>
  <si>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</si>
  <si>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</si>
  <si>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</si>
  <si>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</si>
  <si>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</si>
  <si>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</si>
  <si>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</si>
  <si>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</si>
  <si>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</si>
  <si>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</si>
  <si>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</si>
  <si>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</si>
  <si>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</si>
  <si>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</si>
  <si>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</si>
  <si>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</si>
  <si>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</si>
  <si>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</si>
  <si>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</si>
  <si>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</si>
  <si>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</si>
  <si>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</si>
  <si>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</si>
  <si>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</si>
  <si>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</si>
  <si>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</si>
  <si>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</si>
  <si>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</si>
  <si>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</si>
  <si>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</si>
  <si>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</si>
  <si>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</si>
  <si>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</si>
  <si>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</si>
  <si>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</si>
  <si>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</si>
  <si>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</si>
  <si>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</si>
  <si>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</si>
  <si>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</si>
  <si>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</si>
  <si>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</si>
  <si>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</si>
  <si>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</si>
  <si>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</si>
  <si>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</si>
  <si>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</si>
  <si>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</si>
  <si>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</si>
  <si>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</si>
  <si>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</si>
  <si>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</si>
  <si>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</si>
  <si>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</si>
  <si>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</si>
  <si>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</si>
  <si>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</si>
  <si>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</si>
  <si>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</si>
  <si>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</si>
  <si>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</si>
  <si>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</si>
  <si>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</si>
  <si>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</si>
  <si>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</si>
  <si>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</si>
  <si>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</si>
  <si>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</si>
  <si>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</si>
  <si>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</si>
  <si>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</si>
  <si>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</si>
  <si>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</si>
  <si>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</si>
  <si>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</si>
  <si>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</si>
  <si>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</si>
  <si>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</si>
  <si>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</si>
  <si>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</si>
  <si>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</si>
  <si>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</si>
  <si>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</si>
  <si>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</si>
  <si>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</si>
  <si>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</si>
  <si>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</si>
  <si>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</si>
  <si>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</si>
  <si>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</si>
  <si>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</si>
  <si>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</si>
  <si>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</si>
  <si>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</si>
  <si>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</si>
  <si>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</si>
  <si>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</si>
  <si>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</si>
  <si>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</si>
  <si>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</si>
  <si>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</si>
  <si>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</si>
  <si>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</si>
  <si>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</si>
  <si>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</si>
  <si>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</si>
  <si>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</si>
  <si>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</si>
  <si>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</si>
  <si>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</si>
  <si>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</si>
  <si>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</si>
  <si>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</si>
  <si>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</si>
  <si>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</si>
  <si>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</si>
  <si>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</si>
  <si>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</si>
  <si>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</si>
  <si>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</si>
  <si>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</si>
  <si>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</si>
  <si>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</si>
  <si>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</si>
  <si>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</si>
  <si>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</si>
  <si>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</si>
  <si>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</si>
  <si>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</si>
  <si>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</si>
  <si>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</si>
  <si>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</si>
  <si>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</si>
  <si>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</si>
  <si>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</si>
  <si>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</si>
  <si>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</si>
  <si>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</si>
  <si>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</si>
  <si>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</si>
  <si>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</si>
  <si>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</si>
  <si>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</si>
  <si>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</si>
  <si>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</si>
  <si>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</si>
  <si>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</si>
  <si>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</si>
  <si>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</si>
  <si>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</si>
  <si>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</si>
  <si>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</si>
  <si>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</si>
  <si>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</si>
  <si>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</si>
  <si>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</si>
  <si>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</si>
  <si>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</si>
  <si>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</si>
  <si>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</si>
  <si>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</si>
  <si>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</si>
  <si>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</si>
  <si>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</si>
  <si>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</si>
  <si>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</si>
  <si>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</si>
  <si>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</si>
  <si>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</si>
  <si>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</si>
  <si>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</si>
  <si>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</si>
  <si>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</si>
  <si>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</si>
  <si>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</si>
  <si>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</si>
  <si>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</si>
  <si>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</si>
  <si>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</si>
  <si>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</si>
  <si>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</si>
  <si>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</si>
  <si>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</si>
  <si>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</si>
  <si>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</si>
  <si>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</si>
  <si>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</si>
  <si>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</si>
  <si>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</si>
  <si>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</si>
  <si>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</si>
  <si>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</si>
  <si>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</si>
  <si>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</si>
  <si>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</si>
  <si>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</si>
  <si>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</si>
  <si>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</si>
  <si>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</si>
  <si>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</si>
  <si>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</si>
  <si>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</si>
  <si>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</si>
  <si>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</si>
  <si>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</si>
  <si>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</si>
  <si>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</si>
  <si>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</si>
  <si>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</si>
  <si>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</si>
  <si>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</si>
  <si>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</si>
  <si>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</si>
  <si>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</si>
  <si>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</si>
  <si>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</si>
  <si>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</si>
  <si>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</si>
  <si>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</si>
  <si>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</si>
  <si>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</si>
  <si>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</si>
  <si>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</si>
  <si>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</si>
  <si>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</si>
  <si>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</si>
  <si>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</si>
  <si>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</si>
  <si>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</si>
  <si>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</si>
  <si>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</si>
  <si>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</si>
  <si>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</si>
  <si>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</si>
  <si>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</si>
  <si>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</si>
  <si>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</si>
  <si>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</si>
  <si>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</si>
  <si>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</si>
  <si>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</si>
  <si>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</si>
  <si>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</si>
  <si>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</si>
  <si>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</si>
  <si>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</si>
  <si>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</si>
  <si>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</si>
  <si>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</si>
  <si>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</si>
  <si>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</si>
  <si>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</si>
  <si>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</si>
  <si>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</si>
  <si>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</si>
  <si>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</si>
  <si>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</si>
  <si>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</si>
  <si>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</si>
  <si>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</si>
  <si>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</si>
  <si>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</si>
  <si>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</si>
  <si>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</si>
  <si>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</si>
  <si>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</si>
  <si>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</si>
  <si>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</si>
  <si>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</si>
  <si>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</si>
  <si>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</si>
  <si>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</si>
  <si>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</si>
  <si>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</si>
  <si>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</si>
  <si>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</si>
  <si>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</si>
  <si>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</si>
  <si>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</si>
  <si>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</si>
  <si>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</si>
  <si>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</si>
  <si>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</si>
  <si>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</si>
  <si>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</si>
  <si>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</si>
  <si>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</si>
  <si>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</si>
  <si>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</si>
  <si>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</si>
  <si>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</si>
  <si>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</si>
  <si>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</si>
  <si>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</si>
  <si>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</si>
  <si>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</si>
  <si>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</si>
  <si>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</si>
  <si>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</si>
  <si>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</si>
  <si>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</si>
  <si>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</si>
  <si>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</si>
  <si>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</si>
  <si>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</si>
  <si>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</si>
  <si>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</si>
  <si>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</si>
  <si>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</si>
  <si>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</si>
  <si>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</si>
  <si>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</si>
  <si>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</si>
  <si>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</si>
  <si>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</si>
  <si>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</si>
  <si>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</si>
  <si>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</si>
  <si>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</si>
  <si>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</si>
  <si>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</si>
  <si>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</si>
  <si>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</si>
  <si>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</si>
  <si>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</si>
  <si>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</si>
  <si>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</si>
  <si>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</si>
  <si>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</si>
  <si>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</si>
  <si>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</si>
  <si>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</si>
  <si>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</si>
  <si>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</si>
  <si>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</si>
  <si>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</si>
  <si>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</si>
  <si>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</si>
  <si>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</si>
  <si>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</si>
  <si>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</si>
  <si>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</si>
  <si>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</si>
  <si>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</si>
  <si>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</si>
  <si>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</si>
  <si>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</si>
  <si>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</si>
  <si>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</si>
  <si>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</si>
  <si>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</si>
  <si>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</si>
  <si>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</si>
  <si>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</si>
  <si>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</si>
  <si>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</si>
  <si>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</si>
  <si>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</si>
  <si>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</si>
  <si>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</si>
  <si>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</si>
  <si>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</si>
  <si>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</si>
  <si>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</si>
  <si>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</si>
  <si>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</si>
  <si>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</si>
  <si>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</si>
  <si>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</si>
  <si>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</si>
  <si>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</si>
  <si>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</si>
  <si>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</si>
  <si>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</si>
  <si>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</si>
  <si>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</si>
  <si>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</si>
  <si>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</si>
  <si>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</si>
  <si>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</si>
  <si>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</si>
  <si>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</si>
  <si>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</si>
  <si>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</si>
  <si>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</si>
  <si>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</si>
  <si>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</si>
  <si>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</si>
  <si>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</si>
  <si>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</si>
  <si>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</si>
  <si>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</si>
  <si>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</si>
  <si>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</si>
  <si>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</si>
  <si>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</si>
  <si>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</si>
  <si>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</si>
  <si>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</si>
  <si>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</si>
  <si>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</si>
  <si>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</si>
  <si>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</si>
  <si>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</si>
  <si>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</si>
  <si>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</si>
  <si>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</si>
  <si>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</si>
  <si>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</si>
  <si>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</si>
  <si>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</si>
  <si>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</si>
  <si>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</si>
  <si>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</si>
  <si>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</si>
  <si>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</si>
  <si>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</si>
  <si>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</si>
  <si>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</si>
  <si>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</si>
  <si>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</si>
  <si>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</si>
  <si>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</si>
  <si>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</si>
  <si>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</si>
  <si>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</si>
  <si>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</si>
  <si>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</si>
  <si>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</si>
  <si>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</si>
  <si>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</si>
  <si>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</si>
  <si>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</si>
  <si>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</si>
  <si>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</si>
  <si>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</si>
  <si>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</si>
  <si>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</si>
  <si>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</si>
  <si>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</si>
  <si>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</si>
  <si>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</si>
  <si>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</si>
  <si>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</si>
  <si>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</si>
  <si>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</si>
  <si>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</si>
  <si>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</si>
  <si>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</si>
  <si>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</si>
  <si>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</si>
  <si>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</si>
  <si>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</si>
  <si>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</si>
  <si>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</si>
  <si>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</si>
  <si>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</si>
  <si>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</si>
  <si>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</si>
  <si>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</si>
  <si>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</si>
  <si>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</si>
  <si>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</si>
  <si>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</si>
  <si>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</si>
  <si>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</si>
  <si>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</si>
  <si>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</si>
  <si>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</si>
  <si>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</si>
  <si>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</si>
  <si>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</si>
  <si>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</si>
  <si>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</si>
  <si>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</si>
  <si>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</si>
  <si>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</si>
  <si>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</si>
  <si>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</si>
  <si>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</si>
  <si>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</si>
  <si>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</si>
  <si>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</si>
  <si>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</si>
  <si>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</si>
  <si>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</si>
  <si>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</si>
  <si>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</si>
  <si>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</si>
  <si>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</si>
  <si>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</si>
  <si>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</si>
  <si>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</si>
  <si>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</si>
  <si>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</si>
  <si>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</si>
  <si>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</si>
  <si>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</si>
  <si>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</si>
  <si>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</si>
  <si>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</si>
  <si>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</si>
  <si>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</si>
  <si>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</si>
  <si>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</si>
  <si>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</si>
  <si>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</si>
  <si>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</si>
  <si>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</si>
  <si>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</si>
  <si>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</si>
  <si>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</si>
  <si>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</si>
  <si>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</si>
  <si>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</si>
  <si>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</si>
  <si>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</si>
  <si>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</si>
  <si>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</si>
  <si>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</si>
  <si>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</si>
  <si>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</si>
  <si>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</si>
  <si>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</si>
  <si>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</si>
  <si>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</si>
  <si>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</si>
  <si>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</si>
  <si>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</si>
  <si>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</si>
  <si>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</si>
  <si>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</si>
  <si>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</si>
  <si>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</si>
  <si>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</si>
  <si>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</si>
  <si>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</si>
  <si>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</si>
  <si>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</si>
  <si>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</si>
  <si>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</si>
  <si>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</si>
  <si>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</si>
  <si>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</si>
  <si>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</si>
  <si>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</si>
  <si>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</si>
  <si>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</si>
  <si>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</si>
  <si>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</si>
  <si>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</si>
  <si>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</si>
  <si>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</si>
  <si>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</si>
  <si>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</si>
  <si>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</si>
  <si>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</si>
  <si>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</si>
  <si>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</si>
  <si>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</si>
  <si>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</si>
  <si>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</si>
  <si>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</si>
  <si>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</si>
  <si>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</si>
  <si>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</si>
  <si>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</si>
  <si>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</si>
  <si>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</si>
  <si>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</si>
  <si>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</si>
  <si>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</si>
  <si>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</si>
  <si>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</si>
  <si>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</si>
  <si>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</si>
  <si>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</si>
  <si>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</si>
  <si>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</si>
  <si>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</si>
  <si>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</si>
  <si>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</si>
  <si>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</si>
  <si>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</si>
  <si>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</si>
  <si>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</si>
  <si>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</si>
  <si>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</si>
  <si>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</si>
  <si>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</si>
  <si>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</si>
  <si>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</si>
  <si>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</si>
  <si>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</si>
  <si>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</si>
  <si>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</si>
  <si>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</si>
  <si>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</si>
  <si>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</si>
  <si>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</si>
  <si>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</si>
  <si>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</si>
  <si>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</si>
  <si>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</si>
  <si>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</si>
  <si>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</si>
  <si>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</si>
  <si>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</si>
  <si>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</si>
  <si>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</si>
  <si>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</si>
  <si>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</si>
  <si>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</si>
  <si>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</si>
  <si>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</si>
  <si>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</si>
  <si>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</si>
  <si>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</si>
  <si>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</si>
  <si>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</si>
  <si>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</si>
  <si>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</si>
  <si>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</si>
  <si>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</si>
  <si>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</si>
  <si>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</si>
  <si>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</si>
  <si>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</si>
  <si>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</si>
  <si>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</si>
  <si>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</si>
  <si>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</si>
  <si>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</si>
  <si>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</si>
  <si>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</si>
  <si>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</si>
  <si>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</si>
  <si>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</si>
  <si>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</si>
  <si>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</si>
  <si>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</si>
  <si>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</si>
  <si>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</si>
  <si>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</si>
  <si>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</si>
  <si>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</si>
  <si>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</si>
  <si>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</si>
  <si>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</si>
  <si>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</si>
  <si>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</si>
  <si>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</si>
  <si>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</si>
  <si>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</si>
  <si>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</si>
  <si>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</si>
  <si>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</si>
  <si>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</si>
  <si>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</si>
  <si>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</si>
  <si>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</si>
  <si>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</si>
  <si>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</si>
  <si>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</si>
  <si>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</si>
  <si>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</si>
  <si>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</si>
  <si>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</si>
  <si>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</si>
  <si>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</si>
  <si>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</si>
  <si>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</si>
  <si>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</si>
  <si>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</si>
  <si>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</si>
  <si>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</si>
  <si>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</si>
  <si>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</si>
  <si>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</si>
  <si>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</si>
  <si>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</si>
  <si>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</si>
  <si>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</si>
  <si>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</si>
  <si>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</si>
  <si>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</si>
  <si>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</si>
  <si>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</si>
  <si>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</si>
  <si>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</si>
  <si>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</si>
  <si>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</si>
  <si>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</si>
  <si>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</si>
  <si>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</si>
  <si>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</si>
  <si>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</si>
  <si>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</si>
  <si>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</si>
  <si>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</si>
  <si>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</si>
  <si>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</si>
  <si>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</si>
  <si>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</si>
  <si>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</si>
  <si>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</si>
  <si>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</si>
  <si>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</si>
  <si>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</si>
  <si>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</si>
  <si>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</si>
  <si>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</si>
  <si>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</si>
  <si>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</si>
  <si>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</si>
  <si>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</si>
  <si>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</si>
  <si>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</si>
  <si>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</si>
  <si>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</si>
  <si>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</si>
  <si>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</si>
  <si>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</si>
  <si>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</si>
  <si>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</si>
  <si>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</si>
  <si>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</si>
  <si>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</si>
  <si>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</si>
  <si>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</si>
  <si>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</si>
  <si>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</si>
  <si>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</si>
  <si>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</si>
  <si>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</si>
  <si>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</si>
  <si>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</si>
  <si>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</si>
  <si>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</si>
  <si>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</si>
  <si>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</si>
  <si>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</si>
  <si>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</si>
  <si>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</si>
  <si>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</si>
  <si>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</si>
  <si>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</si>
  <si>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</si>
  <si>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</si>
  <si>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</si>
  <si>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</si>
  <si>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</si>
  <si>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</si>
  <si>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</si>
  <si>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</si>
  <si>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</si>
  <si>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</si>
  <si>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</si>
  <si>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</si>
  <si>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</si>
  <si>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</si>
  <si>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</si>
  <si>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</si>
  <si>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</si>
  <si>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</si>
  <si>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</si>
  <si>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</si>
  <si>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</si>
  <si>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</si>
  <si>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</si>
  <si>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</si>
  <si>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</si>
  <si>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</si>
  <si>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</si>
  <si>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</si>
  <si>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</si>
  <si>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</si>
  <si>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</si>
  <si>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</si>
  <si>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</si>
  <si>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</si>
  <si>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</si>
  <si>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</si>
  <si>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</si>
  <si>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</si>
  <si>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</si>
  <si>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</si>
  <si>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</si>
  <si>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</si>
  <si>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</si>
  <si>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</si>
  <si>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</si>
  <si>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</si>
  <si>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</si>
  <si>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</si>
  <si>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</si>
  <si>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</si>
  <si>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</si>
  <si>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</si>
  <si>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</si>
  <si>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</si>
  <si>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</si>
  <si>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</si>
  <si>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</si>
  <si>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</si>
  <si>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</si>
  <si>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</si>
  <si>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</si>
  <si>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</si>
  <si>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</si>
  <si>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</si>
  <si>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</si>
  <si>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</si>
  <si>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</si>
  <si>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</si>
  <si>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</si>
  <si>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</si>
  <si>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</si>
  <si>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</si>
  <si>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</si>
  <si>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</si>
  <si>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</si>
  <si>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</si>
  <si>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</si>
  <si>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</si>
  <si>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</si>
  <si>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</si>
  <si>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</si>
  <si>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</si>
  <si>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</si>
  <si>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</si>
  <si>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</si>
  <si>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</si>
  <si>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</si>
  <si>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</si>
  <si>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</si>
  <si>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</si>
  <si>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</si>
  <si>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</si>
  <si>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</si>
  <si>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</si>
  <si>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</si>
  <si>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</si>
  <si>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</si>
  <si>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</si>
  <si>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</si>
  <si>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</si>
  <si>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</si>
  <si>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</si>
  <si>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</si>
  <si>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</si>
  <si>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</si>
  <si>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</si>
  <si>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</si>
  <si>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</si>
  <si>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</si>
  <si>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</si>
  <si>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</si>
  <si>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</si>
  <si>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</si>
  <si>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</si>
  <si>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</si>
  <si>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</si>
  <si>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</si>
  <si>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</si>
  <si>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</si>
  <si>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</si>
  <si>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</si>
  <si>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</si>
  <si>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</si>
  <si>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</si>
  <si>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</si>
  <si>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</si>
  <si>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</si>
  <si>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</si>
  <si>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</si>
  <si>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</si>
  <si>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</si>
  <si>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</si>
  <si>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</si>
  <si>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</si>
  <si>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</si>
  <si>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</si>
  <si>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</si>
  <si>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</si>
  <si>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</si>
  <si>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</si>
  <si>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</si>
  <si>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</si>
  <si>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</si>
  <si>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</si>
  <si>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</si>
  <si>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</si>
  <si>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</si>
  <si>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</si>
  <si>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</si>
  <si>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</si>
  <si>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</si>
  <si>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</si>
  <si>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</si>
  <si>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</si>
  <si>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</si>
  <si>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</si>
  <si>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</si>
  <si>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</si>
  <si>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</si>
  <si>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</si>
  <si>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</si>
  <si>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</si>
  <si>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</si>
  <si>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</si>
  <si>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</si>
  <si>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</si>
  <si>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</si>
  <si>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</si>
  <si>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</si>
  <si>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</si>
  <si>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</si>
  <si>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</si>
  <si>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</si>
  <si>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</si>
  <si>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</si>
  <si>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</si>
  <si>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</si>
  <si>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</si>
  <si>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</si>
  <si>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</si>
  <si>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</si>
  <si>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</si>
  <si>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</si>
  <si>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</si>
  <si>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</si>
  <si>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</si>
  <si>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</si>
  <si>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</si>
  <si>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</si>
  <si>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</si>
  <si>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</si>
  <si>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</si>
  <si>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</si>
  <si>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</si>
  <si>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</si>
  <si>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</si>
  <si>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</si>
  <si>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</si>
  <si>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</si>
  <si>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</si>
  <si>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</si>
  <si>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</si>
  <si>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</si>
  <si>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</si>
  <si>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</si>
  <si>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</si>
  <si>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</si>
  <si>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</si>
  <si>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</si>
  <si>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</si>
  <si>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</si>
  <si>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</si>
  <si>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</si>
  <si>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</si>
  <si>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</si>
  <si>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</si>
  <si>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</si>
  <si>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</si>
  <si>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</si>
  <si>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</si>
  <si>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</si>
  <si>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</si>
  <si>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</si>
  <si>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</si>
  <si>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</si>
  <si>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</si>
  <si>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</si>
  <si>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</si>
  <si>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</si>
  <si>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</si>
  <si>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</si>
  <si>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</si>
  <si>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</si>
  <si>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</si>
  <si>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</si>
  <si>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</si>
  <si>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</si>
  <si>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</si>
  <si>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</si>
  <si>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</si>
  <si>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</si>
  <si>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</si>
  <si>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</si>
  <si>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</si>
  <si>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</si>
  <si>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</si>
  <si>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</si>
  <si>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</si>
  <si>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</si>
  <si>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</si>
  <si>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</si>
  <si>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</si>
  <si>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</si>
  <si>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</si>
  <si>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</si>
  <si>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</si>
  <si>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</si>
  <si>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</si>
  <si>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</si>
  <si>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</si>
  <si>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</si>
  <si>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</si>
  <si>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</si>
  <si>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</si>
  <si>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</si>
  <si>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</si>
  <si>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</si>
  <si>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</si>
  <si>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</si>
  <si>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</si>
  <si>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</si>
  <si>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</si>
  <si>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</si>
  <si>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</si>
  <si>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</si>
  <si>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</si>
  <si>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</si>
  <si>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</si>
  <si>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</si>
  <si>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</si>
  <si>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</si>
  <si>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</si>
  <si>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</si>
  <si>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</si>
  <si>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</si>
  <si>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</si>
  <si>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</si>
  <si>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</si>
  <si>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</si>
  <si>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</si>
  <si>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</si>
  <si>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</si>
  <si>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</si>
  <si>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</si>
  <si>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</si>
  <si>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</si>
  <si>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</si>
  <si>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</si>
  <si>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</si>
  <si>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</si>
  <si>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</si>
  <si>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</si>
  <si>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</si>
  <si>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</si>
  <si>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</si>
  <si>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</si>
  <si>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</si>
  <si>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</si>
  <si>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</si>
  <si>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</si>
  <si>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</si>
  <si>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</si>
  <si>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</si>
  <si>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</si>
  <si>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</si>
  <si>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</si>
  <si>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</si>
  <si>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</si>
  <si>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</si>
  <si>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</si>
  <si>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</si>
  <si>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</si>
  <si>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</si>
  <si>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</si>
  <si>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</si>
  <si>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</si>
  <si>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</si>
  <si>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</si>
  <si>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</si>
  <si>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</si>
  <si>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</si>
  <si>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</si>
  <si>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</si>
  <si>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</si>
  <si>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</si>
  <si>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</si>
  <si>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</si>
  <si>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</si>
  <si>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</si>
  <si>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</si>
  <si>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</si>
  <si>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</si>
  <si>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</si>
  <si>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</si>
  <si>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</si>
  <si>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</si>
  <si>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</si>
  <si>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</si>
  <si>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</si>
  <si>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</si>
  <si>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</si>
  <si>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</si>
  <si>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</si>
  <si>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</si>
  <si>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</si>
  <si>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</si>
  <si>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</si>
  <si>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</si>
  <si>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</si>
  <si>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</si>
  <si>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</si>
  <si>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</si>
  <si>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</si>
  <si>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</si>
  <si>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</si>
  <si>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</si>
  <si>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</si>
  <si>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</si>
  <si>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</si>
  <si>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</si>
  <si>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</si>
  <si>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</si>
  <si>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</si>
  <si>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</si>
  <si>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</si>
  <si>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</si>
  <si>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</si>
  <si>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</si>
  <si>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</si>
  <si>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</si>
  <si>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</si>
  <si>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</si>
  <si>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</si>
  <si>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</si>
  <si>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</si>
  <si>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</si>
  <si>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</si>
  <si>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</si>
  <si>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</si>
  <si>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</si>
  <si>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</si>
  <si>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</si>
  <si>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</si>
  <si>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</si>
  <si>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</si>
  <si>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</si>
  <si>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</si>
  <si>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</si>
  <si>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</si>
  <si>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</si>
  <si>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</si>
  <si>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</si>
  <si>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</si>
  <si>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</si>
  <si>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</si>
  <si>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</si>
  <si>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</si>
  <si>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</si>
  <si>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</si>
  <si>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</si>
  <si>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</si>
  <si>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</si>
  <si>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</si>
  <si>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</si>
  <si>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</si>
  <si>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</si>
  <si>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</si>
  <si>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</si>
  <si>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</si>
  <si>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</si>
  <si>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</si>
  <si>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</si>
  <si>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</si>
  <si>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</si>
  <si>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</si>
  <si>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</si>
  <si>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</si>
  <si>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</si>
  <si>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</si>
  <si>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</si>
  <si>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</si>
  <si>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</si>
  <si>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</si>
  <si>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</si>
  <si>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</si>
  <si>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</si>
  <si>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</si>
  <si>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</si>
  <si>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</si>
  <si>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</si>
  <si>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</si>
  <si>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</si>
  <si>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</si>
  <si>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</si>
  <si>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</si>
  <si>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</si>
  <si>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</si>
  <si>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</si>
  <si>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</si>
  <si>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</si>
  <si>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</si>
  <si>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</si>
  <si>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</si>
  <si>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</si>
  <si>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</si>
  <si>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</si>
  <si>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</si>
  <si>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</si>
  <si>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</si>
  <si>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</si>
  <si>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</si>
  <si>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</si>
  <si>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</si>
  <si>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</si>
  <si>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</si>
  <si>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</si>
  <si>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</si>
  <si>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</si>
  <si>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</si>
  <si>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</si>
  <si>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</si>
  <si>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</si>
  <si>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</si>
  <si>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</si>
  <si>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</si>
  <si>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</si>
  <si>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</si>
  <si>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</si>
  <si>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</si>
  <si>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</si>
  <si>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</si>
  <si>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</si>
  <si>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</si>
  <si>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</si>
  <si>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</si>
  <si>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</si>
  <si>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</si>
  <si>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</si>
  <si>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</si>
  <si>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</si>
  <si>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</si>
  <si>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</si>
  <si>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</si>
  <si>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</si>
  <si>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</si>
  <si>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</si>
  <si>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</si>
  <si>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</si>
  <si>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</si>
  <si>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</si>
  <si>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</si>
  <si>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</si>
  <si>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</si>
  <si>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</si>
  <si>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</si>
  <si>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</si>
  <si>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</si>
  <si>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</si>
  <si>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</si>
  <si>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</si>
  <si>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</si>
  <si>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</si>
  <si>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</si>
  <si>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</si>
  <si>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</si>
  <si>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</si>
  <si>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</si>
  <si>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</si>
  <si>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</si>
  <si>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</si>
  <si>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</si>
  <si>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</si>
  <si>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</si>
  <si>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</si>
  <si>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</si>
  <si>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</si>
  <si>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</si>
  <si>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</si>
  <si>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</si>
  <si>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</si>
  <si>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</si>
  <si>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</si>
  <si>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</si>
  <si>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</si>
  <si>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</si>
  <si>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</si>
  <si>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</si>
  <si>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</si>
  <si>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</si>
  <si>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</si>
  <si>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</si>
  <si>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</si>
  <si>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</si>
  <si>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</si>
  <si>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</si>
  <si>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</si>
  <si>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</si>
  <si>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</si>
  <si>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</si>
  <si>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</si>
  <si>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</si>
  <si>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</si>
  <si>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</si>
  <si>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</si>
  <si>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</si>
  <si>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</si>
  <si>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</si>
  <si>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</si>
  <si>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</si>
  <si>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</si>
  <si>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</si>
  <si>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</si>
  <si>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</si>
  <si>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</si>
  <si>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</si>
  <si>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</si>
  <si>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</si>
  <si>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</si>
  <si>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</si>
  <si>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</si>
  <si>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</si>
  <si>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</si>
  <si>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</si>
  <si>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</si>
  <si>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</si>
  <si>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</si>
  <si>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</si>
  <si>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</si>
  <si>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</si>
  <si>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</si>
  <si>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</si>
  <si>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</si>
  <si>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</si>
  <si>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</si>
  <si>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</si>
  <si>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</si>
  <si>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</si>
  <si>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</si>
  <si>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</si>
  <si>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</si>
  <si>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</si>
  <si>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</si>
  <si>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</si>
  <si>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</si>
  <si>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</si>
  <si>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</si>
  <si>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</si>
  <si>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</si>
  <si>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</si>
  <si>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</si>
  <si>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</si>
  <si>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</si>
  <si>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</si>
  <si>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</si>
  <si>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</si>
  <si>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</si>
  <si>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</si>
  <si>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</si>
  <si>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</si>
  <si>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</si>
  <si>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</si>
  <si>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</si>
  <si>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</si>
  <si>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</si>
  <si>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</si>
  <si>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</si>
  <si>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</si>
  <si>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</si>
  <si>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</si>
  <si>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</si>
  <si>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</si>
  <si>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</si>
  <si>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</si>
  <si>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</si>
  <si>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</si>
  <si>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</si>
  <si>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</si>
  <si>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</si>
  <si>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</si>
  <si>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</si>
  <si>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</si>
  <si>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</si>
  <si>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</si>
  <si>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</si>
  <si>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</si>
  <si>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</si>
  <si>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</si>
  <si>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</si>
  <si>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</si>
  <si>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</si>
  <si>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</si>
  <si>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</si>
  <si>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</si>
  <si>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</si>
  <si>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</si>
  <si>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</si>
  <si>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</si>
  <si>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</si>
  <si>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</si>
  <si>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</si>
  <si>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</si>
  <si>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</si>
  <si>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</si>
  <si>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</si>
  <si>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</si>
  <si>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</si>
  <si>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</si>
  <si>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</si>
  <si>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</si>
  <si>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</si>
  <si>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</si>
  <si>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</si>
  <si>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</si>
  <si>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</si>
  <si>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</si>
  <si>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</si>
  <si>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</si>
  <si>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</si>
  <si>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</si>
  <si>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</si>
  <si>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</si>
  <si>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</si>
  <si>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</si>
  <si>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</si>
  <si>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</si>
  <si>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</si>
  <si>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</si>
  <si>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</si>
  <si>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</si>
  <si>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</si>
  <si>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</si>
  <si>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</si>
  <si>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</si>
  <si>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</si>
  <si>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</si>
  <si>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</si>
  <si>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</si>
  <si>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</si>
  <si>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</si>
  <si>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</si>
  <si>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</si>
  <si>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</si>
  <si>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</si>
  <si>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</si>
  <si>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</si>
  <si>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</si>
  <si>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</si>
  <si>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</si>
  <si>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</si>
  <si>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</si>
  <si>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</si>
  <si>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</si>
  <si>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</si>
  <si>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</si>
  <si>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</si>
  <si>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</si>
  <si>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</si>
  <si>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</si>
  <si>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</si>
  <si>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</si>
  <si>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</si>
  <si>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</si>
  <si>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</si>
  <si>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</si>
  <si>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</si>
  <si>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</si>
  <si>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</si>
  <si>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</si>
  <si>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</si>
  <si>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</si>
  <si>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</si>
  <si>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</si>
  <si>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</si>
  <si>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</si>
  <si>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</si>
  <si>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</si>
  <si>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</si>
  <si>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</si>
  <si>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</si>
  <si>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</si>
  <si>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</si>
  <si>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</si>
  <si>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</si>
  <si>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</si>
  <si>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</si>
  <si>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</si>
  <si>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</si>
  <si>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</si>
  <si>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</si>
  <si>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</si>
  <si>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</si>
  <si>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</si>
  <si>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</si>
  <si>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</si>
  <si>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</si>
  <si>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</si>
  <si>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</si>
  <si>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</si>
  <si>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</si>
  <si>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</si>
  <si>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</si>
  <si>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</si>
  <si>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</si>
  <si>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</si>
  <si>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</si>
  <si>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</si>
  <si>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</si>
  <si>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</si>
  <si>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</si>
  <si>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</si>
  <si>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</si>
  <si>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</si>
  <si>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</si>
  <si>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</si>
  <si>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</si>
  <si>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</si>
  <si>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</si>
  <si>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</si>
  <si>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</si>
  <si>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</si>
  <si>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</si>
  <si>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</si>
  <si>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</si>
  <si>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</si>
  <si>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</si>
  <si>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</si>
  <si>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</si>
  <si>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</si>
  <si>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</si>
  <si>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</si>
  <si>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</si>
  <si>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</si>
  <si>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</si>
  <si>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</si>
  <si>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</si>
  <si>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</si>
  <si>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</si>
  <si>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</si>
  <si>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</si>
  <si>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</si>
  <si>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</si>
  <si>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</si>
  <si>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</si>
  <si>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</si>
  <si>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</si>
  <si>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</si>
  <si>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</si>
  <si>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</si>
  <si>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</si>
  <si>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</si>
  <si>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</si>
  <si>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</si>
  <si>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</si>
  <si>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</si>
  <si>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</si>
  <si>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</si>
  <si>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</si>
  <si>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</si>
  <si>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</si>
  <si>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</si>
  <si>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</si>
  <si>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</si>
  <si>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</si>
  <si>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</si>
  <si>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</si>
  <si>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</si>
  <si>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</si>
  <si>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</si>
  <si>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</si>
  <si>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</si>
  <si>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</si>
  <si>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</si>
  <si>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</si>
  <si>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</si>
  <si>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</si>
  <si>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</si>
  <si>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</si>
  <si>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</si>
  <si>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</si>
  <si>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</si>
  <si>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</si>
  <si>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</si>
  <si>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</si>
  <si>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</si>
  <si>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</si>
  <si>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</si>
  <si>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</si>
  <si>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</si>
  <si>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</si>
  <si>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</si>
  <si>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</si>
  <si>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</si>
  <si>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</si>
  <si>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</si>
  <si>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</si>
  <si>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</si>
  <si>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</si>
  <si>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</si>
  <si>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</si>
  <si>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</si>
  <si>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</si>
  <si>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</si>
  <si>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</si>
  <si>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</si>
  <si>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</si>
  <si>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</si>
  <si>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</si>
  <si>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</si>
  <si>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</si>
  <si>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</si>
  <si>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</si>
  <si>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</si>
  <si>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</si>
  <si>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</si>
  <si>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</si>
  <si>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</si>
  <si>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</si>
  <si>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</si>
  <si>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</si>
  <si>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</si>
  <si>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</si>
  <si>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</si>
  <si>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</si>
  <si>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</si>
  <si>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</si>
  <si>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</si>
  <si>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</si>
  <si>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</si>
  <si>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</si>
  <si>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</si>
  <si>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</si>
  <si>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</si>
  <si>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</si>
  <si>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</si>
  <si>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</si>
  <si>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</si>
  <si>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</si>
  <si>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</si>
  <si>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</si>
  <si>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</si>
  <si>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</si>
  <si>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</si>
  <si>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</si>
  <si>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</si>
  <si>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</si>
  <si>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</si>
  <si>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</si>
  <si>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</si>
  <si>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</si>
  <si>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</si>
  <si>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</si>
  <si>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</si>
  <si>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</si>
  <si>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</si>
  <si>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</si>
  <si>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</si>
  <si>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</si>
  <si>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</si>
  <si>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</si>
  <si>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</si>
  <si>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</si>
  <si>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</si>
  <si>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</si>
  <si>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</si>
  <si>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</si>
  <si>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</si>
  <si>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</si>
  <si>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</si>
  <si>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</si>
  <si>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</si>
  <si>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</si>
  <si>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</si>
  <si>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</si>
  <si>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</si>
  <si>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</si>
  <si>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</si>
  <si>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</si>
  <si>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</si>
  <si>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30,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</si>
</sst>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7214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6777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6523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7" t="s">
        <v>6875</v>
      </c>
      <c r="C15" s="258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7" t="s">
        <v>5680</v>
      </c>
      <c r="C35" s="258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6888</v>
      </c>
      <c r="F39" s="208" t="s">
        <v>6889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6779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1781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1779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6937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6609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6614</v>
      </c>
    </row>
    <row r="82" spans="1:3" outlineLevel="1" x14ac:dyDescent="0.25">
      <c r="A82" s="198" t="s">
        <v>6605</v>
      </c>
      <c r="B82" s="186" t="s">
        <v>6600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7124</v>
      </c>
    </row>
    <row r="88" spans="1:3" outlineLevel="1" x14ac:dyDescent="0.25">
      <c r="A88" s="198" t="s">
        <v>7110</v>
      </c>
      <c r="B88" s="186" t="s">
        <v>7109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6865</v>
      </c>
      <c r="B3" s="225" t="s">
        <v>6864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6863</v>
      </c>
      <c r="B11" s="225" t="s">
        <v>6862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6878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6881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6875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6880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6877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6876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6875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6876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6879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6880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6881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6877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6878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6887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6866</v>
      </c>
      <c r="O4" s="180" t="s">
        <v>6867</v>
      </c>
      <c r="Q4" s="192"/>
      <c r="S4" s="161">
        <v>3</v>
      </c>
      <c r="T4" s="161"/>
      <c r="U4" s="161"/>
    </row>
    <row r="5" spans="1:21" x14ac:dyDescent="0.25">
      <c r="A5" t="s">
        <v>6890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6891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6890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6866</v>
      </c>
      <c r="O13" s="180" t="s">
        <v>6867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6866</v>
      </c>
      <c r="O22" s="180" t="s">
        <v>6867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6866</v>
      </c>
      <c r="O31" s="180" t="s">
        <v>6867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6866</v>
      </c>
      <c r="O40" s="180" t="s">
        <v>6867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6866</v>
      </c>
      <c r="O49" s="180" t="s">
        <v>6867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6866</v>
      </c>
      <c r="O58" s="180" t="s">
        <v>6867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6891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6871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6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7107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</f>
        <v>"target_train_teams": [310]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6778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1"/>
  <sheetViews>
    <sheetView zoomScaleNormal="100" workbookViewId="0">
      <pane ySplit="1" topLeftCell="A2" activePane="bottomLeft" state="frozen"/>
      <selection pane="bottomLeft" activeCell="H8" sqref="H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7106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11</v>
      </c>
      <c r="B26" t="s">
        <v>646</v>
      </c>
      <c r="C26" s="1">
        <v>5</v>
      </c>
      <c r="D26" t="s">
        <v>594</v>
      </c>
      <c r="E26" s="99">
        <v>0</v>
      </c>
      <c r="F26" s="99">
        <v>100</v>
      </c>
      <c r="G26" s="99">
        <v>500</v>
      </c>
      <c r="H26" s="99">
        <v>1500</v>
      </c>
      <c r="I26" s="99">
        <v>3000</v>
      </c>
      <c r="J26" s="1">
        <v>2</v>
      </c>
      <c r="K26" s="1">
        <v>0</v>
      </c>
    </row>
    <row r="27" spans="1:11" x14ac:dyDescent="0.25">
      <c r="A27" s="1">
        <v>1006</v>
      </c>
      <c r="B27" t="s">
        <v>664</v>
      </c>
      <c r="C27" s="1">
        <v>2</v>
      </c>
      <c r="D27" t="s">
        <v>622</v>
      </c>
      <c r="E27" s="99">
        <v>0</v>
      </c>
      <c r="F27" s="99">
        <v>100</v>
      </c>
      <c r="G27" s="99">
        <v>200</v>
      </c>
      <c r="H27" s="99">
        <v>350</v>
      </c>
      <c r="I27" s="99">
        <v>550</v>
      </c>
      <c r="J27" s="1">
        <v>1</v>
      </c>
      <c r="K27" s="1">
        <v>1</v>
      </c>
    </row>
    <row r="28" spans="1:11" x14ac:dyDescent="0.25">
      <c r="A28" s="1">
        <v>26</v>
      </c>
      <c r="B28" t="s">
        <v>659</v>
      </c>
      <c r="C28" s="1">
        <v>1</v>
      </c>
      <c r="D28" t="s">
        <v>611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1</v>
      </c>
      <c r="K28" s="1">
        <v>0</v>
      </c>
    </row>
    <row r="29" spans="1:11" x14ac:dyDescent="0.25">
      <c r="A29" s="1">
        <v>10</v>
      </c>
      <c r="B29" t="s">
        <v>645</v>
      </c>
      <c r="C29" s="1">
        <v>5</v>
      </c>
      <c r="D29" t="s">
        <v>593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2</v>
      </c>
      <c r="K29" s="1">
        <v>0</v>
      </c>
    </row>
    <row r="30" spans="1:11" x14ac:dyDescent="0.25">
      <c r="A30" s="1">
        <v>16</v>
      </c>
      <c r="B30" t="s">
        <v>651</v>
      </c>
      <c r="C30" s="1">
        <v>1</v>
      </c>
      <c r="D30" t="s">
        <v>600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13</v>
      </c>
      <c r="B31" t="s">
        <v>648</v>
      </c>
      <c r="C31" s="1">
        <v>6</v>
      </c>
      <c r="D31" t="s">
        <v>597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1001</v>
      </c>
      <c r="B32" t="s">
        <v>236</v>
      </c>
      <c r="C32" s="1">
        <v>4</v>
      </c>
      <c r="D32" t="s">
        <v>615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1005</v>
      </c>
      <c r="B33" t="s">
        <v>665</v>
      </c>
      <c r="C33" s="1">
        <v>2</v>
      </c>
      <c r="D33" t="s">
        <v>621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4</v>
      </c>
      <c r="B34" t="s">
        <v>639</v>
      </c>
      <c r="C34" s="1">
        <v>3</v>
      </c>
      <c r="D34" t="s">
        <v>587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7</v>
      </c>
      <c r="B35" t="s">
        <v>642</v>
      </c>
      <c r="C35" s="1">
        <v>4</v>
      </c>
      <c r="D35" t="s">
        <v>590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1004</v>
      </c>
      <c r="B36" t="s">
        <v>663</v>
      </c>
      <c r="C36" s="1">
        <v>6</v>
      </c>
      <c r="D36" t="s">
        <v>620</v>
      </c>
      <c r="E36" s="99">
        <v>0</v>
      </c>
      <c r="F36" s="99">
        <v>100</v>
      </c>
      <c r="G36" s="99">
        <v>200</v>
      </c>
      <c r="H36" s="99">
        <v>350</v>
      </c>
      <c r="I36" s="99">
        <v>550</v>
      </c>
      <c r="J36" s="1">
        <v>2</v>
      </c>
      <c r="K36" s="1">
        <v>1</v>
      </c>
    </row>
    <row r="37" spans="1:11" x14ac:dyDescent="0.25">
      <c r="A37" s="1">
        <v>6</v>
      </c>
      <c r="B37" t="s">
        <v>641</v>
      </c>
      <c r="C37" s="1">
        <v>3</v>
      </c>
      <c r="D37" t="s">
        <v>589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31</v>
      </c>
      <c r="B38" t="s">
        <v>5785</v>
      </c>
      <c r="C38" s="1">
        <v>6</v>
      </c>
      <c r="D38" t="s">
        <v>5784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0</v>
      </c>
    </row>
    <row r="39" spans="1:11" x14ac:dyDescent="0.25">
      <c r="A39" s="1">
        <v>25</v>
      </c>
      <c r="B39" t="s">
        <v>658</v>
      </c>
      <c r="C39" s="1">
        <v>3</v>
      </c>
      <c r="D39" t="s">
        <v>610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1</v>
      </c>
      <c r="B40" t="s">
        <v>647</v>
      </c>
      <c r="C40" s="1">
        <v>2</v>
      </c>
      <c r="D40" t="s">
        <v>584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30</v>
      </c>
      <c r="B41" t="s">
        <v>1724</v>
      </c>
      <c r="C41" s="1">
        <v>6</v>
      </c>
      <c r="D41" t="s">
        <v>1725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1</v>
      </c>
      <c r="K41" s="1">
        <v>1</v>
      </c>
    </row>
  </sheetData>
  <autoFilter ref="A1:K38" xr:uid="{E8DDA3D5-6745-4184-9D68-AAC802051D8B}">
    <sortState ref="A2:K41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6473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6617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36"/>
  <sheetViews>
    <sheetView topLeftCell="AC1" workbookViewId="0">
      <pane ySplit="1" topLeftCell="A311" activePane="bottomLeft" state="frozen"/>
      <selection activeCell="AG332" sqref="AG332:AG336"/>
      <selection pane="bottomLeft" activeCell="AG332" sqref="AG332:AG33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6780</v>
      </c>
      <c r="C300" t="s">
        <v>6781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6782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6783</v>
      </c>
      <c r="C301" t="s">
        <v>6784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6785</v>
      </c>
      <c r="AJ301">
        <v>0</v>
      </c>
      <c r="AK301" s="1" t="s">
        <v>6786</v>
      </c>
      <c r="AL301" s="1" t="s">
        <v>6787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6788</v>
      </c>
      <c r="C302" t="s">
        <v>6789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6790</v>
      </c>
      <c r="AL302" s="1" t="s">
        <v>6791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6792</v>
      </c>
      <c r="C303" t="s">
        <v>6793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6794</v>
      </c>
      <c r="AJ303">
        <v>0</v>
      </c>
      <c r="AK303" s="1" t="s">
        <v>6795</v>
      </c>
      <c r="AL303" s="1" t="s">
        <v>6796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6797</v>
      </c>
      <c r="AS303">
        <v>0</v>
      </c>
      <c r="AT303" t="s">
        <v>6798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6809</v>
      </c>
      <c r="C304" t="s">
        <v>6810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6811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6856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6812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6813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6814</v>
      </c>
      <c r="C305" t="s">
        <v>6815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6857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6816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6817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6818</v>
      </c>
      <c r="C306" t="s">
        <v>6819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6858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6820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6821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6822</v>
      </c>
      <c r="C307" t="s">
        <v>6823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6859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6824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6825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6826</v>
      </c>
      <c r="C308" t="s">
        <v>6827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6828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6949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6829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6830</v>
      </c>
      <c r="C309" t="s">
        <v>6831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6860</v>
      </c>
      <c r="AH309" s="1">
        <v>2580</v>
      </c>
      <c r="AI309" t="s">
        <v>6785</v>
      </c>
      <c r="AJ309">
        <v>0</v>
      </c>
      <c r="AK309" s="1" t="s">
        <v>329</v>
      </c>
      <c r="AL309" s="1" t="s">
        <v>6832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6833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6834</v>
      </c>
      <c r="C310" t="s">
        <v>6835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6861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6836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6837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6838</v>
      </c>
      <c r="C311" t="s">
        <v>6839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6950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6840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6841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6842</v>
      </c>
      <c r="C312" t="s">
        <v>6843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6951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6844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6845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6846</v>
      </c>
      <c r="C313" t="s">
        <v>6847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6952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6848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6849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6850</v>
      </c>
      <c r="C314" t="s">
        <v>6851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6852</v>
      </c>
      <c r="AL314" s="1" t="s">
        <v>6853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6854</v>
      </c>
      <c r="AS314">
        <v>0</v>
      </c>
      <c r="AT314" t="s">
        <v>6855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6882</v>
      </c>
      <c r="C315" t="s">
        <v>6883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6884</v>
      </c>
      <c r="AL315" s="1" t="s">
        <v>6885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6886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6926</v>
      </c>
      <c r="C316" t="s">
        <v>6927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6920</v>
      </c>
      <c r="AH316" s="1">
        <v>3600</v>
      </c>
      <c r="AI316" t="s">
        <v>1851</v>
      </c>
      <c r="AJ316">
        <v>0</v>
      </c>
      <c r="AK316" s="1" t="s">
        <v>6928</v>
      </c>
      <c r="AL316" s="1" t="s">
        <v>6929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6930</v>
      </c>
      <c r="C317" t="s">
        <v>6931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6932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6912</v>
      </c>
      <c r="AH317" s="1">
        <v>3600</v>
      </c>
      <c r="AI317" t="s">
        <v>1851</v>
      </c>
      <c r="AJ317">
        <v>0</v>
      </c>
      <c r="AK317" s="1" t="s">
        <v>6933</v>
      </c>
      <c r="AL317" s="1" t="s">
        <v>6934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6935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6945</v>
      </c>
      <c r="C318" t="s">
        <v>6946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6947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6948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6953</v>
      </c>
      <c r="C319" t="s">
        <v>6954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6955</v>
      </c>
      <c r="AL319" s="1" t="s">
        <v>6956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6957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6958</v>
      </c>
      <c r="C320" t="s">
        <v>6959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6960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6961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6962</v>
      </c>
      <c r="AS320">
        <v>0</v>
      </c>
      <c r="AT320" t="s">
        <v>6963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6964</v>
      </c>
      <c r="C321" t="s">
        <v>6965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6966</v>
      </c>
      <c r="AL321" s="1" t="s">
        <v>6967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6968</v>
      </c>
      <c r="C322" t="s">
        <v>6969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6970</v>
      </c>
      <c r="AJ322">
        <v>0</v>
      </c>
      <c r="AK322" s="1" t="s">
        <v>6971</v>
      </c>
      <c r="AL322" s="1" t="s">
        <v>6972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6973</v>
      </c>
      <c r="C323" t="s">
        <v>6974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6975</v>
      </c>
      <c r="AL323" s="1" t="s">
        <v>6976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7071</v>
      </c>
      <c r="C324" t="s">
        <v>7072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7073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7074</v>
      </c>
      <c r="AL324" s="1" t="s">
        <v>7075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7076</v>
      </c>
      <c r="C325" t="s">
        <v>7077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7030</v>
      </c>
      <c r="AH325" s="1">
        <v>2700</v>
      </c>
      <c r="AI325" t="s">
        <v>1851</v>
      </c>
      <c r="AJ325">
        <v>0</v>
      </c>
      <c r="AK325" s="1" t="s">
        <v>7078</v>
      </c>
      <c r="AL325" s="1" t="s">
        <v>7079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7080</v>
      </c>
      <c r="C326" t="s">
        <v>7081</v>
      </c>
      <c r="D326">
        <v>5</v>
      </c>
      <c r="E326">
        <v>2</v>
      </c>
      <c r="F326">
        <v>19</v>
      </c>
      <c r="G326" s="1" t="s">
        <v>390</v>
      </c>
      <c r="H326" s="1" t="s">
        <v>7082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6989</v>
      </c>
      <c r="AH326" s="1">
        <v>3600</v>
      </c>
      <c r="AI326" t="s">
        <v>1851</v>
      </c>
      <c r="AJ326">
        <v>0</v>
      </c>
      <c r="AK326" s="1" t="s">
        <v>7083</v>
      </c>
      <c r="AL326" s="1" t="s">
        <v>7084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7085</v>
      </c>
      <c r="C327" t="s">
        <v>7086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6999</v>
      </c>
      <c r="AH327" s="1">
        <v>3600</v>
      </c>
      <c r="AI327" t="s">
        <v>1851</v>
      </c>
      <c r="AJ327">
        <v>0</v>
      </c>
      <c r="AK327" s="1" t="s">
        <v>7087</v>
      </c>
      <c r="AL327" s="1" t="s">
        <v>7088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7089</v>
      </c>
      <c r="C328" t="s">
        <v>7090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7014</v>
      </c>
      <c r="AH328" s="1">
        <v>3060</v>
      </c>
      <c r="AI328" t="s">
        <v>1851</v>
      </c>
      <c r="AJ328">
        <v>0</v>
      </c>
      <c r="AK328" s="1" t="s">
        <v>7091</v>
      </c>
      <c r="AL328" s="1" t="s">
        <v>7092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7093</v>
      </c>
      <c r="C329" t="s">
        <v>7094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7023</v>
      </c>
      <c r="AH329" s="1">
        <v>3060</v>
      </c>
      <c r="AI329" t="s">
        <v>1851</v>
      </c>
      <c r="AJ329">
        <v>0</v>
      </c>
      <c r="AK329" s="1" t="s">
        <v>7095</v>
      </c>
      <c r="AL329" s="1" t="s">
        <v>7096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7097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7098</v>
      </c>
      <c r="C330" t="s">
        <v>7099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7038</v>
      </c>
      <c r="AH330" s="1">
        <v>3060</v>
      </c>
      <c r="AI330" t="s">
        <v>1851</v>
      </c>
      <c r="AJ330">
        <v>0</v>
      </c>
      <c r="AK330" s="1" t="s">
        <v>7100</v>
      </c>
      <c r="AL330" s="1" t="s">
        <v>7101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7102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7118</v>
      </c>
      <c r="C331" t="s">
        <v>7119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7120</v>
      </c>
      <c r="AJ331">
        <v>0</v>
      </c>
      <c r="AK331" s="1" t="s">
        <v>7121</v>
      </c>
      <c r="AL331" s="1" t="s">
        <v>7122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7123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7192</v>
      </c>
      <c r="C332" t="s">
        <v>7193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7162</v>
      </c>
      <c r="AH332" s="1">
        <v>3540</v>
      </c>
      <c r="AI332" t="s">
        <v>1851</v>
      </c>
      <c r="AJ332">
        <v>0</v>
      </c>
      <c r="AK332" s="1" t="s">
        <v>7191</v>
      </c>
      <c r="AL332" s="1" t="s">
        <v>7194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6849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7195</v>
      </c>
      <c r="C333" t="s">
        <v>7196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7169</v>
      </c>
      <c r="AH333" s="1">
        <v>3120</v>
      </c>
      <c r="AI333" t="s">
        <v>1851</v>
      </c>
      <c r="AJ333">
        <v>0</v>
      </c>
      <c r="AK333" s="1" t="s">
        <v>7197</v>
      </c>
      <c r="AL333" s="1" t="s">
        <v>7198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7199</v>
      </c>
      <c r="C334" t="s">
        <v>7200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7213</v>
      </c>
      <c r="AH334" s="1">
        <v>3600</v>
      </c>
      <c r="AI334" t="s">
        <v>6514</v>
      </c>
      <c r="AJ334">
        <v>0</v>
      </c>
      <c r="AK334" s="1" t="s">
        <v>7190</v>
      </c>
      <c r="AL334" s="1" t="s">
        <v>7201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7202</v>
      </c>
      <c r="C335" t="s">
        <v>7203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7204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7184</v>
      </c>
      <c r="AH335" s="1">
        <v>3060</v>
      </c>
      <c r="AI335" t="s">
        <v>1851</v>
      </c>
      <c r="AJ335">
        <v>0</v>
      </c>
      <c r="AK335" s="1" t="s">
        <v>7205</v>
      </c>
      <c r="AL335" s="1" t="s">
        <v>7206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7207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7208</v>
      </c>
      <c r="C336" t="s">
        <v>7209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7210</v>
      </c>
      <c r="AL336" s="1" t="s">
        <v>7211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7212</v>
      </c>
      <c r="AU336">
        <v>10</v>
      </c>
      <c r="AV336">
        <v>19053</v>
      </c>
      <c r="AW336">
        <v>0</v>
      </c>
      <c r="AX33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93"/>
  <sheetViews>
    <sheetView workbookViewId="0">
      <pane ySplit="1" topLeftCell="A573" activePane="bottomLeft" state="frozen"/>
      <selection activeCell="AG332" sqref="AG332:AG336"/>
      <selection pane="bottomLeft" activeCell="AG332" sqref="AG332:AG336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6892</v>
      </c>
      <c r="C570" s="247" t="s">
        <v>6893</v>
      </c>
      <c r="D570" s="1" t="s">
        <v>6893</v>
      </c>
      <c r="E570" s="1" t="s">
        <v>329</v>
      </c>
      <c r="F570" s="1" t="s">
        <v>329</v>
      </c>
      <c r="G570" s="1" t="s">
        <v>6894</v>
      </c>
      <c r="H570" s="1" t="s">
        <v>6895</v>
      </c>
      <c r="I570" s="1" t="s">
        <v>6896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6897</v>
      </c>
      <c r="AK570" s="1" t="s">
        <v>6898</v>
      </c>
      <c r="AL570" s="1">
        <v>18</v>
      </c>
      <c r="AM570" s="1" t="s">
        <v>1814</v>
      </c>
      <c r="AN570" s="1" t="s">
        <v>6899</v>
      </c>
      <c r="AO570" s="1" t="s">
        <v>6900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6901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6902</v>
      </c>
      <c r="C571" s="247" t="s">
        <v>6903</v>
      </c>
      <c r="D571" s="1" t="s">
        <v>6903</v>
      </c>
      <c r="E571" s="1" t="s">
        <v>329</v>
      </c>
      <c r="F571" s="1" t="s">
        <v>329</v>
      </c>
      <c r="G571" s="1" t="s">
        <v>6904</v>
      </c>
      <c r="H571" s="1" t="s">
        <v>6905</v>
      </c>
      <c r="I571" s="1" t="s">
        <v>6906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6907</v>
      </c>
      <c r="AK571" s="1" t="s">
        <v>6908</v>
      </c>
      <c r="AL571" s="1">
        <v>14</v>
      </c>
      <c r="AM571" s="1" t="s">
        <v>1814</v>
      </c>
      <c r="AN571" s="1" t="s">
        <v>6909</v>
      </c>
      <c r="AO571" s="1" t="s">
        <v>6910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6901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6911</v>
      </c>
      <c r="C572" s="247" t="s">
        <v>6912</v>
      </c>
      <c r="D572" s="1" t="s">
        <v>6913</v>
      </c>
      <c r="E572" s="1" t="s">
        <v>329</v>
      </c>
      <c r="F572" s="1" t="s">
        <v>329</v>
      </c>
      <c r="G572" s="1" t="s">
        <v>6914</v>
      </c>
      <c r="H572" s="1" t="s">
        <v>6915</v>
      </c>
      <c r="I572" s="1" t="s">
        <v>6916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6917</v>
      </c>
      <c r="AK572" s="1" t="s">
        <v>6918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6901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6919</v>
      </c>
      <c r="C573" s="247" t="s">
        <v>6920</v>
      </c>
      <c r="D573" s="1" t="s">
        <v>6921</v>
      </c>
      <c r="E573" s="1" t="s">
        <v>329</v>
      </c>
      <c r="F573" s="1" t="s">
        <v>329</v>
      </c>
      <c r="G573" s="1" t="s">
        <v>6922</v>
      </c>
      <c r="H573" s="1" t="s">
        <v>6923</v>
      </c>
      <c r="I573" s="1" t="s">
        <v>6924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6925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6901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6988</v>
      </c>
      <c r="C574" s="247" t="s">
        <v>6989</v>
      </c>
      <c r="D574" s="1" t="s">
        <v>6989</v>
      </c>
      <c r="E574" s="1" t="s">
        <v>329</v>
      </c>
      <c r="F574" s="1" t="s">
        <v>329</v>
      </c>
      <c r="G574" s="1" t="s">
        <v>6990</v>
      </c>
      <c r="H574" s="1" t="s">
        <v>6991</v>
      </c>
      <c r="I574" s="1" t="s">
        <v>6992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6993</v>
      </c>
      <c r="AK574" s="1" t="s">
        <v>6994</v>
      </c>
      <c r="AL574" s="1">
        <v>13</v>
      </c>
      <c r="AM574" s="1" t="s">
        <v>1814</v>
      </c>
      <c r="AN574" s="1" t="s">
        <v>6995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6996</v>
      </c>
      <c r="AX574" s="1" t="s">
        <v>6997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6998</v>
      </c>
      <c r="C575" s="247" t="s">
        <v>6999</v>
      </c>
      <c r="D575" s="1" t="s">
        <v>6999</v>
      </c>
      <c r="E575" s="1" t="s">
        <v>329</v>
      </c>
      <c r="F575" s="1" t="s">
        <v>329</v>
      </c>
      <c r="G575" s="1" t="s">
        <v>7000</v>
      </c>
      <c r="H575" s="1" t="s">
        <v>7001</v>
      </c>
      <c r="I575" s="1" t="s">
        <v>7002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7003</v>
      </c>
      <c r="AK575" s="1" t="s">
        <v>329</v>
      </c>
      <c r="AL575" s="1">
        <v>12</v>
      </c>
      <c r="AM575" s="1" t="s">
        <v>1814</v>
      </c>
      <c r="AN575" s="1" t="s">
        <v>7004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6996</v>
      </c>
      <c r="AX575" s="1" t="s">
        <v>6997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7005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7006</v>
      </c>
      <c r="H576" s="1" t="s">
        <v>7007</v>
      </c>
      <c r="I576" s="1" t="s">
        <v>7008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7009</v>
      </c>
      <c r="AK576" s="1" t="s">
        <v>7010</v>
      </c>
      <c r="AL576" s="1">
        <v>18</v>
      </c>
      <c r="AM576" s="1" t="s">
        <v>1814</v>
      </c>
      <c r="AN576" s="1" t="s">
        <v>7011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6996</v>
      </c>
      <c r="AX576" s="1" t="s">
        <v>7012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7013</v>
      </c>
      <c r="C577" s="247" t="s">
        <v>7014</v>
      </c>
      <c r="D577" s="1" t="s">
        <v>7014</v>
      </c>
      <c r="E577" s="1" t="s">
        <v>329</v>
      </c>
      <c r="F577" s="1" t="s">
        <v>329</v>
      </c>
      <c r="G577" s="1" t="s">
        <v>7015</v>
      </c>
      <c r="H577" s="1" t="s">
        <v>7016</v>
      </c>
      <c r="I577" s="1" t="s">
        <v>7017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7018</v>
      </c>
      <c r="AK577" s="1" t="s">
        <v>7019</v>
      </c>
      <c r="AL577" s="1">
        <v>19</v>
      </c>
      <c r="AM577" s="1" t="s">
        <v>1814</v>
      </c>
      <c r="AN577" s="1" t="s">
        <v>7020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6996</v>
      </c>
      <c r="AX577" s="1" t="s">
        <v>7021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7022</v>
      </c>
      <c r="C578" s="247" t="s">
        <v>7023</v>
      </c>
      <c r="D578" s="1" t="s">
        <v>7023</v>
      </c>
      <c r="E578" s="1" t="s">
        <v>329</v>
      </c>
      <c r="F578" s="1" t="s">
        <v>329</v>
      </c>
      <c r="G578" s="1" t="s">
        <v>7024</v>
      </c>
      <c r="H578" s="1" t="s">
        <v>7025</v>
      </c>
      <c r="I578" s="1" t="s">
        <v>7026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7027</v>
      </c>
      <c r="AK578" s="1" t="s">
        <v>329</v>
      </c>
      <c r="AL578" s="1">
        <v>17</v>
      </c>
      <c r="AM578" s="1" t="s">
        <v>1814</v>
      </c>
      <c r="AN578" s="1" t="s">
        <v>7028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6996</v>
      </c>
      <c r="AX578" s="1" t="s">
        <v>7021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7029</v>
      </c>
      <c r="C579" s="247" t="s">
        <v>7030</v>
      </c>
      <c r="D579" s="1" t="s">
        <v>7030</v>
      </c>
      <c r="E579" s="1" t="s">
        <v>329</v>
      </c>
      <c r="F579" s="1" t="s">
        <v>329</v>
      </c>
      <c r="G579" s="1" t="s">
        <v>7031</v>
      </c>
      <c r="H579" s="1" t="s">
        <v>7032</v>
      </c>
      <c r="I579" s="1" t="s">
        <v>7033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7034</v>
      </c>
      <c r="AK579" s="1" t="s">
        <v>7035</v>
      </c>
      <c r="AL579" s="1">
        <v>14</v>
      </c>
      <c r="AM579" s="1" t="s">
        <v>1814</v>
      </c>
      <c r="AN579" s="1" t="s">
        <v>7036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6986</v>
      </c>
      <c r="AT579" s="1" t="s">
        <v>329</v>
      </c>
      <c r="AU579" s="1">
        <v>1040</v>
      </c>
      <c r="AV579" s="1">
        <v>1</v>
      </c>
      <c r="AW579" s="1" t="s">
        <v>6996</v>
      </c>
      <c r="AX579" s="1" t="s">
        <v>6997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7037</v>
      </c>
      <c r="C580" s="247" t="s">
        <v>7038</v>
      </c>
      <c r="D580" s="1" t="s">
        <v>7038</v>
      </c>
      <c r="E580" s="1" t="s">
        <v>329</v>
      </c>
      <c r="F580" s="1" t="s">
        <v>329</v>
      </c>
      <c r="G580" s="1" t="s">
        <v>7039</v>
      </c>
      <c r="H580" s="1" t="s">
        <v>7040</v>
      </c>
      <c r="I580" s="1" t="s">
        <v>7041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7042</v>
      </c>
      <c r="AK580" s="1" t="s">
        <v>329</v>
      </c>
      <c r="AL580" s="1">
        <v>8</v>
      </c>
      <c r="AM580" s="1" t="s">
        <v>1814</v>
      </c>
      <c r="AN580" s="1" t="s">
        <v>7043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6987</v>
      </c>
      <c r="AT580" s="1" t="s">
        <v>329</v>
      </c>
      <c r="AU580" s="1">
        <v>1041</v>
      </c>
      <c r="AV580" s="1">
        <v>1</v>
      </c>
      <c r="AW580" s="1" t="s">
        <v>6996</v>
      </c>
      <c r="AX580" s="1" t="s">
        <v>7012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7044</v>
      </c>
      <c r="C581" s="247" t="s">
        <v>7103</v>
      </c>
      <c r="D581" s="1" t="s">
        <v>7038</v>
      </c>
      <c r="E581" s="1" t="s">
        <v>329</v>
      </c>
      <c r="F581" s="1" t="s">
        <v>329</v>
      </c>
      <c r="G581" s="1" t="s">
        <v>7045</v>
      </c>
      <c r="H581" s="1" t="s">
        <v>7046</v>
      </c>
      <c r="I581" s="1" t="s">
        <v>7047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7048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7049</v>
      </c>
      <c r="C582" s="247" t="s">
        <v>7050</v>
      </c>
      <c r="D582" s="1" t="s">
        <v>7050</v>
      </c>
      <c r="E582" s="1" t="s">
        <v>329</v>
      </c>
      <c r="F582" s="1" t="s">
        <v>329</v>
      </c>
      <c r="G582" s="1" t="s">
        <v>7051</v>
      </c>
      <c r="H582" s="1" t="s">
        <v>7052</v>
      </c>
      <c r="I582" s="1" t="s">
        <v>7053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7054</v>
      </c>
      <c r="C583" s="247" t="s">
        <v>7104</v>
      </c>
      <c r="D583" s="1" t="s">
        <v>6989</v>
      </c>
      <c r="E583" s="1" t="s">
        <v>329</v>
      </c>
      <c r="F583" s="1" t="s">
        <v>329</v>
      </c>
      <c r="G583" s="1" t="s">
        <v>7055</v>
      </c>
      <c r="H583" s="1" t="s">
        <v>7056</v>
      </c>
      <c r="I583" s="1" t="s">
        <v>7057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7058</v>
      </c>
      <c r="AK583" s="1" t="s">
        <v>329</v>
      </c>
      <c r="AL583" s="1">
        <v>17</v>
      </c>
      <c r="AM583" s="1" t="s">
        <v>1814</v>
      </c>
      <c r="AN583" s="1" t="s">
        <v>7059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7060</v>
      </c>
      <c r="C584" s="247" t="s">
        <v>7105</v>
      </c>
      <c r="D584" s="1" t="s">
        <v>236</v>
      </c>
      <c r="E584" s="1" t="s">
        <v>329</v>
      </c>
      <c r="F584" s="1" t="s">
        <v>329</v>
      </c>
      <c r="G584" s="1" t="s">
        <v>7061</v>
      </c>
      <c r="H584" s="1" t="s">
        <v>7062</v>
      </c>
      <c r="I584" s="1" t="s">
        <v>7063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7064</v>
      </c>
      <c r="AK584" s="1" t="s">
        <v>329</v>
      </c>
      <c r="AL584" s="1">
        <v>19</v>
      </c>
      <c r="AM584" s="1" t="s">
        <v>1814</v>
      </c>
      <c r="AN584" s="1" t="s">
        <v>7065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7066</v>
      </c>
      <c r="C585" s="247" t="s">
        <v>7067</v>
      </c>
      <c r="D585" s="1" t="s">
        <v>7067</v>
      </c>
      <c r="E585" s="1" t="s">
        <v>329</v>
      </c>
      <c r="F585" s="1" t="s">
        <v>329</v>
      </c>
      <c r="G585" s="1" t="s">
        <v>7068</v>
      </c>
      <c r="H585" s="1" t="s">
        <v>7069</v>
      </c>
      <c r="I585" s="1" t="s">
        <v>7070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7125</v>
      </c>
      <c r="C586" s="247" t="s">
        <v>7126</v>
      </c>
      <c r="D586" s="1" t="s">
        <v>7126</v>
      </c>
      <c r="E586" s="1" t="s">
        <v>329</v>
      </c>
      <c r="F586" s="1" t="s">
        <v>329</v>
      </c>
      <c r="G586" s="1" t="s">
        <v>7127</v>
      </c>
      <c r="H586" s="1" t="s">
        <v>7128</v>
      </c>
      <c r="I586" s="1" t="s">
        <v>7129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7130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7131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7132</v>
      </c>
      <c r="C587" s="247" t="s">
        <v>7133</v>
      </c>
      <c r="D587" s="1" t="s">
        <v>7133</v>
      </c>
      <c r="E587" s="1" t="s">
        <v>329</v>
      </c>
      <c r="F587" s="1" t="s">
        <v>329</v>
      </c>
      <c r="G587" s="1" t="s">
        <v>7134</v>
      </c>
      <c r="H587" s="1" t="s">
        <v>7135</v>
      </c>
      <c r="I587" s="1" t="s">
        <v>7136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7137</v>
      </c>
      <c r="AK587" s="1" t="s">
        <v>7138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7131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7139</v>
      </c>
      <c r="C588" s="247" t="s">
        <v>7140</v>
      </c>
      <c r="D588" s="1" t="s">
        <v>7140</v>
      </c>
      <c r="E588" s="1" t="s">
        <v>329</v>
      </c>
      <c r="F588" s="1" t="s">
        <v>329</v>
      </c>
      <c r="G588" s="1" t="s">
        <v>7141</v>
      </c>
      <c r="H588" s="1" t="s">
        <v>7142</v>
      </c>
      <c r="I588" s="1" t="s">
        <v>7143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7144</v>
      </c>
      <c r="AK588" s="1" t="s">
        <v>329</v>
      </c>
      <c r="AL588" s="1">
        <v>17</v>
      </c>
      <c r="AM588" s="1" t="s">
        <v>4770</v>
      </c>
      <c r="AN588" s="1" t="s">
        <v>7145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7131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7146</v>
      </c>
      <c r="C589" s="247" t="s">
        <v>7147</v>
      </c>
      <c r="D589" s="1" t="s">
        <v>7147</v>
      </c>
      <c r="E589" s="1" t="s">
        <v>329</v>
      </c>
      <c r="F589" s="1" t="s">
        <v>329</v>
      </c>
      <c r="G589" s="1" t="s">
        <v>7148</v>
      </c>
      <c r="H589" s="1" t="s">
        <v>7149</v>
      </c>
      <c r="I589" s="1" t="s">
        <v>7150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7151</v>
      </c>
      <c r="AK589" s="1" t="s">
        <v>7152</v>
      </c>
      <c r="AL589" s="1">
        <v>12</v>
      </c>
      <c r="AM589" s="1" t="s">
        <v>399</v>
      </c>
      <c r="AN589" s="1" t="s">
        <v>7153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7131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7161</v>
      </c>
      <c r="C590" s="248" t="s">
        <v>7162</v>
      </c>
      <c r="D590" t="s">
        <v>7162</v>
      </c>
      <c r="E590" t="s">
        <v>7154</v>
      </c>
      <c r="F590" t="s">
        <v>7155</v>
      </c>
      <c r="G590" t="s">
        <v>7163</v>
      </c>
      <c r="H590" t="s">
        <v>7164</v>
      </c>
      <c r="I590" t="s">
        <v>7165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7166</v>
      </c>
      <c r="AK590" t="s">
        <v>329</v>
      </c>
      <c r="AL590">
        <v>19</v>
      </c>
      <c r="AM590" t="s">
        <v>4866</v>
      </c>
      <c r="AN590" t="s">
        <v>5212</v>
      </c>
      <c r="AO590" t="s">
        <v>7167</v>
      </c>
      <c r="AP590">
        <v>0</v>
      </c>
      <c r="AQ590" t="s">
        <v>1174</v>
      </c>
      <c r="AR590" t="s">
        <v>4919</v>
      </c>
      <c r="AS590" t="s">
        <v>7156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7168</v>
      </c>
      <c r="C591" s="248" t="s">
        <v>7169</v>
      </c>
      <c r="D591" t="s">
        <v>7169</v>
      </c>
      <c r="E591" t="s">
        <v>7157</v>
      </c>
      <c r="F591" t="s">
        <v>7158</v>
      </c>
      <c r="G591" t="s">
        <v>7170</v>
      </c>
      <c r="H591" t="s">
        <v>7171</v>
      </c>
      <c r="I591" t="s">
        <v>7172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7173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7174</v>
      </c>
      <c r="C592" s="248" t="s">
        <v>7213</v>
      </c>
      <c r="D592" t="s">
        <v>7175</v>
      </c>
      <c r="E592" t="s">
        <v>7159</v>
      </c>
      <c r="F592" t="s">
        <v>7160</v>
      </c>
      <c r="G592" t="s">
        <v>7176</v>
      </c>
      <c r="H592" t="s">
        <v>7177</v>
      </c>
      <c r="I592" t="s">
        <v>7178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7179</v>
      </c>
      <c r="AK592" t="s">
        <v>7180</v>
      </c>
      <c r="AL592">
        <v>14</v>
      </c>
      <c r="AM592" t="s">
        <v>4798</v>
      </c>
      <c r="AN592" t="s">
        <v>7181</v>
      </c>
      <c r="AO592" t="s">
        <v>7182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7183</v>
      </c>
      <c r="C593" s="248" t="s">
        <v>7184</v>
      </c>
      <c r="D593" t="s">
        <v>7184</v>
      </c>
      <c r="E593" t="s">
        <v>329</v>
      </c>
      <c r="F593" t="s">
        <v>329</v>
      </c>
      <c r="G593" t="s">
        <v>7185</v>
      </c>
      <c r="H593" t="s">
        <v>7186</v>
      </c>
      <c r="I593" t="s">
        <v>7187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7188</v>
      </c>
      <c r="AL593">
        <v>8</v>
      </c>
      <c r="AM593" t="s">
        <v>336</v>
      </c>
      <c r="AN593" t="s">
        <v>4736</v>
      </c>
      <c r="AO593" t="s">
        <v>7189</v>
      </c>
      <c r="AP593">
        <v>0</v>
      </c>
      <c r="AQ593" t="s">
        <v>5075</v>
      </c>
      <c r="AR593" t="s">
        <v>1208</v>
      </c>
      <c r="AS593" t="s">
        <v>6987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8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6800</v>
      </c>
      <c r="C11" t="s">
        <v>6801</v>
      </c>
      <c r="D11" t="s">
        <v>6801</v>
      </c>
      <c r="E11" t="s">
        <v>6802</v>
      </c>
      <c r="F11" t="s">
        <v>6799</v>
      </c>
      <c r="G11" t="s">
        <v>4493</v>
      </c>
      <c r="H11" t="s">
        <v>6803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6804</v>
      </c>
      <c r="X11" t="s">
        <v>6805</v>
      </c>
      <c r="Y11" t="s">
        <v>6806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6807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6936</v>
      </c>
      <c r="C19" t="s">
        <v>6937</v>
      </c>
      <c r="D19" t="s">
        <v>6937</v>
      </c>
      <c r="E19" t="s">
        <v>6938</v>
      </c>
      <c r="F19" t="s">
        <v>6799</v>
      </c>
      <c r="G19" t="s">
        <v>4493</v>
      </c>
      <c r="H19" t="s">
        <v>6939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6940</v>
      </c>
      <c r="X19" t="s">
        <v>6941</v>
      </c>
      <c r="Y19" t="s">
        <v>6942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6943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4595</v>
      </c>
      <c r="C22" t="s">
        <v>977</v>
      </c>
      <c r="D22" t="s">
        <v>977</v>
      </c>
      <c r="E22" t="s">
        <v>4596</v>
      </c>
      <c r="G22" t="s">
        <v>4493</v>
      </c>
      <c r="H22" t="s">
        <v>4597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4598</v>
      </c>
      <c r="X22" t="s">
        <v>329</v>
      </c>
      <c r="Y22" t="s">
        <v>4599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4600</v>
      </c>
      <c r="AV22" t="s">
        <v>4499</v>
      </c>
      <c r="AW22" t="s">
        <v>4499</v>
      </c>
      <c r="AX22" t="s">
        <v>4499</v>
      </c>
      <c r="AY22">
        <v>5</v>
      </c>
      <c r="AZ22">
        <v>11001</v>
      </c>
      <c r="BA22">
        <v>1</v>
      </c>
      <c r="BB22" t="s">
        <v>4500</v>
      </c>
      <c r="BC22" t="s">
        <v>1814</v>
      </c>
      <c r="BD22">
        <v>930001</v>
      </c>
      <c r="BE22" t="s">
        <v>4501</v>
      </c>
      <c r="BF22" t="s">
        <v>4502</v>
      </c>
      <c r="BG22">
        <v>100</v>
      </c>
      <c r="BH22">
        <v>10604</v>
      </c>
    </row>
    <row r="23" spans="1:61" x14ac:dyDescent="0.25">
      <c r="A23">
        <v>1023</v>
      </c>
      <c r="B23" t="s">
        <v>6977</v>
      </c>
      <c r="C23" t="s">
        <v>6978</v>
      </c>
      <c r="D23" t="s">
        <v>6978</v>
      </c>
      <c r="E23" t="s">
        <v>6979</v>
      </c>
      <c r="F23" t="s">
        <v>6799</v>
      </c>
      <c r="G23" t="s">
        <v>4493</v>
      </c>
      <c r="H23" t="s">
        <v>6980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6981</v>
      </c>
      <c r="X23" t="s">
        <v>6982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6983</v>
      </c>
      <c r="AV23" t="s">
        <v>4499</v>
      </c>
      <c r="AW23" t="s">
        <v>4499</v>
      </c>
      <c r="AX23" t="s">
        <v>4499</v>
      </c>
      <c r="AY23">
        <v>181</v>
      </c>
      <c r="AZ23">
        <v>11002</v>
      </c>
      <c r="BA23">
        <v>1</v>
      </c>
      <c r="BB23" t="s">
        <v>6984</v>
      </c>
      <c r="BC23" t="s">
        <v>1814</v>
      </c>
      <c r="BD23">
        <v>930024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4601</v>
      </c>
      <c r="C24" t="s">
        <v>985</v>
      </c>
      <c r="D24" t="s">
        <v>985</v>
      </c>
      <c r="E24" t="s">
        <v>4602</v>
      </c>
      <c r="G24" t="s">
        <v>4493</v>
      </c>
      <c r="H24" t="s">
        <v>4603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4604</v>
      </c>
      <c r="X24" t="s">
        <v>329</v>
      </c>
      <c r="Y24" t="s">
        <v>4605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4606</v>
      </c>
      <c r="AV24" t="s">
        <v>4499</v>
      </c>
      <c r="AW24" t="s">
        <v>4499</v>
      </c>
      <c r="AX24" t="s">
        <v>4499</v>
      </c>
      <c r="AY24">
        <v>21</v>
      </c>
      <c r="AZ24">
        <v>11002</v>
      </c>
      <c r="BA24">
        <v>1</v>
      </c>
      <c r="BB24" t="s">
        <v>4500</v>
      </c>
      <c r="BC24" t="s">
        <v>1814</v>
      </c>
      <c r="BD24">
        <v>930007</v>
      </c>
      <c r="BE24" t="s">
        <v>4501</v>
      </c>
      <c r="BF24" t="s">
        <v>4502</v>
      </c>
      <c r="BG24">
        <v>88</v>
      </c>
      <c r="BH24">
        <v>10603</v>
      </c>
    </row>
    <row r="25" spans="1:61" x14ac:dyDescent="0.25">
      <c r="A25">
        <v>2003</v>
      </c>
      <c r="B25" t="s">
        <v>4607</v>
      </c>
      <c r="C25" t="s">
        <v>996</v>
      </c>
      <c r="D25" t="s">
        <v>996</v>
      </c>
      <c r="E25" t="s">
        <v>4608</v>
      </c>
      <c r="G25" t="s">
        <v>4493</v>
      </c>
      <c r="H25" t="s">
        <v>4609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1814</v>
      </c>
      <c r="X25" t="s">
        <v>4507</v>
      </c>
      <c r="Y25" t="s">
        <v>4610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4500</v>
      </c>
      <c r="BC25" t="s">
        <v>1814</v>
      </c>
      <c r="BD25">
        <v>910015</v>
      </c>
      <c r="BE25" t="s">
        <v>4501</v>
      </c>
      <c r="BF25" t="s">
        <v>4502</v>
      </c>
      <c r="BG25">
        <v>100</v>
      </c>
      <c r="BH25">
        <v>0</v>
      </c>
    </row>
    <row r="26" spans="1:61" x14ac:dyDescent="0.25">
      <c r="A26">
        <v>2014</v>
      </c>
      <c r="B26" t="s">
        <v>4611</v>
      </c>
      <c r="C26" t="s">
        <v>1010</v>
      </c>
      <c r="D26" t="s">
        <v>1010</v>
      </c>
      <c r="E26" t="s">
        <v>4612</v>
      </c>
      <c r="G26" t="s">
        <v>4493</v>
      </c>
      <c r="H26" t="s">
        <v>4613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1814</v>
      </c>
      <c r="X26" t="s">
        <v>4507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4500</v>
      </c>
      <c r="BC26" t="s">
        <v>1814</v>
      </c>
      <c r="BD26">
        <v>911011</v>
      </c>
      <c r="BE26" t="s">
        <v>4501</v>
      </c>
      <c r="BF26" t="s">
        <v>4502</v>
      </c>
      <c r="BG26">
        <v>95</v>
      </c>
      <c r="BH26">
        <v>0</v>
      </c>
    </row>
    <row r="27" spans="1:61" x14ac:dyDescent="0.25">
      <c r="A27">
        <v>2001</v>
      </c>
      <c r="B27" t="s">
        <v>4614</v>
      </c>
      <c r="C27" t="s">
        <v>994</v>
      </c>
      <c r="D27" t="s">
        <v>994</v>
      </c>
      <c r="E27" t="s">
        <v>4615</v>
      </c>
      <c r="G27" t="s">
        <v>4493</v>
      </c>
      <c r="H27" t="s">
        <v>4616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1814</v>
      </c>
      <c r="X27" t="s">
        <v>4507</v>
      </c>
      <c r="Y27" t="s">
        <v>4617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4500</v>
      </c>
      <c r="BC27" t="s">
        <v>1814</v>
      </c>
      <c r="BD27">
        <v>910017</v>
      </c>
      <c r="BE27" t="s">
        <v>4501</v>
      </c>
      <c r="BF27" t="s">
        <v>4502</v>
      </c>
      <c r="BG27">
        <v>75</v>
      </c>
      <c r="BH27">
        <v>0</v>
      </c>
    </row>
    <row r="28" spans="1:61" x14ac:dyDescent="0.25">
      <c r="A28">
        <v>2002</v>
      </c>
      <c r="B28" t="s">
        <v>4618</v>
      </c>
      <c r="C28" t="s">
        <v>995</v>
      </c>
      <c r="D28" t="s">
        <v>995</v>
      </c>
      <c r="E28" t="s">
        <v>4619</v>
      </c>
      <c r="G28" t="s">
        <v>4493</v>
      </c>
      <c r="H28" t="s">
        <v>4620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1814</v>
      </c>
      <c r="X28" t="s">
        <v>4621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4500</v>
      </c>
      <c r="BC28" t="s">
        <v>1814</v>
      </c>
      <c r="BD28">
        <v>910008</v>
      </c>
      <c r="BE28" t="s">
        <v>4501</v>
      </c>
      <c r="BF28" t="s">
        <v>4502</v>
      </c>
      <c r="BG28">
        <v>90</v>
      </c>
      <c r="BH28">
        <v>0</v>
      </c>
    </row>
    <row r="29" spans="1:61" x14ac:dyDescent="0.25">
      <c r="A29">
        <v>2012</v>
      </c>
      <c r="B29" t="s">
        <v>4622</v>
      </c>
      <c r="C29" t="s">
        <v>1008</v>
      </c>
      <c r="D29" t="s">
        <v>1008</v>
      </c>
      <c r="E29" t="s">
        <v>4623</v>
      </c>
      <c r="G29" t="s">
        <v>4493</v>
      </c>
      <c r="H29" t="s">
        <v>4624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1814</v>
      </c>
      <c r="X29" t="s">
        <v>4507</v>
      </c>
      <c r="Y29" t="s">
        <v>4625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4500</v>
      </c>
      <c r="BC29" t="s">
        <v>1814</v>
      </c>
      <c r="BD29">
        <v>911008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2016</v>
      </c>
      <c r="B30" t="s">
        <v>5669</v>
      </c>
      <c r="C30" t="s">
        <v>5673</v>
      </c>
      <c r="D30" t="s">
        <v>5670</v>
      </c>
      <c r="E30" t="s">
        <v>5671</v>
      </c>
      <c r="G30" t="s">
        <v>4493</v>
      </c>
      <c r="H30" t="s">
        <v>5672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1814</v>
      </c>
      <c r="X30" t="s">
        <v>4507</v>
      </c>
      <c r="Y30" t="s">
        <v>4629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4500</v>
      </c>
      <c r="BC30" t="s">
        <v>1814</v>
      </c>
      <c r="BD30">
        <v>913124</v>
      </c>
      <c r="BE30" t="s">
        <v>4501</v>
      </c>
      <c r="BF30" t="s">
        <v>4502</v>
      </c>
      <c r="BG30">
        <v>95</v>
      </c>
      <c r="BH30">
        <v>0</v>
      </c>
    </row>
    <row r="31" spans="1:61" x14ac:dyDescent="0.25">
      <c r="A31">
        <v>2008</v>
      </c>
      <c r="B31" t="s">
        <v>4626</v>
      </c>
      <c r="C31" t="s">
        <v>1003</v>
      </c>
      <c r="D31" t="s">
        <v>1003</v>
      </c>
      <c r="E31" t="s">
        <v>4627</v>
      </c>
      <c r="G31" t="s">
        <v>4493</v>
      </c>
      <c r="H31" t="s">
        <v>4628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4500</v>
      </c>
      <c r="BC31" t="s">
        <v>1814</v>
      </c>
      <c r="BD31">
        <v>911007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2015</v>
      </c>
      <c r="B32" t="s">
        <v>4503</v>
      </c>
      <c r="C32" t="s">
        <v>4504</v>
      </c>
      <c r="D32" t="s">
        <v>4504</v>
      </c>
      <c r="E32" t="s">
        <v>4505</v>
      </c>
      <c r="G32" t="s">
        <v>4493</v>
      </c>
      <c r="H32" t="s">
        <v>4506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1814</v>
      </c>
      <c r="X32" t="s">
        <v>4507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4500</v>
      </c>
      <c r="BC32" t="s">
        <v>1814</v>
      </c>
      <c r="BD32">
        <v>911006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2006</v>
      </c>
      <c r="B33" t="s">
        <v>4630</v>
      </c>
      <c r="C33" t="s">
        <v>1002</v>
      </c>
      <c r="D33" t="s">
        <v>1002</v>
      </c>
      <c r="E33" t="s">
        <v>4631</v>
      </c>
      <c r="G33" t="s">
        <v>4493</v>
      </c>
      <c r="H33" t="s">
        <v>4632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1814</v>
      </c>
      <c r="X33" t="s">
        <v>4633</v>
      </c>
      <c r="Y33" t="s">
        <v>4634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4500</v>
      </c>
      <c r="BC33" t="s">
        <v>1814</v>
      </c>
      <c r="BD33">
        <v>910010</v>
      </c>
      <c r="BE33" t="s">
        <v>4501</v>
      </c>
      <c r="BF33" t="s">
        <v>4502</v>
      </c>
      <c r="BG33">
        <v>100</v>
      </c>
      <c r="BH33">
        <v>0</v>
      </c>
    </row>
    <row r="34" spans="1:61" x14ac:dyDescent="0.25">
      <c r="A34">
        <v>2004</v>
      </c>
      <c r="B34" t="s">
        <v>4635</v>
      </c>
      <c r="C34" t="s">
        <v>998</v>
      </c>
      <c r="D34" t="s">
        <v>998</v>
      </c>
      <c r="E34" t="s">
        <v>4636</v>
      </c>
      <c r="G34" t="s">
        <v>4493</v>
      </c>
      <c r="H34" t="s">
        <v>4637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1814</v>
      </c>
      <c r="X34" t="s">
        <v>4507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4500</v>
      </c>
      <c r="BC34" t="s">
        <v>1814</v>
      </c>
      <c r="BD34">
        <v>910016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2011</v>
      </c>
      <c r="B35" t="s">
        <v>4638</v>
      </c>
      <c r="C35" t="s">
        <v>1006</v>
      </c>
      <c r="D35" t="s">
        <v>1006</v>
      </c>
      <c r="E35" t="s">
        <v>4639</v>
      </c>
      <c r="G35" t="s">
        <v>4493</v>
      </c>
      <c r="H35" t="s">
        <v>4640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1814</v>
      </c>
      <c r="X35" t="s">
        <v>4507</v>
      </c>
      <c r="Y35" t="s">
        <v>4641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4500</v>
      </c>
      <c r="BC35" t="s">
        <v>1814</v>
      </c>
      <c r="BD35">
        <v>911001</v>
      </c>
      <c r="BE35" t="s">
        <v>4501</v>
      </c>
      <c r="BF35" t="s">
        <v>4502</v>
      </c>
      <c r="BG35">
        <v>80</v>
      </c>
      <c r="BH35">
        <v>0</v>
      </c>
    </row>
    <row r="36" spans="1:61" x14ac:dyDescent="0.25">
      <c r="A36">
        <v>2018</v>
      </c>
      <c r="B36" t="s">
        <v>6543</v>
      </c>
      <c r="C36" t="s">
        <v>6551</v>
      </c>
      <c r="D36" t="s">
        <v>6544</v>
      </c>
      <c r="E36" t="s">
        <v>6545</v>
      </c>
      <c r="G36" t="s">
        <v>4493</v>
      </c>
      <c r="H36" t="s">
        <v>6546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6547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1814</v>
      </c>
      <c r="X36" t="s">
        <v>6548</v>
      </c>
      <c r="Y36" t="s">
        <v>6549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4500</v>
      </c>
      <c r="BC36" t="s">
        <v>1814</v>
      </c>
      <c r="BD36">
        <v>913217</v>
      </c>
      <c r="BE36" t="s">
        <v>4501</v>
      </c>
      <c r="BF36" t="s">
        <v>4502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4642</v>
      </c>
      <c r="C37" t="s">
        <v>1004</v>
      </c>
      <c r="D37" t="s">
        <v>1004</v>
      </c>
      <c r="E37" t="s">
        <v>4643</v>
      </c>
      <c r="G37" t="s">
        <v>4493</v>
      </c>
      <c r="H37" t="s">
        <v>4644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1814</v>
      </c>
      <c r="X37" t="s">
        <v>4645</v>
      </c>
      <c r="Y37" t="s">
        <v>4646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4500</v>
      </c>
      <c r="BC37" t="s">
        <v>1814</v>
      </c>
      <c r="BD37">
        <v>911104</v>
      </c>
      <c r="BE37" t="s">
        <v>4501</v>
      </c>
      <c r="BF37" t="s">
        <v>4502</v>
      </c>
      <c r="BG37">
        <v>90</v>
      </c>
      <c r="BH37">
        <v>0</v>
      </c>
    </row>
    <row r="38" spans="1:61" x14ac:dyDescent="0.25">
      <c r="A38">
        <v>2013</v>
      </c>
      <c r="B38" t="s">
        <v>4647</v>
      </c>
      <c r="C38" t="s">
        <v>1009</v>
      </c>
      <c r="D38" t="s">
        <v>1009</v>
      </c>
      <c r="E38" t="s">
        <v>4648</v>
      </c>
      <c r="G38" t="s">
        <v>4493</v>
      </c>
      <c r="H38" t="s">
        <v>4649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1814</v>
      </c>
      <c r="X38" t="s">
        <v>4650</v>
      </c>
      <c r="Y38" t="s">
        <v>4651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4500</v>
      </c>
      <c r="BC38" t="s">
        <v>1814</v>
      </c>
      <c r="BD38">
        <v>911012</v>
      </c>
      <c r="BE38" t="s">
        <v>4501</v>
      </c>
      <c r="BF38" t="s">
        <v>4502</v>
      </c>
      <c r="BG38">
        <v>95</v>
      </c>
      <c r="BH38">
        <v>0</v>
      </c>
    </row>
    <row r="39" spans="1:61" x14ac:dyDescent="0.25">
      <c r="A39">
        <v>2005</v>
      </c>
      <c r="B39" t="s">
        <v>4652</v>
      </c>
      <c r="C39" t="s">
        <v>1000</v>
      </c>
      <c r="D39" t="s">
        <v>1000</v>
      </c>
      <c r="E39" t="s">
        <v>4653</v>
      </c>
      <c r="G39" t="s">
        <v>4493</v>
      </c>
      <c r="H39" t="s">
        <v>4654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1814</v>
      </c>
      <c r="X39" t="s">
        <v>4655</v>
      </c>
      <c r="Y39" t="s">
        <v>4656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4500</v>
      </c>
      <c r="BC39" t="s">
        <v>1814</v>
      </c>
      <c r="BD39">
        <v>910018</v>
      </c>
      <c r="BE39" t="s">
        <v>4501</v>
      </c>
      <c r="BF39" t="s">
        <v>4502</v>
      </c>
      <c r="BG39">
        <v>100</v>
      </c>
      <c r="BH39">
        <v>0</v>
      </c>
    </row>
    <row r="40" spans="1:61" x14ac:dyDescent="0.25">
      <c r="A40">
        <v>2017</v>
      </c>
      <c r="B40" t="s">
        <v>6366</v>
      </c>
      <c r="C40" t="s">
        <v>6373</v>
      </c>
      <c r="D40" t="s">
        <v>6367</v>
      </c>
      <c r="E40" t="s">
        <v>6368</v>
      </c>
      <c r="G40" t="s">
        <v>4493</v>
      </c>
      <c r="H40" t="s">
        <v>6369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1814</v>
      </c>
      <c r="X40" t="s">
        <v>4507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4500</v>
      </c>
      <c r="BC40" t="s">
        <v>1814</v>
      </c>
      <c r="BD40">
        <v>913101</v>
      </c>
      <c r="BE40" t="s">
        <v>4501</v>
      </c>
      <c r="BF40" t="s">
        <v>4502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4657</v>
      </c>
      <c r="C41" t="s">
        <v>1005</v>
      </c>
      <c r="D41" t="s">
        <v>1005</v>
      </c>
      <c r="E41" t="s">
        <v>4658</v>
      </c>
      <c r="G41" t="s">
        <v>4493</v>
      </c>
      <c r="H41" t="s">
        <v>4659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1814</v>
      </c>
      <c r="X41" t="s">
        <v>4507</v>
      </c>
      <c r="Y41" t="s">
        <v>4660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4500</v>
      </c>
      <c r="BC41" t="s">
        <v>1814</v>
      </c>
      <c r="BD41">
        <v>911105</v>
      </c>
      <c r="BE41" t="s">
        <v>4501</v>
      </c>
      <c r="BF41" t="s">
        <v>4502</v>
      </c>
      <c r="BG41">
        <v>90</v>
      </c>
      <c r="BH41">
        <v>0</v>
      </c>
    </row>
    <row r="42" spans="1:61" x14ac:dyDescent="0.25">
      <c r="A42">
        <v>3006</v>
      </c>
      <c r="B42" t="s">
        <v>4661</v>
      </c>
      <c r="C42" t="s">
        <v>1016</v>
      </c>
      <c r="D42" t="s">
        <v>1016</v>
      </c>
      <c r="E42" t="s">
        <v>4662</v>
      </c>
      <c r="G42" t="s">
        <v>4493</v>
      </c>
      <c r="H42" t="s">
        <v>4663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1814</v>
      </c>
      <c r="X42" t="s">
        <v>4655</v>
      </c>
      <c r="Y42" t="s">
        <v>4664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4500</v>
      </c>
      <c r="BC42" t="s">
        <v>1814</v>
      </c>
      <c r="BD42">
        <v>910003</v>
      </c>
      <c r="BE42" t="s">
        <v>4501</v>
      </c>
      <c r="BF42" t="s">
        <v>4502</v>
      </c>
      <c r="BG42">
        <v>95</v>
      </c>
      <c r="BH42">
        <v>0</v>
      </c>
    </row>
    <row r="43" spans="1:61" x14ac:dyDescent="0.25">
      <c r="A43">
        <v>3010</v>
      </c>
      <c r="B43" t="s">
        <v>4665</v>
      </c>
      <c r="C43" t="s">
        <v>1021</v>
      </c>
      <c r="D43" t="s">
        <v>1021</v>
      </c>
      <c r="E43" t="s">
        <v>4666</v>
      </c>
      <c r="G43" t="s">
        <v>4493</v>
      </c>
      <c r="H43" t="s">
        <v>4667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1814</v>
      </c>
      <c r="X43" t="s">
        <v>4668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4500</v>
      </c>
      <c r="BC43" t="s">
        <v>1814</v>
      </c>
      <c r="BD43">
        <v>910021</v>
      </c>
      <c r="BE43" t="s">
        <v>4501</v>
      </c>
      <c r="BF43" t="s">
        <v>4502</v>
      </c>
      <c r="BG43">
        <v>100</v>
      </c>
      <c r="BH43">
        <v>0</v>
      </c>
    </row>
    <row r="44" spans="1:61" x14ac:dyDescent="0.25">
      <c r="A44">
        <v>3003</v>
      </c>
      <c r="B44" t="s">
        <v>4669</v>
      </c>
      <c r="C44" t="s">
        <v>1013</v>
      </c>
      <c r="D44" t="s">
        <v>1013</v>
      </c>
      <c r="E44" t="s">
        <v>4670</v>
      </c>
      <c r="G44" t="s">
        <v>4493</v>
      </c>
      <c r="H44" t="s">
        <v>4671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1814</v>
      </c>
      <c r="X44" t="s">
        <v>4507</v>
      </c>
      <c r="Y44" t="s">
        <v>4672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4500</v>
      </c>
      <c r="BC44" t="s">
        <v>1814</v>
      </c>
      <c r="BD44">
        <v>910007</v>
      </c>
      <c r="BE44" t="s">
        <v>4501</v>
      </c>
      <c r="BF44" t="s">
        <v>4502</v>
      </c>
      <c r="BG44">
        <v>92</v>
      </c>
      <c r="BH44">
        <v>0</v>
      </c>
    </row>
    <row r="45" spans="1:61" x14ac:dyDescent="0.25">
      <c r="A45">
        <v>3004</v>
      </c>
      <c r="B45" t="s">
        <v>4673</v>
      </c>
      <c r="C45" t="s">
        <v>1014</v>
      </c>
      <c r="D45" t="s">
        <v>1014</v>
      </c>
      <c r="E45" t="s">
        <v>4674</v>
      </c>
      <c r="G45" t="s">
        <v>4493</v>
      </c>
      <c r="H45" t="s">
        <v>4675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1814</v>
      </c>
      <c r="X45" t="s">
        <v>4507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4500</v>
      </c>
      <c r="BC45" t="s">
        <v>1814</v>
      </c>
      <c r="BD45">
        <v>910006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3009</v>
      </c>
      <c r="B46" t="s">
        <v>4676</v>
      </c>
      <c r="C46" t="s">
        <v>1019</v>
      </c>
      <c r="D46" t="s">
        <v>1019</v>
      </c>
      <c r="E46" t="s">
        <v>4677</v>
      </c>
      <c r="G46" t="s">
        <v>4493</v>
      </c>
      <c r="H46" t="s">
        <v>4678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1814</v>
      </c>
      <c r="X46" t="s">
        <v>4507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4500</v>
      </c>
      <c r="BC46" t="s">
        <v>1814</v>
      </c>
      <c r="BD46">
        <v>910009</v>
      </c>
      <c r="BE46" t="s">
        <v>4501</v>
      </c>
      <c r="BF46" t="s">
        <v>4502</v>
      </c>
      <c r="BG46">
        <v>80</v>
      </c>
      <c r="BH46">
        <v>0</v>
      </c>
    </row>
    <row r="47" spans="1:61" x14ac:dyDescent="0.25">
      <c r="A47">
        <v>3008</v>
      </c>
      <c r="B47" t="s">
        <v>4679</v>
      </c>
      <c r="C47" t="s">
        <v>1018</v>
      </c>
      <c r="D47" t="s">
        <v>1018</v>
      </c>
      <c r="E47" t="s">
        <v>4680</v>
      </c>
      <c r="G47" t="s">
        <v>4493</v>
      </c>
      <c r="H47" t="s">
        <v>4681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1814</v>
      </c>
      <c r="X47" t="s">
        <v>4507</v>
      </c>
      <c r="Y47" t="s">
        <v>4682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4500</v>
      </c>
      <c r="BC47" t="s">
        <v>1814</v>
      </c>
      <c r="BD47">
        <v>910001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3001</v>
      </c>
      <c r="B48" t="s">
        <v>4683</v>
      </c>
      <c r="C48" t="s">
        <v>1011</v>
      </c>
      <c r="D48" t="s">
        <v>1011</v>
      </c>
      <c r="E48" t="s">
        <v>4684</v>
      </c>
      <c r="G48" t="s">
        <v>4493</v>
      </c>
      <c r="H48" t="s">
        <v>4685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1814</v>
      </c>
      <c r="X48" t="s">
        <v>4507</v>
      </c>
      <c r="Y48" t="s">
        <v>4686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4500</v>
      </c>
      <c r="BC48" t="s">
        <v>1814</v>
      </c>
      <c r="BD48">
        <v>910004</v>
      </c>
      <c r="BE48" t="s">
        <v>4501</v>
      </c>
      <c r="BF48" t="s">
        <v>4502</v>
      </c>
      <c r="BG48">
        <v>95</v>
      </c>
      <c r="BH48">
        <v>0</v>
      </c>
    </row>
    <row r="49" spans="1:60" x14ac:dyDescent="0.25">
      <c r="A49">
        <v>3007</v>
      </c>
      <c r="B49" t="s">
        <v>4687</v>
      </c>
      <c r="C49" t="s">
        <v>1017</v>
      </c>
      <c r="D49" t="s">
        <v>1017</v>
      </c>
      <c r="E49" t="s">
        <v>4688</v>
      </c>
      <c r="G49" t="s">
        <v>4493</v>
      </c>
      <c r="H49" t="s">
        <v>4689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1814</v>
      </c>
      <c r="X49" t="s">
        <v>4507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4500</v>
      </c>
      <c r="BC49" t="s">
        <v>1814</v>
      </c>
      <c r="BD49">
        <v>910002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3005</v>
      </c>
      <c r="B50" t="s">
        <v>4690</v>
      </c>
      <c r="C50" t="s">
        <v>1015</v>
      </c>
      <c r="D50" t="s">
        <v>1015</v>
      </c>
      <c r="E50" t="s">
        <v>4691</v>
      </c>
      <c r="G50" t="s">
        <v>4493</v>
      </c>
      <c r="H50" t="s">
        <v>4692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1814</v>
      </c>
      <c r="X50" t="s">
        <v>4507</v>
      </c>
      <c r="Y50" t="s">
        <v>4693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4500</v>
      </c>
      <c r="BC50" t="s">
        <v>1814</v>
      </c>
      <c r="BD50">
        <v>910012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3002</v>
      </c>
      <c r="B51" t="s">
        <v>4694</v>
      </c>
      <c r="C51" t="s">
        <v>1012</v>
      </c>
      <c r="D51" t="s">
        <v>1012</v>
      </c>
      <c r="E51" t="s">
        <v>4695</v>
      </c>
      <c r="G51" t="s">
        <v>4493</v>
      </c>
      <c r="H51" t="s">
        <v>4696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1814</v>
      </c>
      <c r="X51" t="s">
        <v>4507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4500</v>
      </c>
      <c r="BC51" t="s">
        <v>1814</v>
      </c>
      <c r="BD51">
        <v>910005</v>
      </c>
      <c r="BE51" t="s">
        <v>4501</v>
      </c>
      <c r="BF51" t="s">
        <v>4502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6866</v>
      </c>
      <c r="C4" t="s">
        <v>1088</v>
      </c>
    </row>
    <row r="5" spans="1:3" x14ac:dyDescent="0.25">
      <c r="A5" s="1">
        <v>1004</v>
      </c>
      <c r="B5" t="s">
        <v>6867</v>
      </c>
      <c r="C5" t="s">
        <v>1089</v>
      </c>
    </row>
    <row r="6" spans="1:3" x14ac:dyDescent="0.25">
      <c r="A6" s="1">
        <v>1005</v>
      </c>
      <c r="B6" t="s">
        <v>6868</v>
      </c>
      <c r="C6" t="s">
        <v>1090</v>
      </c>
    </row>
    <row r="7" spans="1:3" x14ac:dyDescent="0.25">
      <c r="A7" s="1">
        <v>2003</v>
      </c>
      <c r="B7" t="s">
        <v>6869</v>
      </c>
      <c r="C7" t="s">
        <v>1091</v>
      </c>
    </row>
    <row r="8" spans="1:3" x14ac:dyDescent="0.25">
      <c r="A8" s="1">
        <v>2004</v>
      </c>
      <c r="B8" t="s">
        <v>6870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6871</v>
      </c>
      <c r="C10" t="s">
        <v>1094</v>
      </c>
    </row>
    <row r="11" spans="1:3" x14ac:dyDescent="0.25">
      <c r="A11" s="1">
        <v>3003</v>
      </c>
      <c r="B11" t="s">
        <v>6872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6873</v>
      </c>
      <c r="C13" t="s">
        <v>1097</v>
      </c>
    </row>
    <row r="14" spans="1:3" x14ac:dyDescent="0.25">
      <c r="A14" s="1">
        <v>3006</v>
      </c>
      <c r="B14" t="s">
        <v>6874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6808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6807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6807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6807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6944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6943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6943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6943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6943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6985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6983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6983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6983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6983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topLeftCell="A6" workbookViewId="0">
      <selection activeCell="B8" sqref="B8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6611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6612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6613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7108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7111</v>
      </c>
    </row>
    <row r="29" spans="1:11" x14ac:dyDescent="0.25">
      <c r="A29"/>
      <c r="B29" s="256" t="s">
        <v>7112</v>
      </c>
      <c r="C29" t="str">
        <f>SUBSTITUTE(SUBSTITUTE(C28,"building1",Main!B89),"spot1",Main!C89)</f>
        <v>"building_info": "{}",</v>
      </c>
      <c r="F29" s="9" t="s">
        <v>7115</v>
      </c>
    </row>
    <row r="30" spans="1:11" x14ac:dyDescent="0.25">
      <c r="A30"/>
      <c r="B30" s="256" t="s">
        <v>7113</v>
      </c>
      <c r="C30" t="str">
        <f>SUBSTITUTE(SUBSTITUTE(C29,"building2",Main!B90),"spot2",Main!C90)</f>
        <v>"building_info": "{}",</v>
      </c>
      <c r="F30" s="9" t="s">
        <v>7116</v>
      </c>
    </row>
    <row r="31" spans="1:11" x14ac:dyDescent="0.25">
      <c r="A31"/>
      <c r="B31" s="256" t="s">
        <v>7114</v>
      </c>
      <c r="C31" t="str">
        <f>SUBSTITUTE(SUBSTITUTE(C30,"building3",Main!B91),"spot3",Main!C91)</f>
        <v>"building_info": "{}",</v>
      </c>
      <c r="F31" s="9" t="s">
        <v>7117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V1" workbookViewId="0">
      <pane ySplit="1" topLeftCell="A2" activePane="bottomLeft" state="frozen"/>
      <selection activeCell="AG332" sqref="AG332:AG336"/>
      <selection pane="bottomLeft" activeCell="AG332" sqref="AG332:AG336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7133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7184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7213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7213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6893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6857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6903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t="s">
        <v>6694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6858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6859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7162</v>
      </c>
      <c r="Z10" s="9" t="s">
        <v>205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6484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300</v>
      </c>
      <c r="AD12" s="9" t="s">
        <v>931</v>
      </c>
      <c r="AE12" t="s">
        <v>4730</v>
      </c>
      <c r="AL12" s="40"/>
      <c r="AU12" t="s">
        <v>6949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6999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301</v>
      </c>
      <c r="AD13" s="9" t="s">
        <v>1642</v>
      </c>
      <c r="AE13" s="9" t="s">
        <v>812</v>
      </c>
      <c r="AL13" s="40"/>
      <c r="AU13" t="s">
        <v>6860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7126</v>
      </c>
      <c r="F14" t="s">
        <v>7169</v>
      </c>
      <c r="G14" s="9"/>
      <c r="I14" s="9" t="s">
        <v>1617</v>
      </c>
      <c r="J14" s="9" t="s">
        <v>730</v>
      </c>
      <c r="K14" s="9" t="s">
        <v>804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126</v>
      </c>
      <c r="AD14" s="9" t="s">
        <v>1639</v>
      </c>
      <c r="AE14" s="9" t="s">
        <v>5640</v>
      </c>
      <c r="AL14" s="40"/>
      <c r="AM14" s="40"/>
      <c r="AU14" t="s">
        <v>6861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1416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82</v>
      </c>
      <c r="N16" s="9" t="s">
        <v>130</v>
      </c>
      <c r="O16" s="9" t="s">
        <v>187</v>
      </c>
      <c r="P16" s="9" t="s">
        <v>7140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786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7014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190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1669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1652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1684</v>
      </c>
      <c r="AD18" s="9" t="s">
        <v>1679</v>
      </c>
      <c r="AE18" s="255" t="s">
        <v>7038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1659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834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1691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t="s">
        <v>1697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141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s="9" t="s">
        <v>7030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1709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1674</v>
      </c>
      <c r="AE22" s="9" t="s">
        <v>250</v>
      </c>
      <c r="AU22" t="s">
        <v>6856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1735</v>
      </c>
      <c r="N23" s="9" t="s">
        <v>218</v>
      </c>
      <c r="O23" s="9" t="s">
        <v>800</v>
      </c>
      <c r="P23" t="s">
        <v>1400</v>
      </c>
      <c r="T23" s="9" t="s">
        <v>7147</v>
      </c>
      <c r="U23" s="9" t="s">
        <v>7023</v>
      </c>
      <c r="AE23" s="216" t="s">
        <v>734</v>
      </c>
      <c r="AU23" t="s">
        <v>6950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Triela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1633</v>
      </c>
      <c r="O24" s="9" t="s">
        <v>5707</v>
      </c>
      <c r="P24" s="9" t="s">
        <v>1661</v>
      </c>
      <c r="T24" s="9" t="s">
        <v>229</v>
      </c>
      <c r="U24" s="9" t="s">
        <v>188</v>
      </c>
      <c r="AQ24" s="9"/>
      <c r="AU24" t="s">
        <v>6951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Type97SMod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5699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6952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127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5499</v>
      </c>
      <c r="F27" s="9" t="s">
        <v>732</v>
      </c>
      <c r="J27" s="9" t="s">
        <v>23</v>
      </c>
      <c r="K27" s="9" t="s">
        <v>76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740</v>
      </c>
      <c r="J28" s="9" t="s">
        <v>123</v>
      </c>
      <c r="K28" s="9" t="s">
        <v>224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6989</v>
      </c>
      <c r="J29" t="s">
        <v>5486</v>
      </c>
      <c r="K29" s="9" t="s">
        <v>265</v>
      </c>
      <c r="P29" s="9" t="s">
        <v>6912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264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79</v>
      </c>
      <c r="P31" s="9" t="s">
        <v>737</v>
      </c>
      <c r="U31" s="9" t="s">
        <v>1631</v>
      </c>
      <c r="AV31" t="s">
        <v>746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817</v>
      </c>
      <c r="P32" s="9" t="s">
        <v>814</v>
      </c>
      <c r="U32" t="s">
        <v>5716</v>
      </c>
      <c r="AV32" t="s">
        <v>748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C96Mod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198</v>
      </c>
      <c r="P33" s="9" t="s">
        <v>1244</v>
      </c>
      <c r="U33" s="9" t="s">
        <v>791</v>
      </c>
      <c r="AV33" t="s">
        <v>747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ClaesMeteorite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1675</v>
      </c>
      <c r="U34" s="9" t="s">
        <v>230</v>
      </c>
      <c r="AV34" t="s">
        <v>749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ClaesSpectacles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718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ClaesWristwatch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152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Clear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6920</v>
      </c>
      <c r="AV37" t="s">
        <v>736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CZ75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1611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Dana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722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Defender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7184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Dorothy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109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DP12Mod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3186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DP28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827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EVO3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1190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F1Mod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719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F2000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711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Fail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125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FAMAS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1635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FG42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5745</v>
      </c>
      <c r="AV49" t="s">
        <v>1424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Fiveseven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169</v>
      </c>
      <c r="AV50" t="s">
        <v>1643</v>
      </c>
      <c r="AZ50" s="1" t="str">
        <f t="shared" si="2"/>
        <v>XM8Mod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FN49Mod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1454</v>
      </c>
      <c r="AZ51" s="1" t="str">
        <f t="shared" si="2"/>
        <v>Zas M21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FP6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75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G11Mod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G17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1436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G36CMod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735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94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G41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832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G43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1762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Galil 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120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Gepard M1Mod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1692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Grizzly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248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GSh18Mod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223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Henrietta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259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HK416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1726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262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Honey Badger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78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IDWMod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Ingram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192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Jashin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Jericho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JillAdelhyde1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760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757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JillBronsonExtract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JillFlanergide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JillKarmotrine1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761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JillKarmotrine2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842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7023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JillPowderedDelta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168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Junko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7169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93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K5Mod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6772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Kar98k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723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266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KS23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96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KSVKMod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6773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Lee Enfield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6999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261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Lily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86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LWMMGMod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255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 Garand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M14Mod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785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M16A1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725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M1895Mod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253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M1897Mod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105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M1911Mod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M1918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107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M1918Mod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7162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M1919A4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89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M1919A4Mod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1178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M21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77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M249SAW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147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M3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715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M37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257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M38Mod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256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M4 SOPMOD IIMod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716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M4A1Mod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812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M500Mod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185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M6 ASW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63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M82A1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263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M9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68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M950AMod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941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Makarov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179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MakarovMod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1403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MDR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114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Medusa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6484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MG3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300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MG3Mod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112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MG4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930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MG42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254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MG4Mod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1407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Micro UziMod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1185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Minos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806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Mk23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729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MondragonM1908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1686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MosinNagant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1760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MosinNagantMod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1690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MP443Mod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730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MP446Mod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1416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MP5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1688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MP5Mod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131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NTW20Mod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6497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NZ75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1700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OBRMod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1701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Ots12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71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Ots44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197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P08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69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P22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122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P38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190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P7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129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P90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1400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P99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111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Pekola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154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PK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1691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PKP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1140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PP19Mod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70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PP2000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6476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PPK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908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PPKMod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5730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PPSh41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PPsh41Mod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186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PTRD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64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Px4 Storm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159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Python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1661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PzB39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230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QBU88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1761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RFB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249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Ribeyrolles1918Mod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931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Rico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826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RMB93Mod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110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RO635Mod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267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RPD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1641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SAAMod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7038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Saiga12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236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Saki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6912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Sakura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6920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SCAR-H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751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SCAR-L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732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SCW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750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Sei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745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Serdyukov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81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SIG510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795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Skorpion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116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SL8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87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Spectre M4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1633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Springfield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100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SR3MP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1689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ST AR-15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67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ST AR15Mod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740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Stechkin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737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StechkinMod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829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Stella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726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STEN MkIIMod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127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Stg44Mod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6522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Suomi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833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SuomiMod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1687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Super SASSMod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92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SV98Mod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1619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SVD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181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SVT38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1244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T77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6989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TAC50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739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Tae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76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TAR21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250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Thompson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243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Triela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830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Type 4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224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 56 RMod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239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Type 79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6775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Type03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136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Type56-1mod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118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Type63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741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Type64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834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Type64Mod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119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Type80Mod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839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Type88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6771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Type88Mod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712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Type92mod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734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Type95/97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731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Type97SMod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265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UMP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264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UMP45Mod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97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UMP9Mod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95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VM59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835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WA2000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932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Welrod MkIIMod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5745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XM3Mod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1697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XM8Mod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7030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Yurine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Yuugiri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18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1BD92-2C7F-493B-9A51-8F175B52B5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64</vt:i4>
      </vt:variant>
    </vt:vector>
  </HeadingPairs>
  <TitlesOfParts>
    <vt:vector size="9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2023-03-30T15:24:36Z</dcterms:modified>
</cp:coreProperties>
</file>