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CDCB3778-8084-42E4-B534-0D81156B264C}"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HOC Chip Data" sheetId="56" state="hidden" r:id="rId31"/>
    <sheet name="SF Resolution" sheetId="41" state="hidden" r:id="rId32"/>
    <sheet name="Vehicle Tree" sheetId="50" state="hidden" r:id="rId33"/>
    <sheet name="Vehicle Comp" sheetId="51"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1"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2" hidden="1">'Vehicle Tree'!$A$1:$X$31</definedName>
    <definedName name="AllySelection">Main!$H$125:$I$127</definedName>
    <definedName name="BossHP" localSheetId="30">[1]Main!$E$8</definedName>
    <definedName name="BossHP">Main!$E$8</definedName>
    <definedName name="BuildingSelection">Main!$F$125:$G$127</definedName>
    <definedName name="ChipJSONPath">'Misc Inputs'!$C$47</definedName>
    <definedName name="CustomStatInput">Main!$Y$21:$AC$25</definedName>
    <definedName name="DayNight" localSheetId="30">[1]Main!$B$8</definedName>
    <definedName name="DayNight">Main!$B$8</definedName>
    <definedName name="Debuff1" localSheetId="30">'[1]Misc Inputs'!$L$9</definedName>
    <definedName name="Debuff1">'Misc Inputs'!$L$9</definedName>
    <definedName name="Debuff2" localSheetId="30">'[1]Misc Inputs'!$L$10</definedName>
    <definedName name="Debuff2">'Misc Inputs'!$L$10</definedName>
    <definedName name="Debuff3" localSheetId="30">'[1]Misc Inputs'!$L$11</definedName>
    <definedName name="Debuff3">'Misc Inputs'!$L$11</definedName>
    <definedName name="DebuffConfig1" localSheetId="30">'[1]Misc Inputs'!$M$9</definedName>
    <definedName name="DebuffConfig1">'Misc Inputs'!$M$9</definedName>
    <definedName name="DebuffConfig2" localSheetId="30">'[1]Misc Inputs'!$M$10</definedName>
    <definedName name="DebuffConfig2">'Misc Inputs'!$M$10</definedName>
    <definedName name="DebuffConfig3" localSheetId="30">'[1]Misc Inputs'!$M$11</definedName>
    <definedName name="DebuffConfig3">'Misc Inputs'!$M$11</definedName>
    <definedName name="DebuffSelection">Main!$D$125:$E$127</definedName>
    <definedName name="DebuffSL1" localSheetId="30">[1]Main!$C$130</definedName>
    <definedName name="DebuffSL1">Main!$E$125</definedName>
    <definedName name="DebuffSL2" localSheetId="30">[1]Main!$C$131</definedName>
    <definedName name="DebuffSL2">Main!$E$126</definedName>
    <definedName name="DebuffSL3" localSheetId="30">[1]Main!$C$132</definedName>
    <definedName name="DebuffSL3">Main!$E$127</definedName>
    <definedName name="DollJSONPath">'Misc Inputs'!$C$44</definedName>
    <definedName name="EchelonInput">Main!$B$21:$AC$25</definedName>
    <definedName name="EchType" localSheetId="30">[1]Main!$B$7</definedName>
    <definedName name="EchType">Main!$B$7</definedName>
    <definedName name="EnemyHPPercent" localSheetId="30">[1]Main!$E$9</definedName>
    <definedName name="EnemyHPPercent">Main!$E$9</definedName>
    <definedName name="EnemyID" localSheetId="30">[1]Main!$E$7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0">[1]Main!$E$10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0">[1]Main!$E$11</definedName>
    <definedName name="HOCSupport">Main!$E$11</definedName>
    <definedName name="ListOfPresets" localSheetId="30">'[1]Preset Teams'!$A$4:$A$1048576</definedName>
    <definedName name="ListOfPresets">'Preset Teams'!$A$4:$A$1048576</definedName>
    <definedName name="ListOfPresetsSF" localSheetId="30">'[1]Preset Teams SF'!$A$4:$A$1048576</definedName>
    <definedName name="ListOfPresetsSF">'Preset Teams SF'!$A$4:$A$1048576</definedName>
    <definedName name="MissionJSON">'Misc Inputs'!$C$49</definedName>
    <definedName name="NodeColor" localSheetId="30">[1]Main!$B$9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0">[1]Main!$B$11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0">'[1]Misc Inputs'!$G$9</definedName>
    <definedName name="StratBuff1">'Misc Inputs'!$G$9</definedName>
    <definedName name="StratBuff2" localSheetId="30">'[1]Misc Inputs'!$G$10</definedName>
    <definedName name="StratBuff2">'Misc Inputs'!$G$10</definedName>
    <definedName name="StratBuff3" localSheetId="30">'[1]Misc Inputs'!$G$11</definedName>
    <definedName name="StratBuff3">'Misc Inputs'!$G$11</definedName>
    <definedName name="StratConfig1" localSheetId="30">'[1]Misc Inputs'!$H$9</definedName>
    <definedName name="StratConfig1">'Misc Inputs'!$H$9</definedName>
    <definedName name="StratConfig2" localSheetId="30">'[1]Misc Inputs'!$H$10</definedName>
    <definedName name="StratConfig2">'Misc Inputs'!$H$10</definedName>
    <definedName name="StratConfig3" localSheetId="30">'[1]Misc Inputs'!$H$11</definedName>
    <definedName name="StratConfig3">'Misc Inputs'!$H$11</definedName>
    <definedName name="StrategyInput">Main!$B$125:$C$127</definedName>
    <definedName name="StratSL1" localSheetId="30">[1]Main!$C$124</definedName>
    <definedName name="StratSL1">Main!$C$125</definedName>
    <definedName name="StratSL2" localSheetId="30">[1]Main!$C$125</definedName>
    <definedName name="StratSL2">Main!$C$126</definedName>
    <definedName name="StratSL3" localSheetId="30">[1]Main!$C$126</definedName>
    <definedName name="StratSL3">Main!$C$127</definedName>
    <definedName name="ThreeStack">'Misc Inputs'!$C$11</definedName>
    <definedName name="TurnNum" localSheetId="30">[1]Main!$B$10</definedName>
    <definedName name="TurnNum">Main!$B$10</definedName>
    <definedName name="TwoStack">'Misc Inputs'!$C$10</definedName>
    <definedName name="UseCustomStats" localSheetId="30">[1]Main!$AC$19</definedName>
    <definedName name="UseCustomStats">Main!$AC$19</definedName>
    <definedName name="UseSFCustomHP" localSheetId="30">[1]Main!$Q$58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0">[1]Main!$B$12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Y2" i="52" s="1"/>
  <c r="W6" i="52" l="1"/>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B69" i="55" l="1"/>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<sst xmlns="http://schemas.openxmlformats.org/spreadsheetml/2006/main" count="27489" uniqueCount="8809">
  <si>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</si>
  <si>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</si>
  <si>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</si>
  <si>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</si>
  <si>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</si>
  <si>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</si>
  <si>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</si>
  <si>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</si>
  <si>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</si>
  <si>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</si>
  <si>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</si>
  <si>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</si>
  <si>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</si>
  <si>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</si>
  <si>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</si>
  <si>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</si>
  <si>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</si>
  <si>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</si>
  <si>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</si>
  <si>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</si>
  <si>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</si>
  <si>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</si>
  <si>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</si>
  <si>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</si>
  <si>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</si>
  <si>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</si>
  <si>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</si>
  <si>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</si>
  <si>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</si>
  <si>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</si>
  <si>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</si>
  <si>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</si>
  <si>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</si>
  <si>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</si>
  <si>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</si>
  <si>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</si>
  <si>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</si>
  <si>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</si>
  <si>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</si>
  <si>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</si>
  <si>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</si>
  <si>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</si>
  <si>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</si>
  <si>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</si>
  <si>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</si>
  <si>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</si>
  <si>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</si>
  <si>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</si>
  <si>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</si>
  <si>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</si>
  <si>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</si>
  <si>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</si>
  <si>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</si>
  <si>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</si>
  <si>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</si>
  <si>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</si>
  <si>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</si>
  <si>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</si>
  <si>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</si>
  <si>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</si>
  <si>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</si>
  <si>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</si>
  <si>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</si>
  <si>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</si>
  <si>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</si>
  <si>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</si>
  <si>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</si>
  <si>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</si>
  <si>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</si>
  <si>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</si>
  <si>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</si>
  <si>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</si>
  <si>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</si>
  <si>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</si>
  <si>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</si>
  <si>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</si>
  <si>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</si>
  <si>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</si>
  <si>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</si>
  <si>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</si>
  <si>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</si>
  <si>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</si>
  <si>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</si>
  <si>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</si>
  <si>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</si>
  <si>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</si>
  <si>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</si>
  <si>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</si>
  <si>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</si>
  <si>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</si>
  <si>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</si>
  <si>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</si>
  <si>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</si>
  <si>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</si>
  <si>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</si>
  <si>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</si>
  <si>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</si>
  <si>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</si>
  <si>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</si>
  <si>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</si>
  <si>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</si>
  <si>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</si>
  <si>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</si>
  <si>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</si>
  <si>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</si>
  <si>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</si>
  <si>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</si>
  <si>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</si>
  <si>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</si>
  <si>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</si>
  <si>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</si>
  <si>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</si>
  <si>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</si>
  <si>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</si>
  <si>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</si>
  <si>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</si>
  <si>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</si>
  <si>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</si>
  <si>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</si>
  <si>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</si>
  <si>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</si>
  <si>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</si>
  <si>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</si>
  <si>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</si>
  <si>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</si>
  <si>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</si>
  <si>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</si>
  <si>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</si>
  <si>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</si>
  <si>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</si>
  <si>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</si>
  <si>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</si>
  <si>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</si>
  <si>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</si>
  <si>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</si>
  <si>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</si>
  <si>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</si>
  <si>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</si>
  <si>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</si>
  <si>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</si>
  <si>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</si>
  <si>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</si>
  <si>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</si>
  <si>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</si>
  <si>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</si>
  <si>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</si>
  <si>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</si>
  <si>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</si>
  <si>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</si>
  <si>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</si>
  <si>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</si>
  <si>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</si>
  <si>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</si>
  <si>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</si>
  <si>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</si>
  <si>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</si>
  <si>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</si>
  <si>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</si>
  <si>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</si>
  <si>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</si>
  <si>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</si>
  <si>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</si>
  <si>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</si>
  <si>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</si>
  <si>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</si>
  <si>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</si>
  <si>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</si>
  <si>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</si>
  <si>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</si>
  <si>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</si>
  <si>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</si>
  <si>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</si>
  <si>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</si>
  <si>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</si>
  <si>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</si>
  <si>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</si>
  <si>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</si>
  <si>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</si>
  <si>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</si>
  <si>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</si>
  <si>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</si>
  <si>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</si>
  <si>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</si>
  <si>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</si>
  <si>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</si>
  <si>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</si>
  <si>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</si>
  <si>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</si>
  <si>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</si>
  <si>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</si>
  <si>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</si>
  <si>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</si>
  <si>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</si>
  <si>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</si>
  <si>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</si>
  <si>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</si>
  <si>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</si>
  <si>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</si>
  <si>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</si>
  <si>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</si>
  <si>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</si>
  <si>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</si>
  <si>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</si>
  <si>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</si>
  <si>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</si>
  <si>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</si>
  <si>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</si>
  <si>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</si>
  <si>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</si>
  <si>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</si>
  <si>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</si>
  <si>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</si>
  <si>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</si>
  <si>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</si>
  <si>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</si>
  <si>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</si>
  <si>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</si>
  <si>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</si>
  <si>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</si>
  <si>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</si>
  <si>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</si>
  <si>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</si>
  <si>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</si>
  <si>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</si>
  <si>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</si>
  <si>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</si>
  <si>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</si>
  <si>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</si>
  <si>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</si>
  <si>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</si>
  <si>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</si>
  <si>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</si>
  <si>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</si>
  <si>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</si>
  <si>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</si>
  <si>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</si>
  <si>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</si>
  <si>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</si>
  <si>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</si>
  <si>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</si>
  <si>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</si>
  <si>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</si>
  <si>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</si>
  <si>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</si>
  <si>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</si>
  <si>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</si>
  <si>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</si>
  <si>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</si>
  <si>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</si>
  <si>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</si>
  <si>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</si>
  <si>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</si>
  <si>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</si>
  <si>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</si>
  <si>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</si>
  <si>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</si>
  <si>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</si>
  <si>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</si>
  <si>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</si>
  <si>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</si>
  <si>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</si>
  <si>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</si>
  <si>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</si>
  <si>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</si>
  <si>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</si>
  <si>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</si>
  <si>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</si>
  <si>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</si>
  <si>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</si>
  <si>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</si>
  <si>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</si>
  <si>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</si>
  <si>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</si>
  <si>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</si>
  <si>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</si>
  <si>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</si>
  <si>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</si>
  <si>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</si>
  <si>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</si>
  <si>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</si>
  <si>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</si>
  <si>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</si>
  <si>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</si>
  <si>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</si>
  <si>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</si>
  <si>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</si>
  <si>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</si>
  <si>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</si>
  <si>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</si>
  <si>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</si>
  <si>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</si>
  <si>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</si>
  <si>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</si>
  <si>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</si>
  <si>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</si>
  <si>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</si>
  <si>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</si>
  <si>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</si>
  <si>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</si>
  <si>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</si>
  <si>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</si>
  <si>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</si>
  <si>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</si>
  <si>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</si>
  <si>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</si>
  <si>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</si>
  <si>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</si>
  <si>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</si>
  <si>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</si>
  <si>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</si>
  <si>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</si>
  <si>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</si>
  <si>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</si>
  <si>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</si>
  <si>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</si>
  <si>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</si>
  <si>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</si>
  <si>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</si>
  <si>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</si>
  <si>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</si>
  <si>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</si>
  <si>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</si>
  <si>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</si>
  <si>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</si>
  <si>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</si>
  <si>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</si>
  <si>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</si>
  <si>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</si>
  <si>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</si>
  <si>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</si>
  <si>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</si>
  <si>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</si>
  <si>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</si>
  <si>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</si>
  <si>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</si>
  <si>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</si>
  <si>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</si>
  <si>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</si>
  <si>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</si>
  <si>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</si>
  <si>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</si>
  <si>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</si>
  <si>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</si>
  <si>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</si>
  <si>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</si>
  <si>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</si>
  <si>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</si>
  <si>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</si>
  <si>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</si>
  <si>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</si>
  <si>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</si>
  <si>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</si>
  <si>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</si>
  <si>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</si>
  <si>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</si>
  <si>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</si>
  <si>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</si>
  <si>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</si>
  <si>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</si>
  <si>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</si>
  <si>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</si>
  <si>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</si>
  <si>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</si>
  <si>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</si>
  <si>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</si>
  <si>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</si>
  <si>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</si>
  <si>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</si>
  <si>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</si>
  <si>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</si>
  <si>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</si>
  <si>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</si>
  <si>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</si>
  <si>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</si>
  <si>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</si>
  <si>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</si>
  <si>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</si>
  <si>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</si>
  <si>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</si>
  <si>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</si>
  <si>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</si>
  <si>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</si>
  <si>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</si>
  <si>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</si>
  <si>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</si>
  <si>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</si>
  <si>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</si>
  <si>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</si>
  <si>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</si>
  <si>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</si>
  <si>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</si>
  <si>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</si>
  <si>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</si>
  <si>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</si>
  <si>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</si>
  <si>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</si>
  <si>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</si>
  <si>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</si>
  <si>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</si>
  <si>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</si>
  <si>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</si>
  <si>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</si>
  <si>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</si>
  <si>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</si>
  <si>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</si>
  <si>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</si>
  <si>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</si>
  <si>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</si>
  <si>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</si>
  <si>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</si>
  <si>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</si>
  <si>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</si>
  <si>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</si>
  <si>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</si>
  <si>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</si>
  <si>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</si>
  <si>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</si>
  <si>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</si>
  <si>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</si>
  <si>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</si>
  <si>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</si>
  <si>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</si>
  <si>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</si>
  <si>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</si>
  <si>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</si>
  <si>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</si>
  <si>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</si>
  <si>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</si>
  <si>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</si>
  <si>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</si>
  <si>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</si>
  <si>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</si>
  <si>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</si>
  <si>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</si>
  <si>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</si>
  <si>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</si>
  <si>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</si>
  <si>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</si>
  <si>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</si>
  <si>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</si>
  <si>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</si>
  <si>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</si>
  <si>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</si>
  <si>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</si>
  <si>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</si>
  <si>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</si>
  <si>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</si>
  <si>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</si>
  <si>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</si>
  <si>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</si>
  <si>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</si>
  <si>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</si>
  <si>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</si>
  <si>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</si>
  <si>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</si>
  <si>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</si>
  <si>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</si>
  <si>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</si>
  <si>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</si>
  <si>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</si>
  <si>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</si>
  <si>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</si>
  <si>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</si>
  <si>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</si>
  <si>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</si>
  <si>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</si>
  <si>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</si>
  <si>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</si>
  <si>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</si>
  <si>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</si>
  <si>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</si>
  <si>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</si>
  <si>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</si>
  <si>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</si>
  <si>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</si>
  <si>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</si>
  <si>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</si>
  <si>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</si>
  <si>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</si>
  <si>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</si>
  <si>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</si>
  <si>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</si>
  <si>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</si>
  <si>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</si>
  <si>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</si>
  <si>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</si>
  <si>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</si>
  <si>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</si>
  <si>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</si>
  <si>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</si>
  <si>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</si>
  <si>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</si>
  <si>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</si>
  <si>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</si>
  <si>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</si>
  <si>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</si>
  <si>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</si>
  <si>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</si>
  <si>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</si>
  <si>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</si>
  <si>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</si>
  <si>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</si>
  <si>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</si>
  <si>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</si>
  <si>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</si>
  <si>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</si>
  <si>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</si>
  <si>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</si>
  <si>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</si>
  <si>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</si>
  <si>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</si>
  <si>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</si>
  <si>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</si>
  <si>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</si>
  <si>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</si>
  <si>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</si>
  <si>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</si>
  <si>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</si>
  <si>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</si>
  <si>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</si>
  <si>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</si>
  <si>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</si>
  <si>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</si>
  <si>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</si>
  <si>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</si>
  <si>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</si>
  <si>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</si>
  <si>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</si>
  <si>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</si>
  <si>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</si>
  <si>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</si>
  <si>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</si>
  <si>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</si>
  <si>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</si>
  <si>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</si>
  <si>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</si>
  <si>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</si>
  <si>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</si>
  <si>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</si>
  <si>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</si>
  <si>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</si>
  <si>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</si>
  <si>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</si>
  <si>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</si>
  <si>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</si>
  <si>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</si>
  <si>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</si>
  <si>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</si>
  <si>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</si>
  <si>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</si>
  <si>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</si>
  <si>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</si>
  <si>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</si>
  <si>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</si>
  <si>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</si>
  <si>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</si>
  <si>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</si>
  <si>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</si>
  <si>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</si>
  <si>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</si>
  <si>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</si>
  <si>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</si>
  <si>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</si>
  <si>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</si>
  <si>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</si>
  <si>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</si>
  <si>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</si>
  <si>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</si>
  <si>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</si>
  <si>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</si>
  <si>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</si>
  <si>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</si>
  <si>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</si>
  <si>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</si>
  <si>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</si>
  <si>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</si>
  <si>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</si>
  <si>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</si>
  <si>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</si>
  <si>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</si>
  <si>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</si>
  <si>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</si>
  <si>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</si>
  <si>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</si>
  <si>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</si>
  <si>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</si>
  <si>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</si>
  <si>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</si>
  <si>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</si>
  <si>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</si>
  <si>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</si>
  <si>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</si>
  <si>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</si>
  <si>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</si>
  <si>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</si>
  <si>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</si>
  <si>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</si>
  <si>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</si>
  <si>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</si>
  <si>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</si>
  <si>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</si>
  <si>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</si>
  <si>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</si>
  <si>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</si>
  <si>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</si>
  <si>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</si>
  <si>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</si>
  <si>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</si>
  <si>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</si>
  <si>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</si>
  <si>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</si>
  <si>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</si>
  <si>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</si>
  <si>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</si>
  <si>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</si>
  <si>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</si>
  <si>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</si>
  <si>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</si>
  <si>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</si>
  <si>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</si>
  <si>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</si>
  <si>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</si>
  <si>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</si>
  <si>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</si>
  <si>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</si>
  <si>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</si>
  <si>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</si>
  <si>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</si>
  <si>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</si>
  <si>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</si>
  <si>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</si>
  <si>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</si>
  <si>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</si>
  <si>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</si>
  <si>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</si>
  <si>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</si>
  <si>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</si>
  <si>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</si>
  <si>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</si>
  <si>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</si>
  <si>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</si>
  <si>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</si>
  <si>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</si>
  <si>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</si>
  <si>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</si>
  <si>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</si>
  <si>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</si>
  <si>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</si>
  <si>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</si>
  <si>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</si>
  <si>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</si>
  <si>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</si>
  <si>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</si>
  <si>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</si>
  <si>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</si>
  <si>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</si>
  <si>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</si>
  <si>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</si>
  <si>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</si>
  <si>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</si>
  <si>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</si>
  <si>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</si>
  <si>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</si>
  <si>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</si>
  <si>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</si>
  <si>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</si>
  <si>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</si>
  <si>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</si>
  <si>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</si>
  <si>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</si>
  <si>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</si>
  <si>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</si>
  <si>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</si>
  <si>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</si>
  <si>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</si>
  <si>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</si>
  <si>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</si>
  <si>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</si>
  <si>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</si>
  <si>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</si>
  <si>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</si>
  <si>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</si>
  <si>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</si>
  <si>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</si>
  <si>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</si>
  <si>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</si>
  <si>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</si>
  <si>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</si>
  <si>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</si>
  <si>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</si>
  <si>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</si>
  <si>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</si>
  <si>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</si>
  <si>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</si>
  <si>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</si>
  <si>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</si>
  <si>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</si>
  <si>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</si>
  <si>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</si>
  <si>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</si>
  <si>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</si>
  <si>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</si>
  <si>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</si>
  <si>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</si>
  <si>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</si>
  <si>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</si>
  <si>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</si>
  <si>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</si>
  <si>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</si>
  <si>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</si>
  <si>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</si>
  <si>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</si>
  <si>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</si>
  <si>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</si>
  <si>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</si>
  <si>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</si>
  <si>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</si>
  <si>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</si>
  <si>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</si>
  <si>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</si>
  <si>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</si>
  <si>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</si>
  <si>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</si>
  <si>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</si>
  <si>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</si>
  <si>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</si>
  <si>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</si>
  <si>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</si>
  <si>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</si>
  <si>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</si>
  <si>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</si>
  <si>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</si>
  <si>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</si>
  <si>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</si>
  <si>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</si>
  <si>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</si>
  <si>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</si>
  <si>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</si>
  <si>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</si>
  <si>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</si>
  <si>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</si>
  <si>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</si>
  <si>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</si>
  <si>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</si>
  <si>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</si>
  <si>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</si>
  <si>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</si>
  <si>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</si>
  <si>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</si>
  <si>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</si>
  <si>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</si>
  <si>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</si>
  <si>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</si>
  <si>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</si>
  <si>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</si>
  <si>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</si>
  <si>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</si>
  <si>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</si>
  <si>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</si>
  <si>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</si>
  <si>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</si>
  <si>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</si>
  <si>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</si>
  <si>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</si>
  <si>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</si>
  <si>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</si>
  <si>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</si>
  <si>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</si>
  <si>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</si>
  <si>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</si>
  <si>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</si>
  <si>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</si>
  <si>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</si>
  <si>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</si>
  <si>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</si>
  <si>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</si>
  <si>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</si>
  <si>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</si>
  <si>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</si>
  <si>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</si>
  <si>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</si>
  <si>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</si>
  <si>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</si>
  <si>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</si>
  <si>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</si>
  <si>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</si>
  <si>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</si>
  <si>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</si>
  <si>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</si>
  <si>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</si>
  <si>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</si>
  <si>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</si>
  <si>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</si>
  <si>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</si>
  <si>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</si>
  <si>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</si>
  <si>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</si>
  <si>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</si>
  <si>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</si>
  <si>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</si>
  <si>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</si>
  <si>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</si>
  <si>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</si>
  <si>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</si>
  <si>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</si>
  <si>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</si>
  <si>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</si>
  <si>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</si>
  <si>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</si>
  <si>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</si>
  <si>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</si>
  <si>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</si>
  <si>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</si>
  <si>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</si>
  <si>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</si>
  <si>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</si>
  <si>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</si>
  <si>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</si>
  <si>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</si>
  <si>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</si>
  <si>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</si>
  <si>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</si>
  <si>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</si>
  <si>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</si>
  <si>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</si>
  <si>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</si>
  <si>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</si>
  <si>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</si>
  <si>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</si>
  <si>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</si>
  <si>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</si>
  <si>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</si>
  <si>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</si>
  <si>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</si>
  <si>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</si>
  <si>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</si>
  <si>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</si>
  <si>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</si>
  <si>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</si>
  <si>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</si>
  <si>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</si>
  <si>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</si>
  <si>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</si>
  <si>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</si>
  <si>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</si>
  <si>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</si>
  <si>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</si>
  <si>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</si>
  <si>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</si>
  <si>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</si>
  <si>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</si>
  <si>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</si>
  <si>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</si>
  <si>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</si>
  <si>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</si>
  <si>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</si>
  <si>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</si>
  <si>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</si>
  <si>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</si>
  <si>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</si>
  <si>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</si>
  <si>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</si>
  <si>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</si>
  <si>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</si>
  <si>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</si>
  <si>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</si>
  <si>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</si>
  <si>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</si>
  <si>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</si>
  <si>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</si>
  <si>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</si>
  <si>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</si>
  <si>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</si>
  <si>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</si>
  <si>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</si>
  <si>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</si>
  <si>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</si>
  <si>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</si>
  <si>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</si>
  <si>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</si>
  <si>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</si>
  <si>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</si>
  <si>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</si>
  <si>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</si>
  <si>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</si>
  <si>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</si>
  <si>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</si>
  <si>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</si>
  <si>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</si>
  <si>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</si>
  <si>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</si>
  <si>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</si>
  <si>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</si>
  <si>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</si>
  <si>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</si>
  <si>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</si>
  <si>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</si>
  <si>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</si>
  <si>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</si>
  <si>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</si>
  <si>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</si>
  <si>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</si>
  <si>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</si>
  <si>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</si>
  <si>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</si>
  <si>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</si>
  <si>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</si>
  <si>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</si>
  <si>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</si>
  <si>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</si>
  <si>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</si>
  <si>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</si>
  <si>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</si>
  <si>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</si>
  <si>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</si>
  <si>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</si>
  <si>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</si>
  <si>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</si>
  <si>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</si>
  <si>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</si>
  <si>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</si>
  <si>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</si>
  <si>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</si>
  <si>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</si>
  <si>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</si>
  <si>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</si>
  <si>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</si>
  <si>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</si>
  <si>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</si>
  <si>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</si>
  <si>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</si>
  <si>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</si>
  <si>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</si>
  <si>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</si>
  <si>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</si>
  <si>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</si>
  <si>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</si>
  <si>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</si>
  <si>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</si>
  <si>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</si>
  <si>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</si>
  <si>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</si>
  <si>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</si>
  <si>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</si>
  <si>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</si>
  <si>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</si>
  <si>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</si>
  <si>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</si>
  <si>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</si>
  <si>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</si>
  <si>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</si>
  <si>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</si>
  <si>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</si>
  <si>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</si>
  <si>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</si>
  <si>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</si>
  <si>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</si>
  <si>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</si>
  <si>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</si>
  <si>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</si>
  <si>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</si>
  <si>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</si>
  <si>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</si>
  <si>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</si>
  <si>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</si>
  <si>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</si>
  <si>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</si>
  <si>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</si>
  <si>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</si>
  <si>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</si>
  <si>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</si>
  <si>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</si>
  <si>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</si>
  <si>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</si>
  <si>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</si>
  <si>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</si>
  <si>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</si>
  <si>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</si>
  <si>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</si>
  <si>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</si>
  <si>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</si>
  <si>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</si>
  <si>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</si>
  <si>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</si>
  <si>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</si>
  <si>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</si>
  <si>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</si>
  <si>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</si>
  <si>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</si>
  <si>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</si>
  <si>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</si>
  <si>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</si>
  <si>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</si>
  <si>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</si>
  <si>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</si>
  <si>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</si>
  <si>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</si>
  <si>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</si>
  <si>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</si>
  <si>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</si>
  <si>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</si>
  <si>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</si>
  <si>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</si>
  <si>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</si>
  <si>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</si>
  <si>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</si>
  <si>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</si>
  <si>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</si>
  <si>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</si>
  <si>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</si>
  <si>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</si>
  <si>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</si>
  <si>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</si>
  <si>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</si>
  <si>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</si>
  <si>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</si>
  <si>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</si>
  <si>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</si>
  <si>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</si>
  <si>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</si>
  <si>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</si>
  <si>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</si>
  <si>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</si>
  <si>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</si>
  <si>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</si>
  <si>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</si>
  <si>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</si>
  <si>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</si>
  <si>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</si>
  <si>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</si>
  <si>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</si>
  <si>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</si>
  <si>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</si>
  <si>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</si>
  <si>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</si>
  <si>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</si>
  <si>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</si>
  <si>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</si>
  <si>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</si>
  <si>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</si>
  <si>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</si>
  <si>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</si>
  <si>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</si>
  <si>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</si>
  <si>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</si>
  <si>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</si>
  <si>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</si>
  <si>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</si>
  <si>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</si>
  <si>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</si>
  <si>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</si>
  <si>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</si>
  <si>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</si>
  <si>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</si>
  <si>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</si>
  <si>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</si>
  <si>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</si>
  <si>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</si>
  <si>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</si>
  <si>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</si>
  <si>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</si>
  <si>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</si>
  <si>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</si>
  <si>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</si>
  <si>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</si>
  <si>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</si>
  <si>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</si>
  <si>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</si>
  <si>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</si>
  <si>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</si>
  <si>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</si>
  <si>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</si>
  <si>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</si>
  <si>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</si>
  <si>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</si>
  <si>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</si>
  <si>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</si>
  <si>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</si>
  <si>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</si>
  <si>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</si>
  <si>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</si>
  <si>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</si>
  <si>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</si>
  <si>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</si>
  <si>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</si>
  <si>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</si>
  <si>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</si>
  <si>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</si>
  <si>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</si>
  <si>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</si>
  <si>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</si>
  <si>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</si>
  <si>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</si>
  <si>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</si>
  <si>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</si>
  <si>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</si>
  <si>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</si>
  <si>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</si>
  <si>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</si>
  <si>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</si>
  <si>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</si>
  <si>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</si>
  <si>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</si>
  <si>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</si>
  <si>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</si>
  <si>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</si>
  <si>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</si>
  <si>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</si>
  <si>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</si>
  <si>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</si>
  <si>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</si>
  <si>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</si>
  <si>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</si>
  <si>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</si>
  <si>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</si>
  <si>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</si>
  <si>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</si>
  <si>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</si>
  <si>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</si>
  <si>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</si>
  <si>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</si>
  <si>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</si>
  <si>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</si>
  <si>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</si>
  <si>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</si>
  <si>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</si>
  <si>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</si>
  <si>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</si>
  <si>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</si>
  <si>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</si>
  <si>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</si>
  <si>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</si>
  <si>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</si>
  <si>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</si>
  <si>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</si>
  <si>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</si>
  <si>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</si>
  <si>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</si>
  <si>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</si>
  <si>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</si>
  <si>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</si>
  <si>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</si>
  <si>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</si>
  <si>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</si>
  <si>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</si>
  <si>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</si>
  <si>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</si>
  <si>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</si>
  <si>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</si>
  <si>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</si>
  <si>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</si>
  <si>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</si>
  <si>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</si>
  <si>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</si>
  <si>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</si>
  <si>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</si>
  <si>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</si>
  <si>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</si>
  <si>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</si>
  <si>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</si>
  <si>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</si>
  <si>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</si>
  <si>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</si>
  <si>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</si>
  <si>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</si>
  <si>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</si>
  <si>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</si>
  <si>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</si>
  <si>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</si>
  <si>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</si>
  <si>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</si>
  <si>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</si>
  <si>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</si>
  <si>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</si>
  <si>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</si>
  <si>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</si>
  <si>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</si>
  <si>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</si>
  <si>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</si>
  <si>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</si>
  <si>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</si>
  <si>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</si>
  <si>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</si>
  <si>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</si>
  <si>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</si>
  <si>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</si>
  <si>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</si>
  <si>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</si>
  <si>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</si>
  <si>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</si>
  <si>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</si>
  <si>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</si>
  <si>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</si>
  <si>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</si>
  <si>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</si>
  <si>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</si>
  <si>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</si>
  <si>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</si>
  <si>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</si>
  <si>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</si>
  <si>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</si>
  <si>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</si>
  <si>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</si>
  <si>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</si>
  <si>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</si>
  <si>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</si>
  <si>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</si>
  <si>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</si>
  <si>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</si>
  <si>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</si>
  <si>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</si>
  <si>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</si>
  <si>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</si>
  <si>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</si>
  <si>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</si>
  <si>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</si>
  <si>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</si>
  <si>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</si>
  <si>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</si>
  <si>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</si>
  <si>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</si>
  <si>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</si>
  <si>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</si>
  <si>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</si>
  <si>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</si>
  <si>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</si>
  <si>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</si>
  <si>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</si>
  <si>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</si>
  <si>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</si>
  <si>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</si>
  <si>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</si>
  <si>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</si>
  <si>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</si>
  <si>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</si>
  <si>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</si>
  <si>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</si>
  <si>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</si>
  <si>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</si>
  <si>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</si>
  <si>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</si>
  <si>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</si>
  <si>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</si>
  <si>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</si>
  <si>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</si>
  <si>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</si>
  <si>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</si>
  <si>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</si>
  <si>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</si>
  <si>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</si>
  <si>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</si>
  <si>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</si>
  <si>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</si>
  <si>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</si>
  <si>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</si>
  <si>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</si>
  <si>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</si>
  <si>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</si>
  <si>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</si>
  <si>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</si>
  <si>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</si>
  <si>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</si>
  <si>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</si>
  <si>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</si>
  <si>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</si>
  <si>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</si>
  <si>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</si>
  <si>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</si>
  <si>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</si>
  <si>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</si>
  <si>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</si>
  <si>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</si>
  <si>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</si>
  <si>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</si>
  <si>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</si>
  <si>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</si>
  <si>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</si>
  <si>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</si>
  <si>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</si>
  <si>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</si>
  <si>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</si>
  <si>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</si>
  <si>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</si>
  <si>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</si>
  <si>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</si>
  <si>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</si>
  <si>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</si>
  <si>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</si>
  <si>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</si>
  <si>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</si>
  <si>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</si>
  <si>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</si>
  <si>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</si>
  <si>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</si>
  <si>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</si>
  <si>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</si>
  <si>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</si>
  <si>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</si>
  <si>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</si>
  <si>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</si>
  <si>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</si>
  <si>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</si>
  <si>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</si>
  <si>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</si>
  <si>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</si>
  <si>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</si>
  <si>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</si>
  <si>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</si>
  <si>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</si>
  <si>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</si>
  <si>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</si>
  <si>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</si>
  <si>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</si>
  <si>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</si>
  <si>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</si>
  <si>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</si>
  <si>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</si>
  <si>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</si>
  <si>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</si>
  <si>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</si>
  <si>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</si>
  <si>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</si>
  <si>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</si>
  <si>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</si>
  <si>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</si>
  <si>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</si>
  <si>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</si>
  <si>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</si>
  <si>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</si>
  <si>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</si>
  <si>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</si>
  <si>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</si>
  <si>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</si>
  <si>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</si>
  <si>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</si>
  <si>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</si>
  <si>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</si>
  <si>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</si>
  <si>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</si>
  <si>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</si>
  <si>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</si>
  <si>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</si>
  <si>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</si>
  <si>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</si>
  <si>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</si>
  <si>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</si>
  <si>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</si>
  <si>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</si>
  <si>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</si>
  <si>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</si>
  <si>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</si>
  <si>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</si>
  <si>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</si>
  <si>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</si>
  <si>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</si>
  <si>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</si>
  <si>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</si>
  <si>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</si>
  <si>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</si>
  <si>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</si>
  <si>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</si>
  <si>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</si>
  <si>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</si>
  <si>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</si>
  <si>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</si>
  <si>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</si>
  <si>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</si>
  <si>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</si>
  <si>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</si>
  <si>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</si>
  <si>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</si>
  <si>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</si>
  <si>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</si>
  <si>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</si>
  <si>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</si>
  <si>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</si>
  <si>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</si>
  <si>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</si>
  <si>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</si>
  <si>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</si>
  <si>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</si>
  <si>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</si>
  <si>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</si>
  <si>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</si>
  <si>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</si>
  <si>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</si>
  <si>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</si>
  <si>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</si>
  <si>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</si>
  <si>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</si>
  <si>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</si>
  <si>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</si>
  <si>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</si>
  <si>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</si>
  <si>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</si>
  <si>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</si>
  <si>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</si>
  <si>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</si>
  <si>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</si>
  <si>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</si>
  <si>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</si>
  <si>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</si>
  <si>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</si>
  <si>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</si>
  <si>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</si>
  <si>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</si>
  <si>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</si>
  <si>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</si>
  <si>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</si>
  <si>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</si>
  <si>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</si>
  <si>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</si>
  <si>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</si>
  <si>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</si>
  <si>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</si>
  <si>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</si>
  <si>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</si>
  <si>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</si>
  <si>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</si>
  <si>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</si>
  <si>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</si>
  <si>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</si>
  <si>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</si>
  <si>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</si>
  <si>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</si>
  <si>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</si>
  <si>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</si>
  <si>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</si>
  <si>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</si>
  <si>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</si>
  <si>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</si>
  <si>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</si>
  <si>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</si>
  <si>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</si>
  <si>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</si>
  <si>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</si>
  <si>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</si>
  <si>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</si>
  <si>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</si>
  <si>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</si>
  <si>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</si>
  <si>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</si>
  <si>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</si>
  <si>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</si>
  <si>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</si>
  <si>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</si>
  <si>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</si>
  <si>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</si>
  <si>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</si>
  <si>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</si>
  <si>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</si>
  <si>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</si>
  <si>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</si>
  <si>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</si>
  <si>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</si>
  <si>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</si>
  <si>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</si>
  <si>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</si>
  <si>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</si>
  <si>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</si>
  <si>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</si>
  <si>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</si>
  <si>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</si>
  <si>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</si>
  <si>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</si>
  <si>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</si>
  <si>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</si>
  <si>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</si>
  <si>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</si>
  <si>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</si>
  <si>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</si>
  <si>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</si>
  <si>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</si>
  <si>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</si>
  <si>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</si>
  <si>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</si>
  <si>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</si>
  <si>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</si>
  <si>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</si>
  <si>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</si>
  <si>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</si>
  <si>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</si>
  <si>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</si>
  <si>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</si>
  <si>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</si>
  <si>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</si>
  <si>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</si>
  <si>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</si>
  <si>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</si>
  <si>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</si>
  <si>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</si>
  <si>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</si>
  <si>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</si>
  <si>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</si>
  <si>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</si>
  <si>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</si>
  <si>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</si>
  <si>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</si>
  <si>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</si>
  <si>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</si>
  <si>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</si>
  <si>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</si>
  <si>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</si>
  <si>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</si>
  <si>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</si>
  <si>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</si>
  <si>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</si>
  <si>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</si>
  <si>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</si>
  <si>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</si>
  <si>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</si>
  <si>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</si>
  <si>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</si>
  <si>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</si>
  <si>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</si>
  <si>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</si>
  <si>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</si>
  <si>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</si>
  <si>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</si>
  <si>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</si>
  <si>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</si>
  <si>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</si>
  <si>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</si>
  <si>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</si>
  <si>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</si>
  <si>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</si>
  <si>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</si>
  <si>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</si>
  <si>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</si>
  <si>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</si>
  <si>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</si>
  <si>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</si>
  <si>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</si>
  <si>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</si>
  <si>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</si>
  <si>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</si>
  <si>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</si>
  <si>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</si>
  <si>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</si>
  <si>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</si>
  <si>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</si>
  <si>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</si>
  <si>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</si>
  <si>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</si>
  <si>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</si>
  <si>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</si>
  <si>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</si>
  <si>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</si>
  <si>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</si>
  <si>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</si>
  <si>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</si>
  <si>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</si>
  <si>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</si>
  <si>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</si>
  <si>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</si>
  <si>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</si>
  <si>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</si>
  <si>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</si>
  <si>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</si>
  <si>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</si>
  <si>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</si>
  <si>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</si>
  <si>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</si>
  <si>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</si>
  <si>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</si>
  <si>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</si>
  <si>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</si>
  <si>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</si>
  <si>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</si>
  <si>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</si>
  <si>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</si>
  <si>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</si>
  <si>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</si>
  <si>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</si>
  <si>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</si>
  <si>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</si>
  <si>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</si>
  <si>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</si>
  <si>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</si>
  <si>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</si>
  <si>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</si>
  <si>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</si>
  <si>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</si>
  <si>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</si>
  <si>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</si>
  <si>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</si>
  <si>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</si>
  <si>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</si>
  <si>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</si>
  <si>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</si>
  <si>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</si>
  <si>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</si>
  <si>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</si>
  <si>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</si>
  <si>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</si>
  <si>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</si>
  <si>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</si>
  <si>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</si>
  <si>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</si>
  <si>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</si>
  <si>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</si>
  <si>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</si>
  <si>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</si>
  <si>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</si>
  <si>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</si>
  <si>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</si>
  <si>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</si>
  <si>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</si>
  <si>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</si>
  <si>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</si>
  <si>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</si>
  <si>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</si>
  <si>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</si>
  <si>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</si>
  <si>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</si>
  <si>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</si>
  <si>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</si>
  <si>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</si>
  <si>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</si>
  <si>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</si>
  <si>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</si>
  <si>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</si>
  <si>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</si>
  <si>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</si>
  <si>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</si>
  <si>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</si>
  <si>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</si>
  <si>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</si>
  <si>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</si>
  <si>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</si>
  <si>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</si>
  <si>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</si>
  <si>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</si>
  <si>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</si>
  <si>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</si>
  <si>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</si>
  <si>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</si>
  <si>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</si>
  <si>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</si>
  <si>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</si>
  <si>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</si>
  <si>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</si>
  <si>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</si>
  <si>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</si>
  <si>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</si>
  <si>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</si>
  <si>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</si>
  <si>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</si>
  <si>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</si>
  <si>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</si>
  <si>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</si>
  <si>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</si>
  <si>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</si>
  <si>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</si>
  <si>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</si>
  <si>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</si>
  <si>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</si>
  <si>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</si>
  <si>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</si>
  <si>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</si>
  <si>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</si>
  <si>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</si>
  <si>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</si>
  <si>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</si>
  <si>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</si>
  <si>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</si>
  <si>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</si>
  <si>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</si>
  <si>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</si>
  <si>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</si>
  <si>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</si>
  <si>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</si>
  <si>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</si>
  <si>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</si>
  <si>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</si>
  <si>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</si>
  <si>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</si>
  <si>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</si>
  <si>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</si>
  <si>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</si>
  <si>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</si>
  <si>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</si>
  <si>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</si>
  <si>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</si>
  <si>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</si>
  <si>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</si>
  <si>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</si>
  <si>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</si>
  <si>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</si>
  <si>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</si>
  <si>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</si>
  <si>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</si>
  <si>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</si>
  <si>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</si>
  <si>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</si>
  <si>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</si>
  <si>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</si>
  <si>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</si>
  <si>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</si>
  <si>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</si>
  <si>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</si>
  <si>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</si>
  <si>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</si>
  <si>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</si>
  <si>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</si>
  <si>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</si>
  <si>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</si>
  <si>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</si>
  <si>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</si>
  <si>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</si>
  <si>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</si>
  <si>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</si>
  <si>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</si>
  <si>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</si>
  <si>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</si>
  <si>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</si>
  <si>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</si>
  <si>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</si>
  <si>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</si>
  <si>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</si>
  <si>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</si>
  <si>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</si>
  <si>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</si>
  <si>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</si>
  <si>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</si>
  <si>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</si>
  <si>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</si>
  <si>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</si>
  <si>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</si>
  <si>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</si>
  <si>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</si>
  <si>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</si>
  <si>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</si>
  <si>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</si>
  <si>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</si>
  <si>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</si>
  <si>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</si>
  <si>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</si>
  <si>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</si>
  <si>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</si>
  <si>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</si>
  <si>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</si>
  <si>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</si>
  <si>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</si>
  <si>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</si>
  <si>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</si>
  <si>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</si>
  <si>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</si>
  <si>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</si>
  <si>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</si>
  <si>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</si>
  <si>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</si>
  <si>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</si>
  <si>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</si>
  <si>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</si>
  <si>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</si>
  <si>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</si>
  <si>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</si>
  <si>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</si>
  <si>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</si>
  <si>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</si>
  <si>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</si>
  <si>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</si>
  <si>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</si>
  <si>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</si>
  <si>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</si>
  <si>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</si>
  <si>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</si>
  <si>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</si>
  <si>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</si>
  <si>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</si>
  <si>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</si>
  <si>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</si>
  <si>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</si>
  <si>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</si>
  <si>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</si>
  <si>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</si>
  <si>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</si>
  <si>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</si>
  <si>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</si>
  <si>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</si>
  <si>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</si>
  <si>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</si>
  <si>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</si>
  <si>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</si>
  <si>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</si>
  <si>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</si>
  <si>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</si>
  <si>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</si>
  <si>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</si>
  <si>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</si>
  <si>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</si>
  <si>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</si>
  <si>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</si>
  <si>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</si>
  <si>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</si>
  <si>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</si>
  <si>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</si>
  <si>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</si>
  <si>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</si>
  <si>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</si>
  <si>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</si>
  <si>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</si>
  <si>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</si>
  <si>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</si>
  <si>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</si>
  <si>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</si>
  <si>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</si>
  <si>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</si>
  <si>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</si>
  <si>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</si>
  <si>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</si>
  <si>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</si>
  <si>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</si>
  <si>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</si>
  <si>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</si>
  <si>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</si>
  <si>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</si>
  <si>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</si>
  <si>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</si>
  <si>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</si>
  <si>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</si>
  <si>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</si>
  <si>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</si>
  <si>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</si>
  <si>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</si>
  <si>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</si>
  <si>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</si>
  <si>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</si>
  <si>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</si>
  <si>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</si>
  <si>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</si>
  <si>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</si>
  <si>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</si>
  <si>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</si>
  <si>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</si>
  <si>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</si>
  <si>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</si>
  <si>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</si>
  <si>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</si>
  <si>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</si>
  <si>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</si>
  <si>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</si>
  <si>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</si>
  <si>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</si>
  <si>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</si>
  <si>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</si>
  <si>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</si>
  <si>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</si>
  <si>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</si>
  <si>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</si>
  <si>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</si>
  <si>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</si>
  <si>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</si>
  <si>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</si>
  <si>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</si>
  <si>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</si>
  <si>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</si>
  <si>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</si>
  <si>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</si>
  <si>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</si>
  <si>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</si>
  <si>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</si>
  <si>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</si>
  <si>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</si>
  <si>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</si>
  <si>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</si>
  <si>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</si>
  <si>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</si>
  <si>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</si>
  <si>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</si>
  <si>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</si>
  <si>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</si>
  <si>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</si>
  <si>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</si>
  <si>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</si>
  <si>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</si>
  <si>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</si>
  <si>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</si>
  <si>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</si>
  <si>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</si>
  <si>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</si>
  <si>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</si>
  <si>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</si>
  <si>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</si>
  <si>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</si>
  <si>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</si>
  <si>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</si>
  <si>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</si>
  <si>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</si>
  <si>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</si>
  <si>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</si>
  <si>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</si>
  <si>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</si>
  <si>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</si>
  <si>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</si>
  <si>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</si>
  <si>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</si>
  <si>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</si>
  <si>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</si>
  <si>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</si>
  <si>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</si>
  <si>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</si>
  <si>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</si>
  <si>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</si>
  <si>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</si>
  <si>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</si>
  <si>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</si>
  <si>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</si>
  <si>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</si>
  <si>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</si>
  <si>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</si>
  <si>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</si>
  <si>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</si>
  <si>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</si>
  <si>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</si>
  <si>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</si>
  <si>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</si>
  <si>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</si>
  <si>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</si>
  <si>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</si>
  <si>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</si>
  <si>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</si>
  <si>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</si>
  <si>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</si>
  <si>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</si>
  <si>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</si>
  <si>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</si>
  <si>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</si>
  <si>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</si>
  <si>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</si>
  <si>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</si>
  <si>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</si>
  <si>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</si>
  <si>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</si>
  <si>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</si>
  <si>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</si>
  <si>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</si>
  <si>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</si>
  <si>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</si>
  <si>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</si>
  <si>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</si>
  <si>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</si>
  <si>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</si>
  <si>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</si>
  <si>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</si>
  <si>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</si>
  <si>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</si>
  <si>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</si>
  <si>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</si>
  <si>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</si>
  <si>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</si>
  <si>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</si>
  <si>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</si>
  <si>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</si>
  <si>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</si>
  <si>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</si>
  <si>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</si>
  <si>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</si>
  <si>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</si>
  <si>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</si>
  <si>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</si>
  <si>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</si>
  <si>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</si>
  <si>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</si>
  <si>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</si>
  <si>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</si>
  <si>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</si>
  <si>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</si>
  <si>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</si>
  <si>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</si>
  <si>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</si>
  <si>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</si>
  <si>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</si>
  <si>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</si>
  <si>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</si>
  <si>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</si>
  <si>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</si>
  <si>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</si>
  <si>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</si>
  <si>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</si>
  <si>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</si>
  <si>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</si>
  <si>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</si>
  <si>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</si>
  <si>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</si>
  <si>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</si>
  <si>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</si>
  <si>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</si>
  <si>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</si>
  <si>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</si>
  <si>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</si>
  <si>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</si>
  <si>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</si>
  <si>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</si>
  <si>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</si>
  <si>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</si>
  <si>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</si>
  <si>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</si>
  <si>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</si>
  <si>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</si>
  <si>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</si>
  <si>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</si>
  <si>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</si>
  <si>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</si>
  <si>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</si>
  <si>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</si>
  <si>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</si>
  <si>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</si>
  <si>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</si>
  <si>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</si>
  <si>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</si>
  <si>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</si>
  <si>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</si>
  <si>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</si>
  <si>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</si>
  <si>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</si>
  <si>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</si>
  <si>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</si>
  <si>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</si>
  <si>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</si>
  <si>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</si>
  <si>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</si>
  <si>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</si>
  <si>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</si>
  <si>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</si>
  <si>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</si>
  <si>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</si>
  <si>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</si>
  <si>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</si>
  <si>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</si>
  <si>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</si>
  <si>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</si>
  <si>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</si>
  <si>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</si>
  <si>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</si>
  <si>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</si>
  <si>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</si>
  <si>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</si>
  <si>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</si>
  <si>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</si>
  <si>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</si>
  <si>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</si>
  <si>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</si>
  <si>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</si>
  <si>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</si>
  <si>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</si>
  <si>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</si>
  <si>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</si>
  <si>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</si>
  <si>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</si>
  <si>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</si>
  <si>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</si>
  <si>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</si>
  <si>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</si>
  <si>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</si>
  <si>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</si>
  <si>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</si>
  <si>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</si>
  <si>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</si>
  <si>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</si>
  <si>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</si>
  <si>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</si>
  <si>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</si>
  <si>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</si>
  <si>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</si>
  <si>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</si>
  <si>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</si>
  <si>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</si>
  <si>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</si>
  <si>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</si>
  <si>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</si>
  <si>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</si>
  <si>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</si>
  <si>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</si>
  <si>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</si>
  <si>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</si>
  <si>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</si>
  <si>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</si>
  <si>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</si>
  <si>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</si>
  <si>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</si>
  <si>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</si>
  <si>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</si>
  <si>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</si>
  <si>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</si>
  <si>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</si>
  <si>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</si>
  <si>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</si>
  <si>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</si>
  <si>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</si>
  <si>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</si>
  <si>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</si>
  <si>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</si>
  <si>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</si>
  <si>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</si>
  <si>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</si>
  <si>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</si>
  <si>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</si>
  <si>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</si>
  <si>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</si>
  <si>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</si>
  <si>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</si>
  <si>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</si>
  <si>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</si>
  <si>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</si>
  <si>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</si>
  <si>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</si>
  <si>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</si>
  <si>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</si>
  <si>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</si>
  <si>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</si>
  <si>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</si>
  <si>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</si>
  <si>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</si>
  <si>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</si>
  <si>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</si>
  <si>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</si>
  <si>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</si>
  <si>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</si>
  <si>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</si>
  <si>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</si>
  <si>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</si>
  <si>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</si>
  <si>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</si>
  <si>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</si>
  <si>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</si>
  <si>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</si>
  <si>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</si>
  <si>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</si>
  <si>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</si>
  <si>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</si>
  <si>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</si>
  <si>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</si>
  <si>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</si>
  <si>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</si>
  <si>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</si>
  <si>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</si>
  <si>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</si>
  <si>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</si>
  <si>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</si>
  <si>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</si>
  <si>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</si>
  <si>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</si>
  <si>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</si>
  <si>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</si>
  <si>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</si>
  <si>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</si>
  <si>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</si>
  <si>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</si>
  <si>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</si>
  <si>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</si>
  <si>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</si>
  <si>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</si>
  <si>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</si>
  <si>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</si>
  <si>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</si>
  <si>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</si>
  <si>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</si>
  <si>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</si>
  <si>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</si>
  <si>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</si>
  <si>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</si>
  <si>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</si>
  <si>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</si>
  <si>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</si>
  <si>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</si>
  <si>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</si>
  <si>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</si>
  <si>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</si>
  <si>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</si>
  <si>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</si>
  <si>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</si>
  <si>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</si>
  <si>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</si>
  <si>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</si>
  <si>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</si>
  <si>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</si>
  <si>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</si>
  <si>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</si>
  <si>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</si>
  <si>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</si>
  <si>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</si>
  <si>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</si>
  <si>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</si>
  <si>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</si>
  <si>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</si>
  <si>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</si>
  <si>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</si>
  <si>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</si>
  <si>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</si>
  <si>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</si>
  <si>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</si>
  <si>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</si>
  <si>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</si>
  <si>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</si>
  <si>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</si>
  <si>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</si>
  <si>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</si>
  <si>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</si>
  <si>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</si>
  <si>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</si>
  <si>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</si>
  <si>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</si>
  <si>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</si>
  <si>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</si>
  <si>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</si>
  <si>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</si>
  <si>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</si>
  <si>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</si>
  <si>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</si>
  <si>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</si>
  <si>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</si>
  <si>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</si>
  <si>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</si>
  <si>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</si>
  <si>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</si>
  <si>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</si>
  <si>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</si>
  <si>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</si>
  <si>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</si>
  <si>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</si>
  <si>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</si>
  <si>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</si>
  <si>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</si>
  <si>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</si>
  <si>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</si>
  <si>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</si>
  <si>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</si>
  <si>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</si>
  <si>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</si>
  <si>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</si>
  <si>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</si>
  <si>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</si>
  <si>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</si>
  <si>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</si>
  <si>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</si>
  <si>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</si>
  <si>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</si>
  <si>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</si>
  <si>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</si>
  <si>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</si>
  <si>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</si>
  <si>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</si>
  <si>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</si>
  <si>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</si>
  <si>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</si>
  <si>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</si>
  <si>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</si>
  <si>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</si>
  <si>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</si>
  <si>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</si>
  <si>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</si>
  <si>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</si>
  <si>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</si>
  <si>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</si>
  <si>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</si>
  <si>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</si>
  <si>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</si>
  <si>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</si>
  <si>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</si>
  <si>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</si>
  <si>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</si>
  <si>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</si>
  <si>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</si>
  <si>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</si>
  <si>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</si>
  <si>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</si>
  <si>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</si>
  <si>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</si>
  <si>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</si>
  <si>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</si>
  <si>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</si>
  <si>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</si>
  <si>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</si>
  <si>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</si>
  <si>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</si>
  <si>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</si>
  <si>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</si>
  <si>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</si>
  <si>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</si>
  <si>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</si>
  <si>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</si>
  <si>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</si>
  <si>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</si>
  <si>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</si>
  <si>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</si>
  <si>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</si>
  <si>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</si>
  <si>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</si>
  <si>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</si>
  <si>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</si>
  <si>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</si>
  <si>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</si>
  <si>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</si>
  <si>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</si>
  <si>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</si>
  <si>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</si>
  <si>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</si>
  <si>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</si>
  <si>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</si>
  <si>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</si>
  <si>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</si>
  <si>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</si>
  <si>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</si>
  <si>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</si>
  <si>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</si>
  <si>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</si>
  <si>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</si>
  <si>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</si>
  <si>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</si>
  <si>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</si>
  <si>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</si>
  <si>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</si>
  <si>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</si>
  <si>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</si>
  <si>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</si>
  <si>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</si>
  <si>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</si>
  <si>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</si>
  <si>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</si>
  <si>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</si>
  <si>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</si>
  <si>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</si>
  <si>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</si>
  <si>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</si>
  <si>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</si>
  <si>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</si>
  <si>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</si>
  <si>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</si>
  <si>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</si>
  <si>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</si>
  <si>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</si>
  <si>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</si>
  <si>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</si>
  <si>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</si>
  <si>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</si>
  <si>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</si>
  <si>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</si>
  <si>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</si>
  <si>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</si>
  <si>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</si>
  <si>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</si>
  <si>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</si>
  <si>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</si>
  <si>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</si>
  <si>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</si>
  <si>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</si>
  <si>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</si>
  <si>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</si>
  <si>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</si>
  <si>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</si>
  <si>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</si>
  <si>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</si>
  <si>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</si>
  <si>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</si>
  <si>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</si>
  <si>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</si>
  <si>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</si>
  <si>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</si>
  <si>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</si>
  <si>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</si>
  <si>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</si>
  <si>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</si>
  <si>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</si>
  <si>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</si>
  <si>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</si>
  <si>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</si>
  <si>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</si>
  <si>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</si>
  <si>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</si>
  <si>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</si>
  <si>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</si>
  <si>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</si>
  <si>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</si>
  <si>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</si>
  <si>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</si>
  <si>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</si>
  <si>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</si>
  <si>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</si>
  <si>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</si>
  <si>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</si>
  <si>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</si>
  <si>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</si>
  <si>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</si>
  <si>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</si>
  <si>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</si>
  <si>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</si>
  <si>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</si>
  <si>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</si>
  <si>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</si>
  <si>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</si>
  <si>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</si>
  <si>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</si>
  <si>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</si>
  <si>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</si>
  <si>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</si>
  <si>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</si>
  <si>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</si>
  <si>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</si>
  <si>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</si>
  <si>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</si>
  <si>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</si>
  <si>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</si>
  <si>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</si>
  <si>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</si>
  <si>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</si>
  <si>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</si>
  <si>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</si>
  <si>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</si>
  <si>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</si>
  <si>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</si>
  <si>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</si>
  <si>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</si>
  <si>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</si>
  <si>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</si>
  <si>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</si>
  <si>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</si>
  <si>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</si>
  <si>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</si>
  <si>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</si>
  <si>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</si>
  <si>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</si>
  <si>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</si>
  <si>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</si>
  <si>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</si>
  <si>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</si>
  <si>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</si>
  <si>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</si>
  <si>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</si>
  <si>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</si>
  <si>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</si>
  <si>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</si>
  <si>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</si>
  <si>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</si>
  <si>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</si>
  <si>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</si>
  <si>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</si>
  <si>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</si>
  <si>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</si>
  <si>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</si>
  <si>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</si>
  <si>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</si>
  <si>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</si>
  <si>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</si>
  <si>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</si>
  <si>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</si>
  <si>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</si>
  <si>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</si>
  <si>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</si>
  <si>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</si>
  <si>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</si>
  <si>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</si>
  <si>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</si>
  <si>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</si>
  <si>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</si>
  <si>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</si>
  <si>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</si>
  <si>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</si>
  <si>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</si>
  <si>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</si>
  <si>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</si>
  <si>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</si>
  <si>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</si>
  <si>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</si>
  <si>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</si>
  <si>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</si>
  <si>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</si>
  <si>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</si>
  <si>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</si>
  <si>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</si>
  <si>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</si>
  <si>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</si>
  <si>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</si>
  <si>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</si>
  <si>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</si>
  <si>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</si>
  <si>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</si>
  <si>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</si>
  <si>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</si>
  <si>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</si>
  <si>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</si>
  <si>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</si>
  <si>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</si>
  <si>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</si>
  <si>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</si>
  <si>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</si>
  <si>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</si>
  <si>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</si>
  <si>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</si>
  <si>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</si>
  <si>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</si>
  <si>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</si>
  <si>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</si>
  <si>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</si>
  <si>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</si>
  <si>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</si>
  <si>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</si>
  <si>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</si>
  <si>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</si>
  <si>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</si>
  <si>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</si>
  <si>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</si>
  <si>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</si>
  <si>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</si>
  <si>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</si>
  <si>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</si>
  <si>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</si>
  <si>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</si>
  <si>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</si>
  <si>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</si>
  <si>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</si>
  <si>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</si>
  <si>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</si>
  <si>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</si>
  <si>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</si>
  <si>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</si>
  <si>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</si>
  <si>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</si>
  <si>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</si>
  <si>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</si>
  <si>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</si>
  <si>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</si>
  <si>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</si>
  <si>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</si>
  <si>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</si>
  <si>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</si>
  <si>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</si>
  <si>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</si>
  <si>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</si>
  <si>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</si>
  <si>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</si>
  <si>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</si>
  <si>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</si>
  <si>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</si>
  <si>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</si>
  <si>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</si>
  <si>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</si>
  <si>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</si>
  <si>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</si>
  <si>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</si>
  <si>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</si>
  <si>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</si>
  <si>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</si>
  <si>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</si>
  <si>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</si>
  <si>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</si>
  <si>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</si>
  <si>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</si>
  <si>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</si>
  <si>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</si>
  <si>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</si>
  <si>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</si>
  <si>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</si>
  <si>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</si>
  <si>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</si>
  <si>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</si>
  <si>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</si>
  <si>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</si>
  <si>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</si>
  <si>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</si>
  <si>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</si>
  <si>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</si>
  <si>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</si>
  <si>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</si>
  <si>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</si>
  <si>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</si>
  <si>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</si>
  <si>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</si>
  <si>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</si>
  <si>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</si>
  <si>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</si>
  <si>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</si>
  <si>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</si>
  <si>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</si>
  <si>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</si>
  <si>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</si>
  <si>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</si>
  <si>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</si>
  <si>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</si>
  <si>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</si>
  <si>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</si>
  <si>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</si>
  <si>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</si>
  <si>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</si>
  <si>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</si>
  <si>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</si>
  <si>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</si>
  <si>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</si>
  <si>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</si>
  <si>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</si>
  <si>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</si>
  <si>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</si>
  <si>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</si>
  <si>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</si>
  <si>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</si>
  <si>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</si>
  <si>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</si>
  <si>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</si>
  <si>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</si>
  <si>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</si>
  <si>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</si>
  <si>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</si>
  <si>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</si>
  <si>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</si>
  <si>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</si>
  <si>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</si>
  <si>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</si>
  <si>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</si>
  <si>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</si>
  <si>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</si>
  <si>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</si>
  <si>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</si>
  <si>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</si>
  <si>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</si>
  <si>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</si>
  <si>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</si>
  <si>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</si>
  <si>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</si>
  <si>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</si>
  <si>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</si>
  <si>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</si>
  <si>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</si>
  <si>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</si>
  <si>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</si>
  <si>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</si>
  <si>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</si>
  <si>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</si>
  <si>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</si>
  <si>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</si>
  <si>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</si>
  <si>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</si>
  <si>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</si>
  <si>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</si>
  <si>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</si>
  <si>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</si>
  <si>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</si>
  <si>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</si>
  <si>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</si>
  <si>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</si>
  <si>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</si>
  <si>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</si>
  <si>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</si>
  <si>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</si>
  <si>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</si>
  <si>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</si>
  <si>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</si>
  <si>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</si>
  <si>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</si>
  <si>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</si>
  <si>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</si>
  <si>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</si>
  <si>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</si>
  <si>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</si>
  <si>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</si>
  <si>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</si>
  <si>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</si>
  <si>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</si>
  <si>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</si>
  <si>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</si>
  <si>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</si>
  <si>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</si>
  <si>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</si>
  <si>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</si>
  <si>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</si>
  <si>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</si>
  <si>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</si>
  <si>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</si>
  <si>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</si>
  <si>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</si>
  <si>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</si>
  <si>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</si>
  <si>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</si>
  <si>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</si>
  <si>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</si>
  <si>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</si>
  <si>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</si>
  <si>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</si>
  <si>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</si>
  <si>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</si>
  <si>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</si>
  <si>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</si>
  <si>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</si>
  <si>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</si>
  <si>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</si>
  <si>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</si>
  <si>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</si>
  <si>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</si>
  <si>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</si>
  <si>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</si>
  <si>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</si>
  <si>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</si>
  <si>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</si>
  <si>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</si>
  <si>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</si>
  <si>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</si>
  <si>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</si>
  <si>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</si>
  <si>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</si>
  <si>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</si>
  <si>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</si>
  <si>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</si>
  <si>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</si>
  <si>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</si>
  <si>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</si>
  <si>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</si>
  <si>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</si>
  <si>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</si>
  <si>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</si>
  <si>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</si>
  <si>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</si>
  <si>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</si>
  <si>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</si>
  <si>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</si>
  <si>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</si>
  <si>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</si>
  <si>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</si>
  <si>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</si>
  <si>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</si>
  <si>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</si>
  <si>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</si>
  <si>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</si>
  <si>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</si>
  <si>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</si>
  <si>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</si>
  <si>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</si>
  <si>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</si>
  <si>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</si>
  <si>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</si>
  <si>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</si>
  <si>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</si>
  <si>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</si>
  <si>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</si>
  <si>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</si>
  <si>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</si>
  <si>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</si>
  <si>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</si>
  <si>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</si>
  <si>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</si>
  <si>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</si>
  <si>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</si>
  <si>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</si>
  <si>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</si>
  <si>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</si>
  <si>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</si>
  <si>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</si>
  <si>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</si>
  <si>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</si>
  <si>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</si>
  <si>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</si>
  <si>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</si>
  <si>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</si>
  <si>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</si>
  <si>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</si>
  <si>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</si>
  <si>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</si>
  <si>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</si>
  <si>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</si>
  <si>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</si>
  <si>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</si>
  <si>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</si>
  <si>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</si>
  <si>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</si>
  <si>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</si>
  <si>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</si>
  <si>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</si>
  <si>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</si>
  <si>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</si>
  <si>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</si>
  <si>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</si>
  <si>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</si>
  <si>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</si>
  <si>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</si>
  <si>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</si>
  <si>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</si>
  <si>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</si>
  <si>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</si>
  <si>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</si>
  <si>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</si>
  <si>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</si>
  <si>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</si>
  <si>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</si>
  <si>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</si>
  <si>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</si>
  <si>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</si>
  <si>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</si>
  <si>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</si>
  <si>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</si>
  <si>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</si>
  <si>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</si>
  <si>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</si>
  <si>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</si>
  <si>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</si>
  <si>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</si>
  <si>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</si>
  <si>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</si>
  <si>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</si>
  <si>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</si>
  <si>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</si>
  <si>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</si>
  <si>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</si>
  <si>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</si>
  <si>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</si>
  <si>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</si>
  <si>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</si>
  <si>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</si>
  <si>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</si>
  <si>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</si>
  <si>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</si>
  <si>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</si>
  <si>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</si>
  <si>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</si>
  <si>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</si>
  <si>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</si>
  <si>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</si>
  <si>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</si>
  <si>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</si>
  <si>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</si>
  <si>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</si>
  <si>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</si>
  <si>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</si>
  <si>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</si>
  <si>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</si>
  <si>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</si>
  <si>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</si>
  <si>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</si>
  <si>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</si>
  <si>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</si>
  <si>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</si>
  <si>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</si>
  <si>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</si>
  <si>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</si>
  <si>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</si>
  <si>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</si>
  <si>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</si>
  <si>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</si>
  <si>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</si>
  <si>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</si>
  <si>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</si>
  <si>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</si>
  <si>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</si>
  <si>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</si>
  <si>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</si>
  <si>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</si>
  <si>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</si>
  <si>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</si>
  <si>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</si>
  <si>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</si>
  <si>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</si>
  <si>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</si>
  <si>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</si>
  <si>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</si>
  <si>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</si>
  <si>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</si>
  <si>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</si>
  <si>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</si>
  <si>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</si>
  <si>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</si>
  <si>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</si>
  <si>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</si>
  <si>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</si>
  <si>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</si>
  <si>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</si>
  <si>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</si>
  <si>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</si>
  <si>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</si>
  <si>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</si>
  <si>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</si>
  <si>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</si>
  <si>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</si>
  <si>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</si>
  <si>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</si>
  <si>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</si>
  <si>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</si>
  <si>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</si>
  <si>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</si>
  <si>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</si>
  <si>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</si>
  <si>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</si>
  <si>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</si>
  <si>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</si>
  <si>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</si>
  <si>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</si>
  <si>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</si>
  <si>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</si>
  <si>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</si>
  <si>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</si>
  <si>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</si>
  <si>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</si>
  <si>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</si>
  <si>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</si>
  <si>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</si>
  <si>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</si>
  <si>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</si>
  <si>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</si>
  <si>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</si>
  <si>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</si>
  <si>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</si>
  <si>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</si>
  <si>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</si>
  <si>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</si>
  <si>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</si>
  <si>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</si>
  <si>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</si>
  <si>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</si>
  <si>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</si>
  <si>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</si>
  <si>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</si>
  <si>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</si>
  <si>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</si>
  <si>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</si>
  <si>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</si>
  <si>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</si>
  <si>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</si>
  <si>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</si>
  <si>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</si>
  <si>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</si>
  <si>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</si>
  <si>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</si>
  <si>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</si>
  <si>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</si>
  <si>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</si>
  <si>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</si>
  <si>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</si>
  <si>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</si>
  <si>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</si>
  <si>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</si>
  <si>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</si>
  <si>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</si>
  <si>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</si>
  <si>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</si>
  <si>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</si>
  <si>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</si>
  <si>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</si>
  <si>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</si>
  <si>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</si>
  <si>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</si>
  <si>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</si>
  <si>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</si>
  <si>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</si>
  <si>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</si>
  <si>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</si>
  <si>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</si>
  <si>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</si>
  <si>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</si>
  <si>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</si>
  <si>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</si>
  <si>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</si>
  <si>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</si>
  <si>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</si>
  <si>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</si>
  <si>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</si>
  <si>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</si>
  <si>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</si>
  <si>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</si>
  <si>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</si>
  <si>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</si>
  <si>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</si>
  <si>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</si>
  <si>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</si>
  <si>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</si>
  <si>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</si>
  <si>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</si>
  <si>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</si>
  <si>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</si>
  <si>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</si>
  <si>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</si>
  <si>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</si>
  <si>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</si>
  <si>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</si>
  <si>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</si>
  <si>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</si>
  <si>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</si>
  <si>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</si>
  <si>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</si>
  <si>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</si>
  <si>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</si>
  <si>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</si>
  <si>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</si>
  <si>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</si>
  <si>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</si>
  <si>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</si>
  <si>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</si>
  <si>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</si>
  <si>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</si>
  <si>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</si>
  <si>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</si>
  <si>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</si>
  <si>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</si>
  <si>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</si>
  <si>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</si>
  <si>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</si>
  <si>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</si>
  <si>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</si>
  <si>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</si>
  <si>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</si>
  <si>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</si>
  <si>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</si>
  <si>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</si>
  <si>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</si>
  <si>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</si>
  <si>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</si>
  <si>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</si>
  <si>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</si>
  <si>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</si>
  <si>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</si>
  <si>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</si>
  <si>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</si>
  <si>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</si>
  <si>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</si>
  <si>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</si>
  <si>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</si>
  <si>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</si>
  <si>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</si>
  <si>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</si>
  <si>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</si>
  <si>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</si>
  <si>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</si>
  <si>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</si>
  <si>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</si>
  <si>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</si>
  <si>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</si>
  <si>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</si>
  <si>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</si>
  <si>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</si>
  <si>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</si>
  <si>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</si>
  <si>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</si>
  <si>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</si>
  <si>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</si>
  <si>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</si>
  <si>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</si>
  <si>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</si>
  <si>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</si>
  <si>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</si>
  <si>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</si>
  <si>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</si>
  <si>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</si>
  <si>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</si>
  <si>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</si>
  <si>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</si>
  <si>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</si>
  <si>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</si>
  <si>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</si>
  <si>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</si>
  <si>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</si>
  <si>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</si>
  <si>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</si>
  <si>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</si>
  <si>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</si>
  <si>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</si>
  <si>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</si>
  <si>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</si>
  <si>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</si>
  <si>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</si>
  <si>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</si>
  <si>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</si>
  <si>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</si>
  <si>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</si>
  <si>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</si>
  <si>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</si>
  <si>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</si>
  <si>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</si>
  <si>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</si>
  <si>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</si>
  <si>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</si>
  <si>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</si>
  <si>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</si>
  <si>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</si>
  <si>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</si>
  <si>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</si>
  <si>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</si>
  <si>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</si>
  <si>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</si>
  <si>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</si>
  <si>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</si>
  <si>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</si>
  <si>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</si>
  <si>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</si>
  <si>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</si>
  <si>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</si>
  <si>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</si>
  <si>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</si>
  <si>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</si>
  <si>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</si>
  <si>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</si>
  <si>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</si>
  <si>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</si>
  <si>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</si>
  <si>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</si>
  <si>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</si>
  <si>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</si>
  <si>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</si>
  <si>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</si>
  <si>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</si>
  <si>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</si>
  <si>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</si>
  <si>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</si>
  <si>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</si>
  <si>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</si>
  <si>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</si>
  <si>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</si>
  <si>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</si>
  <si>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</si>
  <si>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</si>
  <si>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</si>
  <si>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</si>
  <si>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</si>
  <si>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</si>
  <si>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</si>
  <si>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</si>
  <si>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</si>
  <si>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</si>
  <si>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</si>
  <si>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</si>
  <si>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</si>
  <si>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</si>
  <si>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</si>
  <si>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</si>
  <si>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</si>
  <si>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</si>
  <si>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</si>
  <si>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</si>
  <si>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</si>
  <si>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</si>
  <si>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</si>
  <si>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</si>
  <si>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</si>
  <si>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</si>
  <si>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</si>
  <si>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</si>
  <si>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</si>
  <si>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</si>
  <si>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</si>
  <si>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</si>
  <si>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</si>
  <si>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</si>
  <si>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</si>
  <si>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</si>
  <si>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</si>
  <si>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</si>
  <si>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</si>
  <si>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</si>
  <si>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</si>
  <si>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</si>
  <si>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</si>
  <si>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</si>
  <si>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</si>
  <si>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</si>
  <si>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</si>
  <si>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</si>
  <si>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</si>
  <si>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</si>
  <si>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</si>
  <si>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</si>
  <si>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</si>
  <si>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</si>
  <si>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</si>
  <si>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</si>
  <si>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</si>
  <si>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</si>
  <si>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</si>
  <si>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</si>
  <si>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</si>
  <si>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</si>
  <si>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</si>
  <si>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</si>
  <si>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</si>
  <si>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</si>
  <si>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</si>
  <si>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</si>
  <si>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</si>
  <si>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</si>
  <si>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</si>
  <si>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</si>
  <si>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</si>
  <si>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</si>
  <si>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</si>
  <si>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</si>
  <si>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</si>
  <si>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</si>
  <si>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</si>
  <si>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</si>
  <si>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</si>
  <si>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</si>
  <si>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</si>
  <si>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</si>
  <si>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</si>
  <si>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</si>
  <si>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</si>
  <si>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</si>
  <si>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</si>
  <si>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</si>
  <si>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</si>
  <si>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</si>
  <si>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</si>
  <si>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</si>
  <si>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</si>
  <si>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</si>
  <si>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</si>
  <si>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</si>
  <si>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</si>
  <si>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</si>
  <si>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</si>
  <si>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</si>
  <si>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</si>
  <si>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</si>
  <si>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</si>
  <si>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</si>
  <si>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</si>
  <si>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</si>
  <si>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</si>
  <si>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</si>
  <si>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</si>
  <si>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</si>
  <si>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</si>
  <si>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</si>
  <si>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</si>
  <si>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</si>
  <si>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</si>
  <si>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</si>
  <si>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</si>
  <si>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</si>
  <si>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</si>
  <si>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</si>
  <si>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</si>
  <si>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</si>
  <si>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</si>
  <si>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</si>
  <si>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</si>
  <si>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</si>
  <si>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</si>
  <si>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</si>
  <si>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</si>
  <si>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</si>
  <si>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</si>
  <si>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</si>
  <si>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</si>
  <si>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</si>
  <si>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</si>
  <si>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</si>
  <si>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</si>
  <si>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</si>
  <si>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</si>
  <si>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</si>
  <si>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</si>
  <si>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</si>
  <si>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</si>
  <si>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</si>
  <si>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</si>
  <si>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</si>
  <si>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</si>
  <si>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</si>
  <si>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</si>
  <si>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</si>
  <si>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</si>
  <si>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</si>
  <si>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</si>
  <si>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</si>
  <si>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</si>
  <si>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</si>
  <si>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</si>
  <si>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</si>
  <si>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</si>
  <si>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</si>
  <si>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</si>
  <si>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</si>
  <si>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</si>
  <si>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</si>
  <si>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</si>
  <si>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</si>
  <si>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</si>
  <si>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</si>
  <si>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</si>
  <si>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</si>
  <si>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</si>
  <si>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</si>
  <si>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</si>
  <si>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</si>
  <si>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</si>
  <si>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</si>
  <si>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</si>
  <si>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</si>
  <si>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</si>
  <si>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</si>
  <si>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</si>
  <si>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</si>
  <si>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</si>
  <si>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</si>
  <si>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</si>
  <si>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</si>
  <si>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</si>
  <si>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</si>
  <si>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</si>
  <si>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</si>
  <si>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</si>
  <si>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</si>
  <si>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</si>
  <si>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</si>
  <si>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</si>
  <si>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</si>
  <si>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</si>
  <si>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</si>
  <si>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</si>
  <si>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</si>
  <si>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</si>
  <si>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</si>
  <si>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</si>
  <si>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</si>
  <si>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</si>
  <si>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</si>
  <si>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</si>
  <si>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</si>
  <si>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</si>
  <si>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</si>
  <si>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</si>
  <si>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</si>
  <si>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</si>
  <si>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</si>
  <si>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</si>
  <si>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</si>
  <si>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</si>
  <si>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</si>
  <si>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</si>
  <si>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</si>
  <si>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</si>
  <si>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</si>
  <si>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</si>
  <si>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</si>
  <si>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</si>
  <si>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</si>
  <si>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</si>
  <si>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</si>
  <si>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</si>
  <si>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</si>
  <si>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</si>
  <si>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</si>
  <si>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</si>
  <si>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</si>
  <si>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</si>
  <si>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</si>
  <si>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</si>
  <si>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</si>
  <si>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</si>
  <si>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</si>
  <si>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</si>
  <si>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</si>
  <si>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</si>
  <si>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</si>
  <si>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</si>
  <si>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</si>
  <si>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</si>
  <si>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</si>
  <si>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</si>
  <si>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</si>
  <si>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</si>
  <si>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</si>
  <si>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</si>
  <si>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</si>
  <si>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</si>
  <si>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</si>
  <si>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</si>
  <si>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</si>
  <si>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</si>
  <si>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</si>
  <si>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</si>
  <si>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</si>
  <si>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</si>
  <si>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</si>
  <si>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</si>
  <si>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</si>
  <si>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</si>
  <si>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</si>
  <si>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</si>
  <si>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</si>
  <si>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</si>
  <si>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</si>
  <si>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</si>
  <si>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</si>
  <si>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</si>
  <si>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</si>
  <si>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</si>
  <si>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</si>
  <si>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</si>
  <si>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</si>
  <si>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</si>
  <si>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</si>
  <si>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</si>
  <si>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</si>
  <si>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</si>
  <si>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</si>
  <si>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</si>
  <si>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</si>
  <si>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</si>
  <si>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</si>
  <si>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</si>
  <si>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</si>
  <si>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</si>
  <si>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</si>
  <si>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</si>
  <si>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</si>
  <si>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</si>
  <si>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</si>
  <si>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</si>
  <si>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</si>
  <si>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</si>
  <si>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</si>
  <si>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</si>
  <si>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</si>
  <si>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</si>
  <si>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</si>
  <si>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</si>
  <si>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</si>
  <si>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</si>
  <si>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</si>
  <si>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</si>
  <si>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</si>
  <si>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</si>
  <si>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</si>
  <si>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</si>
  <si>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</si>
  <si>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</si>
  <si>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</si>
  <si>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</si>
  <si>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</si>
  <si>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</si>
  <si>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</si>
  <si>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</si>
  <si>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</si>
  <si>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</si>
  <si>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</si>
  <si>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</si>
  <si>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</si>
  <si>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</si>
  <si>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</si>
  <si>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</si>
  <si>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</si>
  <si>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</si>
  <si>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</si>
  <si>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</si>
  <si>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</si>
  <si>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</si>
  <si>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</si>
  <si>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</si>
  <si>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</si>
  <si>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</si>
  <si>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</si>
  <si>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</si>
  <si>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</si>
  <si>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</si>
  <si>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</si>
  <si>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</si>
  <si>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</si>
  <si>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</si>
  <si>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</si>
  <si>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</si>
  <si>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</si>
  <si>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</si>
  <si>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</si>
  <si>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</si>
  <si>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</si>
  <si>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</si>
  <si>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</si>
  <si>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</si>
  <si>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</si>
  <si>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</si>
  <si>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</si>
  <si>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</si>
  <si>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</si>
  <si>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</si>
  <si>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</si>
  <si>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</si>
  <si>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</si>
  <si>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</si>
  <si>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</si>
  <si>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</si>
  <si>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</si>
  <si>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</si>
  <si>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</si>
  <si>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</si>
  <si>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</si>
  <si>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</si>
  <si>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</si>
  <si>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</si>
  <si>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</si>
  <si>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</si>
  <si>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</si>
  <si>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</si>
  <si>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</si>
  <si>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</si>
  <si>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</si>
  <si>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</si>
  <si>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</si>
  <si>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</si>
  <si>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</si>
  <si>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</si>
  <si>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</si>
  <si>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</si>
  <si>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</si>
  <si>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</si>
  <si>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</si>
  <si>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</si>
  <si>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</si>
  <si>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</si>
  <si>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</si>
  <si>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</si>
  <si>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</si>
  <si>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</si>
  <si>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</si>
  <si>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</si>
  <si>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</si>
  <si>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</si>
  <si>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</si>
  <si>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</si>
  <si>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</si>
  <si>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</si>
  <si>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</si>
  <si>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</si>
  <si>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</si>
  <si>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</si>
  <si>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</si>
  <si>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</si>
  <si>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</si>
  <si>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</si>
  <si>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</si>
  <si>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</si>
  <si>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</si>
  <si>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</si>
  <si>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</si>
  <si>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</si>
  <si>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</si>
  <si>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</si>
  <si>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</si>
  <si>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</si>
  <si>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</si>
  <si>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</si>
  <si>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</si>
  <si>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</si>
  <si>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</si>
  <si>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</si>
  <si>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</si>
  <si>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</si>
  <si>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</si>
  <si>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</si>
  <si>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</si>
  <si>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</si>
  <si>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</si>
  <si>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</si>
  <si>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</si>
  <si>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</si>
  <si>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</si>
  <si>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</si>
  <si>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</si>
  <si>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</si>
  <si>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</si>
  <si>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</si>
  <si>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</si>
  <si>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</si>
  <si>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</si>
  <si>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</si>
  <si>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</si>
  <si>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</si>
  <si>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</si>
  <si>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</si>
  <si>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</si>
  <si>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</si>
  <si>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</si>
  <si>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</si>
  <si>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</si>
  <si>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</si>
  <si>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</si>
  <si>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</si>
  <si>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</si>
  <si>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</si>
  <si>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</si>
  <si>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</si>
  <si>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</si>
  <si>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</si>
  <si>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</si>
  <si>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</si>
  <si>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</si>
  <si>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</si>
  <si>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</si>
  <si>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</si>
  <si>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</si>
  <si>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</si>
  <si>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</si>
  <si>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</si>
  <si>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</si>
  <si>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</si>
  <si>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</si>
  <si>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</si>
  <si>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</si>
  <si>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</si>
  <si>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</si>
  <si>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</si>
  <si>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</si>
  <si>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</si>
  <si>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</si>
  <si>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</si>
  <si>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</si>
  <si>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</si>
  <si>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</si>
  <si>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</si>
  <si>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</si>
  <si>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</si>
  <si>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</si>
  <si>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</si>
  <si>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</si>
  <si>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</si>
  <si>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</si>
  <si>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</si>
  <si>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</si>
  <si>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</si>
  <si>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</si>
  <si>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</si>
  <si>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</si>
  <si>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</si>
  <si>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</si>
  <si>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</si>
  <si>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</si>
  <si>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</si>
  <si>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</si>
  <si>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</si>
  <si>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</si>
  <si>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</si>
  <si>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</si>
  <si>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</si>
  <si>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</si>
  <si>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</si>
  <si>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</si>
  <si>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</si>
  <si>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</si>
  <si>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</si>
  <si>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</si>
  <si>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</si>
  <si>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</si>
  <si>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</si>
  <si>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</si>
  <si>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</si>
  <si>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</si>
  <si>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</si>
  <si>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</si>
  <si>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</si>
  <si>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</si>
  <si>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</si>
  <si>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</si>
  <si>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</si>
  <si>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</si>
  <si>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</si>
  <si>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</si>
  <si>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</si>
  <si>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</si>
  <si>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</si>
  <si>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</si>
  <si>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</si>
  <si>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</si>
  <si>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</si>
  <si>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</si>
  <si>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</si>
  <si>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</si>
  <si>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</si>
  <si>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</si>
  <si>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</si>
  <si>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</si>
  <si>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</si>
  <si>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</si>
  <si>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</si>
  <si>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</si>
  <si>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</si>
  <si>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</si>
  <si>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</si>
  <si>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</si>
  <si>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</si>
  <si>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</si>
  <si>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</si>
  <si>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</si>
  <si>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</si>
  <si>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</si>
  <si>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</si>
  <si>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</si>
  <si>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</si>
  <si>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</si>
  <si>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</si>
  <si>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</si>
  <si>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</si>
  <si>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</si>
  <si>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</si>
  <si>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</si>
  <si>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</si>
  <si>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</si>
  <si>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</si>
  <si>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</si>
  <si>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</si>
  <si>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</si>
  <si>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</si>
  <si>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</si>
  <si>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</si>
  <si>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</si>
  <si>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</si>
  <si>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</si>
  <si>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</si>
  <si>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</si>
  <si>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</si>
  <si>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</si>
  <si>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</si>
  <si>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</si>
  <si>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</si>
  <si>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</si>
  <si>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</si>
  <si>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</si>
  <si>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</si>
  <si>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</si>
  <si>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</si>
  <si>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</si>
  <si>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</si>
  <si>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</si>
  <si>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</si>
  <si>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</si>
  <si>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</si>
  <si>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</si>
  <si>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</si>
  <si>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</si>
  <si>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</si>
  <si>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</si>
  <si>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</si>
  <si>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</si>
  <si>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</si>
  <si>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</si>
  <si>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</si>
  <si>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</si>
  <si>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</si>
  <si>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</si>
  <si>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</si>
  <si>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</si>
  <si>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</si>
  <si>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</si>
  <si>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</si>
  <si>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</si>
  <si>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</si>
  <si>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</si>
  <si>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</si>
  <si>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</si>
  <si>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</si>
  <si>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</si>
  <si>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</si>
  <si>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</si>
  <si>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</si>
  <si>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</si>
  <si>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</si>
  <si>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</si>
  <si>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</si>
  <si>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</si>
  <si>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</si>
  <si>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</si>
  <si>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</si>
  <si>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</si>
  <si>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</si>
  <si>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</si>
  <si>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</si>
  <si>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</si>
  <si>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</si>
  <si>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</si>
  <si>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</si>
  <si>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</si>
  <si>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</si>
  <si>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</si>
  <si>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</si>
  <si>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</si>
  <si>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</si>
  <si>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</si>
  <si>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</si>
  <si>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</si>
  <si>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</si>
  <si>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</si>
  <si>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</si>
  <si>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</si>
  <si>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</si>
  <si>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</si>
  <si>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</si>
  <si>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</si>
  <si>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</si>
  <si>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</si>
  <si>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</si>
  <si>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</si>
  <si>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</si>
  <si>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</si>
  <si>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</si>
  <si>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</si>
  <si>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</si>
  <si>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</si>
  <si>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</si>
  <si>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</si>
  <si>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</si>
  <si>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</si>
  <si>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</si>
  <si>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</si>
  <si>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</si>
  <si>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</si>
  <si>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</si>
  <si>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</si>
  <si>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</si>
  <si>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</si>
  <si>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</si>
  <si>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</si>
  <si>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</si>
  <si>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</si>
  <si>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</si>
  <si>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</si>
  <si>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</si>
  <si>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</si>
  <si>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</si>
  <si>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</si>
  <si>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</si>
  <si>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</si>
  <si>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</si>
  <si>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</si>
  <si>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</si>
  <si>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</si>
  <si>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</si>
  <si>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</si>
  <si>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</si>
  <si>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</si>
  <si>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</si>
  <si>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</si>
  <si>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</si>
  <si>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</si>
  <si>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</si>
  <si>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</si>
  <si>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</si>
  <si>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</si>
  <si>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</si>
  <si>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</si>
  <si>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</si>
  <si>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</si>
  <si>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</si>
  <si>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</si>
  <si>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</si>
  <si>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</si>
  <si>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</si>
  <si>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</si>
  <si>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</si>
  <si>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</si>
  <si>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</si>
  <si>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</si>
  <si>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</si>
  <si>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</si>
  <si>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</si>
  <si>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</si>
  <si>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</si>
  <si>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</si>
  <si>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</si>
  <si>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</si>
  <si>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</si>
  <si>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</si>
  <si>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</si>
  <si>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</si>
  <si>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</si>
  <si>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</si>
  <si>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</si>
  <si>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</si>
  <si>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</si>
  <si>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</si>
  <si>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</si>
  <si>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</si>
  <si>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</si>
  <si>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</si>
  <si>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</si>
  <si>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</si>
  <si>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</si>
  <si>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</si>
  <si>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</si>
  <si>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</si>
  <si>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</si>
  <si>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</si>
  <si>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</si>
  <si>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</si>
  <si>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</si>
  <si>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</si>
  <si>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</si>
  <si>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</si>
  <si>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</si>
  <si>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</si>
  <si>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</si>
  <si>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</si>
  <si>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</si>
  <si>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</si>
  <si>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</si>
  <si>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</si>
  <si>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</si>
  <si>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</si>
  <si>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</si>
  <si>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</si>
  <si>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</si>
  <si>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</si>
  <si>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</si>
  <si>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</si>
  <si>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</si>
  <si>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</si>
  <si>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</si>
  <si>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</si>
  <si>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</si>
  <si>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</si>
  <si>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</si>
  <si>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</si>
  <si>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</si>
  <si>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</si>
  <si>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</si>
  <si>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</si>
  <si>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</si>
  <si>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</si>
  <si>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</si>
  <si>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</si>
  <si>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</si>
  <si>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</si>
  <si>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</si>
  <si>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</si>
  <si>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</si>
  <si>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</si>
  <si>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</si>
  <si>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</si>
  <si>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</si>
  <si>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</si>
  <si>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</si>
  <si>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</si>
  <si>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</si>
  <si>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</si>
  <si>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</si>
  <si>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</si>
  <si>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</si>
  <si>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</si>
  <si>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</si>
  <si>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</si>
  <si>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</si>
  <si>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</si>
  <si>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</si>
  <si>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</si>
  <si>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</si>
  <si>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</si>
  <si>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</si>
  <si>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</si>
  <si>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</si>
  <si>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</si>
  <si>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</si>
  <si>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</si>
  <si>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</si>
  <si>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</si>
  <si>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</si>
  <si>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</si>
  <si>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</si>
  <si>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</si>
  <si>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</si>
  <si>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</si>
  <si>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</si>
  <si>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</si>
  <si>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</si>
  <si>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</si>
  <si>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</si>
  <si>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</si>
  <si>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</si>
  <si>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</si>
  <si>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</si>
  <si>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</si>
  <si>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</si>
  <si>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</si>
  <si>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</si>
  <si>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</si>
  <si>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</si>
  <si>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</si>
  <si>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</si>
  <si>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</si>
  <si>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</si>
  <si>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</si>
  <si>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</si>
  <si>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</si>
  <si>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</si>
  <si>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</si>
  <si>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</si>
  <si>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</si>
  <si>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</si>
  <si>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</si>
  <si>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</si>
  <si>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</si>
  <si>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</si>
  <si>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</si>
  <si>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</si>
  <si>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</si>
  <si>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</si>
  <si>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</si>
  <si>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</si>
  <si>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</si>
  <si>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</si>
  <si>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</si>
  <si>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</si>
  <si>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</si>
  <si>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</si>
  <si>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</si>
  <si>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</si>
  <si>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</si>
  <si>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</si>
  <si>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</si>
  <si>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</si>
  <si>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</si>
  <si>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</si>
  <si>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</si>
  <si>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</si>
  <si>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</si>
  <si>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</si>
  <si>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</si>
  <si>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</si>
  <si>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</si>
  <si>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</si>
  <si>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</si>
  <si>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</si>
  <si>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</si>
  <si>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</si>
  <si>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</si>
  <si>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</si>
  <si>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</si>
  <si>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</si>
  <si>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</si>
  <si>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</si>
  <si>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</si>
  <si>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</si>
  <si>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</si>
  <si>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</si>
  <si>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</si>
  <si>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</si>
  <si>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</si>
  <si>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</si>
  <si>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</si>
  <si>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</si>
  <si>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</si>
  <si>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</si>
  <si>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</si>
  <si>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</si>
  <si>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</si>
  <si>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</si>
  <si>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</si>
  <si>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</si>
  <si>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</si>
  <si>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</si>
  <si>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</si>
  <si>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</si>
  <si>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</si>
  <si>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</si>
  <si>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</si>
  <si>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</si>
  <si>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</si>
  <si>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</si>
  <si>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</si>
  <si>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</si>
  <si>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</si>
  <si>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</si>
  <si>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</si>
  <si>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</si>
  <si>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</si>
  <si>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</si>
  <si>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</si>
  <si>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</si>
  <si>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</si>
  <si>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</si>
  <si>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</si>
  <si>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</si>
  <si>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</si>
  <si>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</si>
  <si>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</si>
  <si>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</si>
  <si>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</si>
  <si>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</si>
  <si>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</si>
  <si>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</si>
  <si>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</si>
  <si>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</si>
  <si>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</si>
  <si>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</si>
  <si>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</si>
  <si>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</si>
  <si>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</si>
  <si>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</si>
  <si>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</si>
  <si>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</si>
  <si>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</si>
  <si>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</si>
  <si>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</si>
  <si>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</si>
  <si>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</si>
  <si>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</si>
  <si>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</si>
  <si>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</si>
  <si>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</si>
  <si>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</si>
  <si>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</si>
  <si>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</si>
  <si>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</si>
  <si>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</si>
  <si>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</si>
  <si>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</si>
  <si>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</si>
  <si>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</si>
  <si>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</si>
  <si>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</si>
  <si>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</si>
  <si>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</si>
  <si>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</si>
  <si>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</si>
  <si>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</si>
  <si>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</si>
  <si>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</si>
  <si>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</si>
  <si>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</si>
  <si>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</si>
  <si>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</si>
  <si>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</si>
  <si>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</si>
  <si>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</si>
  <si>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</si>
  <si>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</si>
  <si>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</si>
  <si>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</si>
  <si>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</si>
  <si>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</si>
  <si>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</si>
  <si>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</si>
  <si>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</si>
  <si>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</si>
  <si>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</si>
  <si>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</si>
  <si>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</si>
  <si>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</si>
  <si>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</si>
  <si>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</si>
  <si>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</si>
  <si>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</si>
  <si>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</si>
  <si>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</si>
  <si>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</si>
  <si>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</si>
  <si>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</si>
  <si>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</si>
  <si>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</si>
  <si>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</si>
  <si>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</si>
  <si>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</si>
  <si>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</si>
  <si>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</si>
  <si>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</si>
  <si>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</si>
  <si>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</si>
  <si>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</si>
  <si>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</si>
  <si>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</si>
  <si>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</si>
  <si>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</si>
  <si>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</si>
  <si>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</si>
  <si>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</si>
  <si>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</si>
  <si>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</si>
  <si>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</si>
  <si>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</si>
  <si>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</si>
  <si>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</si>
  <si>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</si>
  <si>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</si>
  <si>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</si>
  <si>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</si>
  <si>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</si>
  <si>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</si>
  <si>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</si>
  <si>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</si>
  <si>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</si>
  <si>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</si>
  <si>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</si>
  <si>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</si>
  <si>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</si>
  <si>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</si>
  <si>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</si>
  <si>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</si>
  <si>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</si>
  <si>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</si>
  <si>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</si>
  <si>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</si>
  <si>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</si>
  <si>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</si>
  <si>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</si>
  <si>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</si>
  <si>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</si>
  <si>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</si>
  <si>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</si>
  <si>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</si>
  <si>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</si>
  <si>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</si>
  <si>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</si>
  <si>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</si>
  <si>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</si>
  <si>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</si>
  <si>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</si>
  <si>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</si>
  <si>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</si>
  <si>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</si>
  <si>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</si>
  <si>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</si>
  <si>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</si>
  <si>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</si>
  <si>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</si>
  <si>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</si>
  <si>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</si>
  <si>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</si>
  <si>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</si>
  <si>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</si>
  <si>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</si>
  <si>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</si>
  <si>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</si>
  <si>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</si>
  <si>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</si>
  <si>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</si>
  <si>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</si>
  <si>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</si>
  <si>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</si>
  <si>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</si>
  <si>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</si>
  <si>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</si>
  <si>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</si>
  <si>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</si>
  <si>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</si>
  <si>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</si>
  <si>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</si>
  <si>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</si>
  <si>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</si>
  <si>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</si>
  <si>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</si>
  <si>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</si>
  <si>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</si>
  <si>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</si>
  <si>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</si>
  <si>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</si>
  <si>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</si>
  <si>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</si>
  <si>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</si>
  <si>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</si>
  <si>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</si>
  <si>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</si>
  <si>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</si>
  <si>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</si>
  <si>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</si>
  <si>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</si>
  <si>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</si>
  <si>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</si>
  <si>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</si>
  <si>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</si>
  <si>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</si>
  <si>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</si>
  <si>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</si>
  <si>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</si>
  <si>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</si>
  <si>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</si>
  <si>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</si>
  <si>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</si>
  <si>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</si>
  <si>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</si>
  <si>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</si>
  <si>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</si>
  <si>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</si>
  <si>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</si>
  <si>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</si>
  <si>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</si>
  <si>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</si>
  <si>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</si>
  <si>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</si>
  <si>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</si>
  <si>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</si>
  <si>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</si>
  <si>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</si>
  <si>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</si>
  <si>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</si>
  <si>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</si>
  <si>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</si>
  <si>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</si>
  <si>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</si>
  <si>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</si>
  <si>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</si>
  <si>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</si>
  <si>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</si>
  <si>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</si>
  <si>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</si>
  <si>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</si>
  <si>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</si>
  <si>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</si>
  <si>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</si>
  <si>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</si>
  <si>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</si>
  <si>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</si>
  <si>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</si>
  <si>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</si>
  <si>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</si>
  <si>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</si>
  <si>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</si>
  <si>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</si>
  <si>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</si>
  <si>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</si>
  <si>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</si>
  <si>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</si>
  <si>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</si>
  <si>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</si>
  <si>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</si>
  <si>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</si>
  <si>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</si>
  <si>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</si>
  <si>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</si>
  <si>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</si>
  <si>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</si>
  <si>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</si>
  <si>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</si>
  <si>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</si>
  <si>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</si>
  <si>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</si>
  <si>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</si>
  <si>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</si>
  <si>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</si>
  <si>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</si>
  <si>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</si>
  <si>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</si>
  <si>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</si>
  <si>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</si>
  <si>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</si>
  <si>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</si>
  <si>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</si>
  <si>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</si>
  <si>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</si>
  <si>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</si>
  <si>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</si>
  <si>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</si>
  <si>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</si>
  <si>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</si>
  <si>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</si>
  <si>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</si>
  <si>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</si>
  <si>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</si>
  <si>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</si>
  <si>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</si>
  <si>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</si>
  <si>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</si>
  <si>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</si>
  <si>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</si>
  <si>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</si>
  <si>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</si>
  <si>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</si>
  <si>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</si>
  <si>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</si>
  <si>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</si>
  <si>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</si>
  <si>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</si>
  <si>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</si>
  <si>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</si>
  <si>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</si>
  <si>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</si>
  <si>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</si>
  <si>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</si>
  <si>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</si>
  <si>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</si>
  <si>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</si>
  <si>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</si>
  <si>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</si>
  <si>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</si>
  <si>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</si>
  <si>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</si>
  <si>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</si>
  <si>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</si>
  <si>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</si>
  <si>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</si>
  <si>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</si>
  <si>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</si>
  <si>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</si>
  <si>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</si>
  <si>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</si>
  <si>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</si>
  <si>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</si>
  <si>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</si>
  <si>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</si>
  <si>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</si>
  <si>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</si>
  <si>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</si>
  <si>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</si>
  <si>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</si>
  <si>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</si>
  <si>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</si>
  <si>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</si>
  <si>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</si>
  <si>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</si>
  <si>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</si>
  <si>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</si>
  <si>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</si>
  <si>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</si>
  <si>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</si>
  <si>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</si>
  <si>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</si>
  <si>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</si>
  <si>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</si>
  <si>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</si>
  <si>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</si>
  <si>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</si>
  <si>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</si>
  <si>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</si>
  <si>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</si>
  <si>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</si>
  <si>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</si>
  <si>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</si>
  <si>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</si>
  <si>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</si>
  <si>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</si>
  <si>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</si>
  <si>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</si>
  <si>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</si>
  <si>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</si>
  <si>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</si>
  <si>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</si>
  <si>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</si>
  <si>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</si>
  <si>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</si>
  <si>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</si>
  <si>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</si>
  <si>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</si>
  <si>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</si>
  <si>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</si>
  <si>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</si>
  <si>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</si>
  <si>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</si>
  <si>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</si>
  <si>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</si>
  <si>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</si>
  <si>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</si>
  <si>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</si>
  <si>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</si>
  <si>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</si>
  <si>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</si>
  <si>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</si>
  <si>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</si>
  <si>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</si>
  <si>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</si>
  <si>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</si>
  <si>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</si>
  <si>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</si>
  <si>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</si>
  <si>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</si>
  <si>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</si>
  <si>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</si>
  <si>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</si>
  <si>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</si>
  <si>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</si>
  <si>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</si>
  <si>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</si>
  <si>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</si>
  <si>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</si>
  <si>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</si>
  <si>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</si>
  <si>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</si>
  <si>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</si>
  <si>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</si>
  <si>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</si>
  <si>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</si>
  <si>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</si>
  <si>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</si>
  <si>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</si>
  <si>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</si>
  <si>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</si>
  <si>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</si>
  <si>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</si>
  <si>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</si>
  <si>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</si>
  <si>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</si>
  <si>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</si>
  <si>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</si>
  <si>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</si>
  <si>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</si>
  <si>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</si>
  <si>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</si>
  <si>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</si>
  <si>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</si>
  <si>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</si>
  <si>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</si>
  <si>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</si>
  <si>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</si>
  <si>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</si>
  <si>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</si>
  <si>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</si>
  <si>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</si>
  <si>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</si>
  <si>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</si>
  <si>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</si>
  <si>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</si>
  <si>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</si>
  <si>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</si>
  <si>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</si>
  <si>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</si>
  <si>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</si>
  <si>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</si>
  <si>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</si>
  <si>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</si>
  <si>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</si>
  <si>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</si>
  <si>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</si>
  <si>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</si>
  <si>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</si>
  <si>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</si>
  <si>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</si>
  <si>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</si>
  <si>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</si>
  <si>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</si>
  <si>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</si>
  <si>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</si>
  <si>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</si>
  <si>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</si>
  <si>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</si>
  <si>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</si>
  <si>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</si>
  <si>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</si>
  <si>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</si>
  <si>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</si>
  <si>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</si>
  <si>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</si>
  <si>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</si>
  <si>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</si>
  <si>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</si>
  <si>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</si>
  <si>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</si>
  <si>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</si>
  <si>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</si>
  <si>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</si>
  <si>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</si>
  <si>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</si>
  <si>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</si>
  <si>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</si>
  <si>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</si>
  <si>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</si>
  <si>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</si>
  <si>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</si>
  <si>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</si>
  <si>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</si>
  <si>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</si>
  <si>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</si>
  <si>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</si>
  <si>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</si>
  <si>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</si>
  <si>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</si>
  <si>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</si>
  <si>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</si>
  <si>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</si>
  <si>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</si>
  <si>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</si>
  <si>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</si>
  <si>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</si>
  <si>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</si>
  <si>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</si>
  <si>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</si>
  <si>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</si>
  <si>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</si>
  <si>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</si>
  <si>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</si>
  <si>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</si>
  <si>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</si>
  <si>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</si>
  <si>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</si>
  <si>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</si>
  <si>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</si>
  <si>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</si>
  <si>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</si>
  <si>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</si>
  <si>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</si>
  <si>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</si>
  <si>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</si>
  <si>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</si>
  <si>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</si>
  <si>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</si>
  <si>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</si>
  <si>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</si>
  <si>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</si>
  <si>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</si>
  <si>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</si>
  <si>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</si>
  <si>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</si>
  <si>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</si>
  <si>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</si>
  <si>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</si>
  <si>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</si>
  <si>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</si>
  <si>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</si>
  <si>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</si>
  <si>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</si>
  <si>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</si>
  <si>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</si>
  <si>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</si>
  <si>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</si>
  <si>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</si>
  <si>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</si>
  <si>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</si>
  <si>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</si>
  <si>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</si>
  <si>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</si>
  <si>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</si>
  <si>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</si>
  <si>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</si>
  <si>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</si>
  <si>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</si>
  <si>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</si>
  <si>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</si>
  <si>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</si>
  <si>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</si>
  <si>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</si>
  <si>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</si>
  <si>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</si>
  <si>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</si>
  <si>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</si>
  <si>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</si>
  <si>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</si>
  <si>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</si>
  <si>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</si>
  <si>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</si>
  <si>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</si>
  <si>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</si>
  <si>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</si>
  <si>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</si>
  <si>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</si>
  <si>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</si>
  <si>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</si>
  <si>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</si>
  <si>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</si>
  <si>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</si>
  <si>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</si>
  <si>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</si>
  <si>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</si>
  <si>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</si>
  <si>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</si>
  <si>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</si>
  <si>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</si>
  <si>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</si>
  <si>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</si>
  <si>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</si>
  <si>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</si>
  <si>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</si>
  <si>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</si>
  <si>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</si>
  <si>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</si>
  <si>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</si>
  <si>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</si>
  <si>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</si>
  <si>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</si>
  <si>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</si>
  <si>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</si>
  <si>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</si>
  <si>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</si>
  <si>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</si>
  <si>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</si>
  <si>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</si>
  <si>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</si>
  <si>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</si>
  <si>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</si>
  <si>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</si>
  <si>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</si>
  <si>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</si>
  <si>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</si>
  <si>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</si>
  <si>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</si>
  <si>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</si>
  <si>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</si>
  <si>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</si>
  <si>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</si>
  <si>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</si>
  <si>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</si>
  <si>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</si>
  <si>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</si>
  <si>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</si>
  <si>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</si>
  <si>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</si>
  <si>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</si>
  <si>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</si>
  <si>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</si>
  <si>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</si>
  <si>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</si>
  <si>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</si>
  <si>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</si>
  <si>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</si>
  <si>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</si>
  <si>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</si>
  <si>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</si>
  <si>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</si>
  <si>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</si>
  <si>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</si>
  <si>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</si>
  <si>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</si>
  <si>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</si>
  <si>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</si>
  <si>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</si>
  <si>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</si>
  <si>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</si>
  <si>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</si>
  <si>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</si>
  <si>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</si>
  <si>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</si>
  <si>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</si>
  <si>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</si>
  <si>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</si>
  <si>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</si>
  <si>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</si>
  <si>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</si>
  <si>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</si>
  <si>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</si>
  <si>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</si>
  <si>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</si>
  <si>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</si>
  <si>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</si>
  <si>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</si>
  <si>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</si>
  <si>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</si>
  <si>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</si>
  <si>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</si>
  <si>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</si>
  <si>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</si>
  <si>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</si>
  <si>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</si>
  <si>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</si>
  <si>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</si>
  <si>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</si>
  <si>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</si>
  <si>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</si>
  <si>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</si>
  <si>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</si>
  <si>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</si>
  <si>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</si>
  <si>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</si>
  <si>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</si>
  <si>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</si>
  <si>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</si>
  <si>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</si>
  <si>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</si>
  <si>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</si>
  <si>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</si>
  <si>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</si>
  <si>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</si>
  <si>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</si>
  <si>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</si>
  <si>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</si>
  <si>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</si>
  <si>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</si>
  <si>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</si>
  <si>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</si>
  <si>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</si>
  <si>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</si>
  <si>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</si>
  <si>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</si>
  <si>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</si>
  <si>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</si>
  <si>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</si>
  <si>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</si>
  <si>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</si>
  <si>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</si>
  <si>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</si>
  <si>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</si>
  <si>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</si>
  <si>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</si>
  <si>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</si>
  <si>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</si>
  <si>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</si>
  <si>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</si>
  <si>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</si>
  <si>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</si>
  <si>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</si>
  <si>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</si>
  <si>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</si>
  <si>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</si>
  <si>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</si>
  <si>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</si>
  <si>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</si>
  <si>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</si>
  <si>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</si>
  <si>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</si>
  <si>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</si>
  <si>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</si>
  <si>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</si>
  <si>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</si>
  <si>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</si>
  <si>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</si>
  <si>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</si>
  <si>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</si>
  <si>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</si>
  <si>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</si>
  <si>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</si>
  <si>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</si>
  <si>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</si>
  <si>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</si>
  <si>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</si>
  <si>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</si>
  <si>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</si>
  <si>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</si>
  <si>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</si>
  <si>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</si>
  <si>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</si>
  <si>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</si>
  <si>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</si>
  <si>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</si>
  <si>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</si>
  <si>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</si>
  <si>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</si>
  <si>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</si>
  <si>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</si>
  <si>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</si>
  <si>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</si>
  <si>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</si>
  <si>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</si>
  <si>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</si>
  <si>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</si>
  <si>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</si>
  <si>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</si>
  <si>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</si>
  <si>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</si>
  <si>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</si>
  <si>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</si>
  <si>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</si>
  <si>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</si>
  <si>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</si>
  <si>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</si>
  <si>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</si>
  <si>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</si>
  <si>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</si>
  <si>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</si>
  <si>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</si>
  <si>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</si>
  <si>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</si>
  <si>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</si>
  <si>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</si>
  <si>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</si>
  <si>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</si>
  <si>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</si>
  <si>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</si>
  <si>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</si>
  <si>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</si>
  <si>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</si>
  <si>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</si>
  <si>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</si>
  <si>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</si>
  <si>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</si>
  <si>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</si>
  <si>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</si>
  <si>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</si>
  <si>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</si>
  <si>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</si>
  <si>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</si>
  <si>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</si>
  <si>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</si>
  <si>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</si>
  <si>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</si>
  <si>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</si>
  <si>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</si>
  <si>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</si>
  <si>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</si>
  <si>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</si>
  <si>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</si>
  <si>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</si>
  <si>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</si>
  <si>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</si>
  <si>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</si>
  <si>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</si>
  <si>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</si>
  <si>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</si>
  <si>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</si>
  <si>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</si>
  <si>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</si>
  <si>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</si>
  <si>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</si>
  <si>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</si>
  <si>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</si>
  <si>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</si>
  <si>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</si>
  <si>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</si>
  <si>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</si>
  <si>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</si>
  <si>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</si>
  <si>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</si>
  <si>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</si>
  <si>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</si>
  <si>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</si>
  <si>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</si>
  <si>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</si>
  <si>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</si>
  <si>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</si>
  <si>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</si>
  <si>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</si>
  <si>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</si>
  <si>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</si>
  <si>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</si>
  <si>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</si>
  <si>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</si>
  <si>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</si>
  <si>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</si>
  <si>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</si>
  <si>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</si>
  <si>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</si>
  <si>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</si>
  <si>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</si>
  <si>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</si>
  <si>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</si>
  <si>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</si>
  <si>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</si>
  <si>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</si>
  <si>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</si>
  <si>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</si>
  <si>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</si>
  <si>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</si>
  <si>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</si>
  <si>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</si>
  <si>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</si>
  <si>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</si>
  <si>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</si>
  <si>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</si>
  <si>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</si>
  <si>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</si>
  <si>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</si>
  <si>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</si>
  <si>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</si>
  <si>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</si>
  <si>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</si>
  <si>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</si>
  <si>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</si>
  <si>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</si>
  <si>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</si>
  <si>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</si>
  <si>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</si>
  <si>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</si>
  <si>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</si>
  <si>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</si>
  <si>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</si>
  <si>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</si>
  <si>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</si>
  <si>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</si>
  <si>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</si>
  <si>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</si>
  <si>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</si>
  <si>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</si>
  <si>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</si>
  <si>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</si>
  <si>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</si>
  <si>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</si>
  <si>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</si>
  <si>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</si>
  <si>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</si>
  <si>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</si>
  <si>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</si>
  <si>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</si>
  <si>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</si>
  <si>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</si>
  <si>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</si>
  <si>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</si>
  <si>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</si>
  <si>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</si>
  <si>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</si>
  <si>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</si>
  <si>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</si>
  <si>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</si>
  <si>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</si>
  <si>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</si>
  <si>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</si>
  <si>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</si>
  <si>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</si>
  <si>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</si>
  <si>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</si>
  <si>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</si>
  <si>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</si>
  <si>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</si>
  <si>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</si>
  <si>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</si>
  <si>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</si>
  <si>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</si>
  <si>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</si>
  <si>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</si>
  <si>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</si>
  <si>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</si>
  <si>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</si>
  <si>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</si>
  <si>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</si>
  <si>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</si>
  <si>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</si>
  <si>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</si>
  <si>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</si>
  <si>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</si>
  <si>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</si>
  <si>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</si>
  <si>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</si>
  <si>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</si>
  <si>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</si>
  <si>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</si>
  <si>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</si>
  <si>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</si>
  <si>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</si>
  <si>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</si>
  <si>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</si>
  <si>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</si>
  <si>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</si>
  <si>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</si>
  <si>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</si>
  <si>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</si>
  <si>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</si>
  <si>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</si>
  <si>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</si>
  <si>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</si>
  <si>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</si>
  <si>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</si>
  <si>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</si>
  <si>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</si>
  <si>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</si>
  <si>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</si>
  <si>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</si>
  <si>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</si>
  <si>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</si>
  <si>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</si>
  <si>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</si>
  <si>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</si>
  <si>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</si>
  <si>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</si>
  <si>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</si>
  <si>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</si>
  <si>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</si>
  <si>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</si>
  <si>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</si>
  <si>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</si>
  <si>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</si>
  <si>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</si>
  <si>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</si>
  <si>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</si>
  <si>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</si>
  <si>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</si>
  <si>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</si>
  <si>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</si>
  <si>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</si>
  <si>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</si>
  <si>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</si>
  <si>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</si>
  <si>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</si>
  <si>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</si>
  <si>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</si>
  <si>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</si>
  <si>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</si>
  <si>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</si>
  <si>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</si>
  <si>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</si>
  <si>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</si>
  <si>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</si>
  <si>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</si>
  <si>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</si>
  <si>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</si>
  <si>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</si>
  <si>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</si>
  <si>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</si>
  <si>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</si>
  <si>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</si>
  <si>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</si>
  <si>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</si>
  <si>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</si>
  <si>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</si>
  <si>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</si>
  <si>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</si>
  <si>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</si>
  <si>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</si>
  <si>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</si>
  <si>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</si>
  <si>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</si>
  <si>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</si>
  <si>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</si>
  <si>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</si>
  <si>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</si>
  <si>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</si>
  <si>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</si>
  <si>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</si>
  <si>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</si>
  <si>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</si>
  <si>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</si>
  <si>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</si>
  <si>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</si>
  <si>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</si>
  <si>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</si>
  <si>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</si>
  <si>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</si>
  <si>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</si>
  <si>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</si>
  <si>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</si>
  <si>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</si>
  <si>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</si>
  <si>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</si>
  <si>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</si>
  <si>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</si>
  <si>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</si>
  <si>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</si>
  <si>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</si>
  <si>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</si>
  <si>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</si>
  <si>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</si>
  <si>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</si>
  <si>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</si>
  <si>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</si>
  <si>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</si>
  <si>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</si>
  <si>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</si>
  <si>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</si>
  <si>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</si>
  <si>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</si>
  <si>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</si>
  <si>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</si>
  <si>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</si>
  <si>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</si>
  <si>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</si>
  <si>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</si>
  <si>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</si>
  <si>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</si>
  <si>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</si>
  <si>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</si>
  <si>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</si>
  <si>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</si>
  <si>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</si>
  <si>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</si>
  <si>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</si>
  <si>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</si>
  <si>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</si>
  <si>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</si>
  <si>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</si>
  <si>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</si>
  <si>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</si>
  <si>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</si>
  <si>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</si>
  <si>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</si>
  <si>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</si>
  <si>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</si>
  <si>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</si>
  <si>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</si>
  <si>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</si>
  <si>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</si>
  <si>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</si>
  <si>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</si>
  <si>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</si>
  <si>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</si>
  <si>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</si>
  <si>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</si>
  <si>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</si>
  <si>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</si>
  <si>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</si>
  <si>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</si>
  <si>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</si>
  <si>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</si>
  <si>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</si>
  <si>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</si>
  <si>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</si>
  <si>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</si>
  <si>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</si>
  <si>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</si>
  <si>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</si>
  <si>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</si>
  <si>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</si>
  <si>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</si>
  <si>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</si>
  <si>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</si>
  <si>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</si>
  <si>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</si>
  <si>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</si>
  <si>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</si>
  <si>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</si>
  <si>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</si>
  <si>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</si>
  <si>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</si>
  <si>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</si>
  <si>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</si>
  <si>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</si>
  <si>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</si>
  <si>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</si>
  <si>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</si>
  <si>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</si>
  <si>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</si>
  <si>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</si>
  <si>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</si>
  <si>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</si>
  <si>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</si>
  <si>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</si>
  <si>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</si>
  <si>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</si>
  <si>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</si>
  <si>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</si>
  <si>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</si>
  <si>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</si>
  <si>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</si>
  <si>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</si>
  <si>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</si>
  <si>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</si>
  <si>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</si>
  <si>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</si>
  <si>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</si>
  <si>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</si>
  <si>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</si>
  <si>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</si>
  <si>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</si>
  <si>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</si>
  <si>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</si>
  <si>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</si>
  <si>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</si>
  <si>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</si>
  <si>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</si>
  <si>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</si>
  <si>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</si>
  <si>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</si>
  <si>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</si>
  <si>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</si>
  <si>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</si>
  <si>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</si>
  <si>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</si>
  <si>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</si>
  <si>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</si>
  <si>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</si>
  <si>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</si>
  <si>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</si>
  <si>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</si>
  <si>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</si>
  <si>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</si>
  <si>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</si>
  <si>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</si>
  <si>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</si>
  <si>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</si>
  <si>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</si>
  <si>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</si>
  <si>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</si>
  <si>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</si>
  <si>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</si>
  <si>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</si>
  <si>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</si>
  <si>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</si>
  <si>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</si>
  <si>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</si>
  <si>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</si>
  <si>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</si>
  <si>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</si>
  <si>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</si>
  <si>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</si>
  <si>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</si>
  <si>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</si>
  <si>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</si>
  <si>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</si>
  <si>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</si>
  <si>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</si>
  <si>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</si>
  <si>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</si>
  <si>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</si>
  <si>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</si>
  <si>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</si>
  <si>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</si>
  <si>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</si>
  <si>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</si>
  <si>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</si>
  <si>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</si>
  <si>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</si>
  <si>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</si>
  <si>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</si>
  <si>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</si>
  <si>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</si>
  <si>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</si>
  <si>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</si>
  <si>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</si>
  <si>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</si>
  <si>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</si>
  <si>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</si>
  <si>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</si>
  <si>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</si>
  <si>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</si>
  <si>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</si>
  <si>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</si>
  <si>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</si>
  <si>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</si>
  <si>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</si>
  <si>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</si>
  <si>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</si>
  <si>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</si>
  <si>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</si>
  <si>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</si>
  <si>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</si>
  <si>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</si>
  <si>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</si>
  <si>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</si>
  <si>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</si>
  <si>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</si>
  <si>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</si>
  <si>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</si>
  <si>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</si>
  <si>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</si>
  <si>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</si>
  <si>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</si>
  <si>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</si>
  <si>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</si>
  <si>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</si>
  <si>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</si>
  <si>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</si>
  <si>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</si>
  <si>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</si>
  <si>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</si>
  <si>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</si>
  <si>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</si>
  <si>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</si>
  <si>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</si>
  <si>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</si>
  <si>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</si>
  <si>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</si>
  <si>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</si>
  <si>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</si>
  <si>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</si>
  <si>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</si>
  <si>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</si>
  <si>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</si>
  <si>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</si>
  <si>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</si>
  <si>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</si>
  <si>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</si>
  <si>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</si>
  <si>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</si>
  <si>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</si>
  <si>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</si>
  <si>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</si>
  <si>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</si>
  <si>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</si>
  <si>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</si>
  <si>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</si>
  <si>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</si>
  <si>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</si>
  <si>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</si>
  <si>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</si>
  <si>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</si>
  <si>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</si>
  <si>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</si>
  <si>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</si>
  <si>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</si>
  <si>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</si>
  <si>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</si>
  <si>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</si>
  <si>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</si>
  <si>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</si>
  <si>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</si>
  <si>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</si>
  <si>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</si>
  <si>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</si>
  <si>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</si>
  <si>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</si>
  <si>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</si>
  <si>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</si>
  <si>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</si>
  <si>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</si>
  <si>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</si>
  <si>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</si>
  <si>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</si>
  <si>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</si>
  <si>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</si>
  <si>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</si>
  <si>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</si>
  <si>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</si>
  <si>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</si>
  <si>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</si>
  <si>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</si>
  <si>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</si>
  <si>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</si>
  <si>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</si>
  <si>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</si>
  <si>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</si>
  <si>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</si>
  <si>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</si>
  <si>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</si>
  <si>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</si>
  <si>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</si>
  <si>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</si>
  <si>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</si>
  <si>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</si>
  <si>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</si>
  <si>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</si>
  <si>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</si>
  <si>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</si>
  <si>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</si>
  <si>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</si>
  <si>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</si>
  <si>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</si>
  <si>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</si>
  <si>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</si>
  <si>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</si>
  <si>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</si>
  <si>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</si>
  <si>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</si>
  <si>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</si>
  <si>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</si>
  <si>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</si>
  <si>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</si>
  <si>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</si>
  <si>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</si>
  <si>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</si>
  <si>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</si>
  <si>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</si>
  <si>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</si>
  <si>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</si>
  <si>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</si>
  <si>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</si>
  <si>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</si>
  <si>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</si>
  <si>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</si>
  <si>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</si>
  <si>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</si>
  <si>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</si>
  <si>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</si>
  <si>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</si>
  <si>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</si>
  <si>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</si>
  <si>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</si>
  <si>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</si>
  <si>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</si>
  <si>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</si>
  <si>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</si>
  <si>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</si>
  <si>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</si>
  <si>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</si>
  <si>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</si>
  <si>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</si>
  <si>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</si>
  <si>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</si>
  <si>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</si>
  <si>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</si>
  <si>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</si>
  <si>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</si>
  <si>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</si>
  <si>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</si>
  <si>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</si>
  <si>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</si>
  <si>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</si>
  <si>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</si>
  <si>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</si>
  <si>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</si>
  <si>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</si>
  <si>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</si>
  <si>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</si>
  <si>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</si>
  <si>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</si>
  <si>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</si>
  <si>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</si>
  <si>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</si>
  <si>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</si>
  <si>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</si>
  <si>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</si>
  <si>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</si>
  <si>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</si>
  <si>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</si>
  <si>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</si>
  <si>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</si>
  <si>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</si>
  <si>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</si>
  <si>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</si>
  <si>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</si>
  <si>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</si>
  <si>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</si>
  <si>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</si>
  <si>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</si>
  <si>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</si>
  <si>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</si>
  <si>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</si>
  <si>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</si>
  <si>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</si>
  <si>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</si>
  <si>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</si>
  <si>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</si>
  <si>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</si>
  <si>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</si>
  <si>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</si>
  <si>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</si>
  <si>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</si>
  <si>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</si>
  <si>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</si>
  <si>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</si>
  <si>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</si>
  <si>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</si>
  <si>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</si>
  <si>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</si>
  <si>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</si>
  <si>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</si>
  <si>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</si>
  <si>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</si>
  <si>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</si>
  <si>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</si>
  <si>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</si>
  <si>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</si>
  <si>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</si>
  <si>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</si>
  <si>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</si>
  <si>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</si>
  <si>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</si>
  <si>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</si>
  <si>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</si>
  <si>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</si>
  <si>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</si>
  <si>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</si>
  <si>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</si>
  <si>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</si>
  <si>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</si>
  <si>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</si>
  <si>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</si>
  <si>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</si>
  <si>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</si>
  <si>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</si>
  <si>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</si>
  <si>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</si>
  <si>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</si>
  <si>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</si>
  <si>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</si>
  <si>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</si>
  <si>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</si>
  <si>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</si>
  <si>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</si>
  <si>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</si>
  <si>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</si>
  <si>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</si>
  <si>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</si>
  <si>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</si>
  <si>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</si>
  <si>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</si>
  <si>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</si>
  <si>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</si>
  <si>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</si>
  <si>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</si>
  <si>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</si>
  <si>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</si>
  <si>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</si>
  <si>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</si>
  <si>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</si>
  <si>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</si>
  <si>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</si>
  <si>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</si>
  <si>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</si>
  <si>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</si>
  <si>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</si>
  <si>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</si>
  <si>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</si>
  <si>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</si>
  <si>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</si>
  <si>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</si>
  <si>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</si>
  <si>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</si>
  <si>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</si>
  <si>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</si>
  <si>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</si>
  <si>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</si>
  <si>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</si>
  <si>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</si>
  <si>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</si>
  <si>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</si>
  <si>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</si>
  <si>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</si>
  <si>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</si>
  <si>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</si>
  <si>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</si>
  <si>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</si>
  <si>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</si>
  <si>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</si>
  <si>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</si>
  <si>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</si>
  <si>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</si>
  <si>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</si>
  <si>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</si>
  <si>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</si>
  <si>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</si>
  <si>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</si>
  <si>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</si>
  <si>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</si>
  <si>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</si>
  <si>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</si>
  <si>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</si>
  <si>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</si>
  <si>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</si>
  <si>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</si>
  <si>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</si>
  <si>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</si>
  <si>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</si>
  <si>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</si>
  <si>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</si>
  <si>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</si>
  <si>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</si>
  <si>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</si>
  <si>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</si>
  <si>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</si>
  <si>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</si>
  <si>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</si>
  <si>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</si>
  <si>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</si>
  <si>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</si>
  <si>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</si>
  <si>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</si>
  <si>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</si>
  <si>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</si>
  <si>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</si>
  <si>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</si>
  <si>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</si>
  <si>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</si>
  <si>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</si>
  <si>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</si>
  <si>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</si>
  <si>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</si>
  <si>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</si>
  <si>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</si>
  <si>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</si>
  <si>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</si>
  <si>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</si>
  <si>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</si>
  <si>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</si>
  <si>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</si>
  <si>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</si>
  <si>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</si>
  <si>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</si>
  <si>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</si>
  <si>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</si>
  <si>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</si>
  <si>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</si>
  <si>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</si>
  <si>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</si>
  <si>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</si>
  <si>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</si>
  <si>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</si>
  <si>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</si>
  <si>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</si>
  <si>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</si>
  <si>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</si>
  <si>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</si>
  <si>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</si>
  <si>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</si>
  <si>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</si>
  <si>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</si>
  <si>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</si>
  <si>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</si>
  <si>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</si>
  <si>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</si>
  <si>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</si>
  <si>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</si>
  <si>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</si>
  <si>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</si>
  <si>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</si>
  <si>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</si>
  <si>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</si>
  <si>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</si>
  <si>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</si>
  <si>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</si>
  <si>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</si>
  <si>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</si>
  <si>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</si>
  <si>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</si>
  <si>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</si>
  <si>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</si>
  <si>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</si>
  <si>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</si>
  <si>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</si>
  <si>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</si>
  <si>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</si>
  <si>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</si>
  <si>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</si>
  <si>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</si>
  <si>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</si>
  <si>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</si>
  <si>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</si>
  <si>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</si>
  <si>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</si>
  <si>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</si>
  <si>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</si>
  <si>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</si>
  <si>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</si>
  <si>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</si>
  <si>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</si>
  <si>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</si>
  <si>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</si>
  <si>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</si>
  <si>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</si>
  <si>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</si>
  <si>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</si>
  <si>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</si>
  <si>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</si>
  <si>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</si>
  <si>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</si>
  <si>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</si>
  <si>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</si>
  <si>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</si>
  <si>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</si>
  <si>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</si>
  <si>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</si>
  <si>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</si>
  <si>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</si>
  <si>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</si>
  <si>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</si>
  <si>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</si>
  <si>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</si>
  <si>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</si>
  <si>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</si>
  <si>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</si>
  <si>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</si>
  <si>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</si>
  <si>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</si>
  <si>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</si>
  <si>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</si>
  <si>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</si>
  <si>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</si>
  <si>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</si>
  <si>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</si>
  <si>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</si>
  <si>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</si>
  <si>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</si>
  <si>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</si>
  <si>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</si>
  <si>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</si>
  <si>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</si>
  <si>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</si>
  <si>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</si>
  <si>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</si>
  <si>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</si>
  <si>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</si>
  <si>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</si>
  <si>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</si>
  <si>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</si>
  <si>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</si>
  <si>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</si>
  <si>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</si>
  <si>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</si>
  <si>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</si>
  <si>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</si>
  <si>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</si>
  <si>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</si>
  <si>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</si>
  <si>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</si>
  <si>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</si>
  <si>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</si>
  <si>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</si>
  <si>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</si>
  <si>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</si>
  <si>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</si>
  <si>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</si>
  <si>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</si>
  <si>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</si>
  <si>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</si>
  <si>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</si>
  <si>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</si>
  <si>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</si>
  <si>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</si>
  <si>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</si>
  <si>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</si>
  <si>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</si>
  <si>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</si>
  <si>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</si>
  <si>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</si>
  <si>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</si>
  <si>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</si>
  <si>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</si>
  <si>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</si>
  <si>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</si>
  <si>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</si>
  <si>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</si>
  <si>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</si>
  <si>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</si>
  <si>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</si>
  <si>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</si>
  <si>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</si>
  <si>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</si>
  <si>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</si>
  <si>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</si>
  <si>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</si>
  <si>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</si>
  <si>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</si>
  <si>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</si>
  <si>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</si>
  <si>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</si>
  <si>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</si>
  <si>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</si>
  <si>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</si>
  <si>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</si>
  <si>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</si>
  <si>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</si>
  <si>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</si>
  <si>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</si>
  <si>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</si>
  <si>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</si>
  <si>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</si>
  <si>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</si>
  <si>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</si>
  <si>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</si>
  <si>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</si>
  <si>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</si>
  <si>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</si>
  <si>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</si>
  <si>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</si>
  <si>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</si>
  <si>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</si>
  <si>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</si>
  <si>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</si>
  <si>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</si>
  <si>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</si>
  <si>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</si>
  <si>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</si>
  <si>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</si>
  <si>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</si>
  <si>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</si>
  <si>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</si>
  <si>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</si>
  <si>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</si>
  <si>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</si>
  <si>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</si>
  <si>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</si>
  <si>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</si>
  <si>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</si>
  <si>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</si>
  <si>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</si>
  <si>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</si>
  <si>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</si>
  <si>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</si>
  <si>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</si>
  <si>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</si>
  <si>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</si>
  <si>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</si>
  <si>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</si>
  <si>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</si>
  <si>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</si>
  <si>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</si>
  <si>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</si>
  <si>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</si>
  <si>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</si>
  <si>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</si>
  <si>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</si>
  <si>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</si>
  <si>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</si>
  <si>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</si>
  <si>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</si>
  <si>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</si>
  <si>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</si>
  <si>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</si>
  <si>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</si>
  <si>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</si>
  <si>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</si>
  <si>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</si>
  <si>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</si>
  <si>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</si>
  <si>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</si>
  <si>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</si>
  <si>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</si>
  <si>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</si>
  <si>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</si>
  <si>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</si>
  <si>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</si>
  <si>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</si>
  <si>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</si>
  <si>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</si>
  <si>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</si>
  <si>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</si>
  <si>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</si>
  <si>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</si>
  <si>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</si>
  <si>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</si>
  <si>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</si>
  <si>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</si>
  <si>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</si>
  <si>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</si>
  <si>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</si>
  <si>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</si>
  <si>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</si>
  <si>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</si>
  <si>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</si>
  <si>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</si>
  <si>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</si>
  <si>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</si>
  <si>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</si>
  <si>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</si>
  <si>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</si>
  <si>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</si>
  <si>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</si>
  <si>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</si>
  <si>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</si>
  <si>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</si>
  <si>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</si>
  <si>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</si>
  <si>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</si>
  <si>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</si>
  <si>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</si>
  <si>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</si>
  <si>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</si>
  <si>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</si>
  <si>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</si>
  <si>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</si>
  <si>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</si>
  <si>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</si>
  <si>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</si>
  <si>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</si>
  <si>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</si>
  <si>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</si>
  <si>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</si>
  <si>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</si>
  <si>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</si>
  <si>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</si>
  <si>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</si>
  <si>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</si>
  <si>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</si>
  <si>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</si>
  <si>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</si>
  <si>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</si>
  <si>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</si>
  <si>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</si>
  <si>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</si>
  <si>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</si>
  <si>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</si>
  <si>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</si>
  <si>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</si>
  <si>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</si>
  <si>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</si>
  <si>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</si>
  <si>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</si>
  <si>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</si>
  <si>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</si>
  <si>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</si>
  <si>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</si>
  <si>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</si>
  <si>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</si>
  <si>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</si>
  <si>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</si>
  <si>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</si>
  <si>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</si>
  <si>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</si>
  <si>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</si>
  <si>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</si>
  <si>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</si>
  <si>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</si>
  <si>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</si>
  <si>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</si>
  <si>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</si>
  <si>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</si>
  <si>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</si>
  <si>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</si>
  <si>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</si>
  <si>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</si>
  <si>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</si>
  <si>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</si>
  <si>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</si>
  <si>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</si>
  <si>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</si>
  <si>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</si>
  <si>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</si>
  <si>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</si>
  <si>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</si>
  <si>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</si>
  <si>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</si>
  <si>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</si>
  <si>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</si>
  <si>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</si>
  <si>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</si>
  <si>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</si>
  <si>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</si>
  <si>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</si>
  <si>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</si>
  <si>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</si>
  <si>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</si>
  <si>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</si>
  <si>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</si>
  <si>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</si>
  <si>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</si>
  <si>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</si>
  <si>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</si>
  <si>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</si>
  <si>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</si>
  <si>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</si>
  <si>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</si>
  <si>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</si>
  <si>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</si>
  <si>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</si>
  <si>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</si>
  <si>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</si>
  <si>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</si>
  <si>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</si>
  <si>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</si>
  <si>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</si>
  <si>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</si>
  <si>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</si>
  <si>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</si>
  <si>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</si>
  <si>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</si>
  <si>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</si>
  <si>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</si>
  <si>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</si>
  <si>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</si>
  <si>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</si>
  <si>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</si>
  <si>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</si>
  <si>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</si>
  <si>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</si>
  <si>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</si>
  <si>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</si>
  <si>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</si>
  <si>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</si>
  <si>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</si>
  <si>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</si>
  <si>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</si>
  <si>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</si>
  <si>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</si>
  <si>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</si>
  <si>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</si>
  <si>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</si>
  <si>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</si>
  <si>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</si>
  <si>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</si>
  <si>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</si>
  <si>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</si>
  <si>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</si>
  <si>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</si>
  <si>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</si>
  <si>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</si>
  <si>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</si>
  <si>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</si>
  <si>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</si>
  <si>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</si>
  <si>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</si>
  <si>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</si>
  <si>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</si>
  <si>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</si>
  <si>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</si>
  <si>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</si>
  <si>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</si>
  <si>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</si>
  <si>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</si>
  <si>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</si>
  <si>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</si>
  <si>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</si>
  <si>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</si>
  <si>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</si>
  <si>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</si>
  <si>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</si>
  <si>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</si>
  <si>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</si>
  <si>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</si>
  <si>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</si>
  <si>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</si>
  <si>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</si>
  <si>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</si>
  <si>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</si>
  <si>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</si>
  <si>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</si>
  <si>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</si>
  <si>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</si>
  <si>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</si>
  <si>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</si>
  <si>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</si>
  <si>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</si>
  <si>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</si>
  <si>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</si>
  <si>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</si>
  <si>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</si>
  <si>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</si>
  <si>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</si>
  <si>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</si>
  <si>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</si>
  <si>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</si>
  <si>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</si>
  <si>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</si>
  <si>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</si>
  <si>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</si>
  <si>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</si>
  <si>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</si>
  <si>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</si>
  <si>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</si>
  <si>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</si>
  <si>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</si>
  <si>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</si>
  <si>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</si>
  <si>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</si>
  <si>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</si>
  <si>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</si>
  <si>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</si>
  <si>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</si>
  <si>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</si>
  <si>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</si>
  <si>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</si>
  <si>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</si>
  <si>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</si>
  <si>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</si>
  <si>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</si>
  <si>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</si>
  <si>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</si>
  <si>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</si>
  <si>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</si>
  <si>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</si>
  <si>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</si>
  <si>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</si>
  <si>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</si>
  <si>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</si>
  <si>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</si>
  <si>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</si>
  <si>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</si>
  <si>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</si>
  <si>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</si>
  <si>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</si>
  <si>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</si>
  <si>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</si>
  <si>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</si>
  <si>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</si>
  <si>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</si>
  <si>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</si>
  <si>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</si>
  <si>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</si>
  <si>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</si>
  <si>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</si>
  <si>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</si>
  <si>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</si>
  <si>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</si>
  <si>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</si>
  <si>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</si>
  <si>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</si>
  <si>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</si>
  <si>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</si>
  <si>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</si>
  <si>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</si>
  <si>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</si>
  <si>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</si>
  <si>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</si>
  <si>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</si>
  <si>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</si>
  <si>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</si>
  <si>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</si>
  <si>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</si>
  <si>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</si>
  <si>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</si>
  <si>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</si>
  <si>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</si>
  <si>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</si>
  <si>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</si>
  <si>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</si>
  <si>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</si>
  <si>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</si>
  <si>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</si>
  <si>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</si>
  <si>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</si>
  <si>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</si>
  <si>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</si>
  <si>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</si>
  <si>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</si>
  <si>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</si>
  <si>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</si>
  <si>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</si>
  <si>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</si>
  <si>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</si>
  <si>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</si>
  <si>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</si>
  <si>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</si>
  <si>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</si>
  <si>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</si>
  <si>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</si>
  <si>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</si>
  <si>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</si>
  <si>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</si>
  <si>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</si>
  <si>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</si>
  <si>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</si>
  <si>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</si>
  <si>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</si>
  <si>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</si>
  <si>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</si>
  <si>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</si>
  <si>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</si>
  <si>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</si>
  <si>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</si>
  <si>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</si>
  <si>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</si>
  <si>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</si>
  <si>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</si>
  <si>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</si>
  <si>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</si>
  <si>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</si>
  <si>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</si>
  <si>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</si>
  <si>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</si>
  <si>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</si>
  <si>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</si>
  <si>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</si>
  <si>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</si>
  <si>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</si>
  <si>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</si>
  <si>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</si>
  <si>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</si>
  <si>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</si>
  <si>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</si>
  <si>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</si>
  <si>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</si>
  <si>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</si>
  <si>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</si>
  <si>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</si>
  <si>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</si>
  <si>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</si>
  <si>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</si>
  <si>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</si>
  <si>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</si>
  <si>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</si>
  <si>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</si>
  <si>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</si>
  <si>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</si>
  <si>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</si>
  <si>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</si>
  <si>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</si>
  <si>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</si>
  <si>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</si>
  <si>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</si>
  <si>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</si>
  <si>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</si>
  <si>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</si>
  <si>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</si>
  <si>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</si>
  <si>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</si>
  <si>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</si>
  <si>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</si>
  <si>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</si>
  <si>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</si>
  <si>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</si>
  <si>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</si>
  <si>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</si>
  <si>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</si>
  <si>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</si>
  <si>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</si>
  <si>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</si>
  <si>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</si>
  <si>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</si>
  <si>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</si>
  <si>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</si>
  <si>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</si>
  <si>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</si>
  <si>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</si>
  <si>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</si>
  <si>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</si>
  <si>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</si>
  <si>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</si>
  <si>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</si>
  <si>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</si>
  <si>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</si>
  <si>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</si>
  <si>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</si>
  <si>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</si>
  <si>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</si>
  <si>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</si>
  <si>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</si>
  <si>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</si>
  <si>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</si>
  <si>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</si>
  <si>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</si>
  <si>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</si>
  <si>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</si>
  <si>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</si>
  <si>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</si>
  <si>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</si>
  <si>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</si>
  <si>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</si>
  <si>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</si>
  <si>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</si>
  <si>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</si>
  <si>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</si>
  <si>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</si>
  <si>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</si>
  <si>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</si>
  <si>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</si>
  <si>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</si>
  <si>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</si>
  <si>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</si>
  <si>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</si>
  <si>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</si>
  <si>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</si>
  <si>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</si>
  <si>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</si>
  <si>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</si>
  <si>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</si>
  <si>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</si>
  <si>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</si>
  <si>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</si>
  <si>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</si>
  <si>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</si>
  <si>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</si>
  <si>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</si>
  <si>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</si>
  <si>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</si>
  <si>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</si>
  <si>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</si>
  <si>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</si>
  <si>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</si>
  <si>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</si>
  <si>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</si>
  <si>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</si>
  <si>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</si>
  <si>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</si>
  <si>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</si>
  <si>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</si>
  <si>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</si>
  <si>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</si>
  <si>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</si>
  <si>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</si>
  <si>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</si>
  <si>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</si>
  <si>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</si>
  <si>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</si>
  <si>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</si>
  <si>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</si>
  <si>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</si>
  <si>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</si>
  <si>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</si>
  <si>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</si>
  <si>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</si>
  <si>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</si>
  <si>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</si>
  <si>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</si>
  <si>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</si>
  <si>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</si>
  <si>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</si>
  <si>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</si>
  <si>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</si>
  <si>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</si>
  <si>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</si>
  <si>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</si>
  <si>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</si>
  <si>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</si>
  <si>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</si>
  <si>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</si>
  <si>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</si>
  <si>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</si>
  <si>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</si>
  <si>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</si>
  <si>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</si>
  <si>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</si>
  <si>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</si>
  <si>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</si>
  <si>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</si>
  <si>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</si>
  <si>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</si>
  <si>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</si>
  <si>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</si>
  <si>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</si>
  <si>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</si>
  <si>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</si>
  <si>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</si>
  <si>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</si>
  <si>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</si>
  <si>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</si>
  <si>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</si>
  <si>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</si>
  <si>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</si>
  <si>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</si>
  <si>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</si>
  <si>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</si>
  <si>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</si>
  <si>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</si>
  <si>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</si>
  <si>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</si>
  <si>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</si>
  <si>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</si>
  <si>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</si>
  <si>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</si>
  <si>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</si>
  <si>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</si>
  <si>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</si>
  <si>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</si>
  <si>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</si>
  <si>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</si>
  <si>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</si>
  <si>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</si>
  <si>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</si>
  <si>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</si>
  <si>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</si>
  <si>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</si>
  <si>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</si>
  <si>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</si>
  <si>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</si>
  <si>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</si>
  <si>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</si>
  <si>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</si>
  <si>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</si>
  <si>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</si>
  <si>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</si>
  <si>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</si>
  <si>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</si>
  <si>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</si>
  <si>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</si>
  <si>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</si>
  <si>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</si>
  <si>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</si>
  <si>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</si>
  <si>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</si>
  <si>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</si>
  <si>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</si>
  <si>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</si>
  <si>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</si>
  <si>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</si>
  <si>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</si>
  <si>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</si>
  <si>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</si>
  <si>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</si>
  <si>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</si>
  <si>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</si>
  <si>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</si>
  <si>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</si>
  <si>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</si>
  <si>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</si>
  <si>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</si>
  <si>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</si>
  <si>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</si>
  <si>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</si>
  <si>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</si>
  <si>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</si>
  <si>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</si>
  <si>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</si>
  <si>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</si>
  <si>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</si>
  <si>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</si>
  <si>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</si>
  <si>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</si>
  <si>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</si>
  <si>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</si>
  <si>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</si>
  <si>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</si>
  <si>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</si>
  <si>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</si>
  <si>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</si>
  <si>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</si>
  <si>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</si>
  <si>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</si>
  <si>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</si>
  <si>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</si>
  <si>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</si>
  <si>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</si>
  <si>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</si>
  <si>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</si>
  <si>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</si>
  <si>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</si>
  <si>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</si>
  <si>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</si>
  <si>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</si>
  <si>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</si>
  <si>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</si>
  <si>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</si>
  <si>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</si>
  <si>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</si>
  <si>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</si>
  <si>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</si>
  <si>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</si>
  <si>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</si>
  <si>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</si>
  <si>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</si>
  <si>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</si>
  <si>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</si>
  <si>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</si>
  <si>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</si>
  <si>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</si>
  <si>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</si>
  <si>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</si>
  <si>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</si>
  <si>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</si>
  <si>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</si>
  <si>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</si>
  <si>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</si>
  <si>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</si>
  <si>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</si>
  <si>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</si>
  <si>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</si>
  <si>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</si>
  <si>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</si>
  <si>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</si>
  <si>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</si>
  <si>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</si>
  <si>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</si>
  <si>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</si>
  <si>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</si>
  <si>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</si>
  <si>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</si>
  <si>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</si>
  <si>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</si>
  <si>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</si>
  <si>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</si>
  <si>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</si>
  <si>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</si>
  <si>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</si>
  <si>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</si>
  <si>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</si>
  <si>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</si>
  <si>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</si>
  <si>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</si>
  <si>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</si>
  <si>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</si>
  <si>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</si>
  <si>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</si>
  <si>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</si>
  <si>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</si>
  <si>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</si>
  <si>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</si>
  <si>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</si>
  <si>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</si>
  <si>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</si>
  <si>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</si>
  <si>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</si>
  <si>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</si>
  <si>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</si>
  <si>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</si>
  <si>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</si>
  <si>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</si>
  <si>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</si>
  <si>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</si>
  <si>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</si>
  <si>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</si>
  <si>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</si>
  <si>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</si>
  <si>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</si>
  <si>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</si>
  <si>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</si>
  <si>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</si>
  <si>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</si>
  <si>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</si>
  <si>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</si>
  <si>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</si>
  <si>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</si>
  <si>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</si>
  <si>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</si>
  <si>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</si>
  <si>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</si>
  <si>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</si>
  <si>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</si>
  <si>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</si>
  <si>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</si>
  <si>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</si>
  <si>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</si>
  <si>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</si>
  <si>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</si>
  <si>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</si>
  <si>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</si>
  <si>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</si>
  <si>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</si>
  <si>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</si>
  <si>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</si>
  <si>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</si>
  <si>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</si>
  <si>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</si>
  <si>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</si>
  <si>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</si>
  <si>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</si>
  <si>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</si>
  <si>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</si>
  <si>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</si>
  <si>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</si>
  <si>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</si>
  <si>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</si>
  <si>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</si>
  <si>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</si>
  <si>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</si>
  <si>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</si>
  <si>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</si>
  <si>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</si>
  <si>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</si>
  <si>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</si>
  <si>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</si>
  <si>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</si>
  <si>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</si>
  <si>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</si>
  <si>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</si>
  <si>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</si>
  <si>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</si>
  <si>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</si>
  <si>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</si>
  <si>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</si>
  <si>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</si>
  <si>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</si>
  <si>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</si>
  <si>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</si>
  <si>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</si>
  <si>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</si>
  <si>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</si>
  <si>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</si>
  <si>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</si>
  <si>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</si>
  <si>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</si>
  <si>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</si>
  <si>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</si>
  <si>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</si>
  <si>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</si>
  <si>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</si>
  <si>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</si>
  <si>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</si>
  <si>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</si>
  <si>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</si>
  <si>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</si>
  <si>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</si>
  <si>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</si>
  <si>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</si>
  <si>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</si>
  <si>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</si>
  <si>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</si>
  <si>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</si>
  <si>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</si>
  <si>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</si>
  <si>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</si>
  <si>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</si>
  <si>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</si>
  <si>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</si>
  <si>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</si>
  <si>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</si>
  <si>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</si>
  <si>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</si>
  <si>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</si>
  <si>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</si>
  <si>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</si>
  <si>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</si>
  <si>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</si>
  <si>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</si>
  <si>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</si>
  <si>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</si>
  <si>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</si>
  <si>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</si>
  <si>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</si>
  <si>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</si>
  <si>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</si>
  <si>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</si>
  <si>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</si>
  <si>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</si>
  <si>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</si>
  <si>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</si>
  <si>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</si>
  <si>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</si>
  <si>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</si>
  <si>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</si>
  <si>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</si>
  <si>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</si>
  <si>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</si>
  <si>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</si>
  <si>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</si>
  <si>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</si>
  <si>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</si>
  <si>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</si>
  <si>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</si>
  <si>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</si>
  <si>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</si>
  <si>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</si>
  <si>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</si>
  <si>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</si>
  <si>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</si>
  <si>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</si>
  <si>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</si>
  <si>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</si>
  <si>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</si>
  <si>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</si>
  <si>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</si>
  <si>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</si>
  <si>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</si>
  <si>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</si>
  <si>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</si>
  <si>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</si>
  <si>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</si>
  <si>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</si>
  <si>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</si>
  <si>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</si>
  <si>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</si>
  <si>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</si>
  <si>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</si>
  <si>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</si>
  <si>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</si>
  <si>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</si>
  <si>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</si>
  <si>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</si>
  <si>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</si>
  <si>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</si>
  <si>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</si>
  <si>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</si>
  <si>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</si>
  <si>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</si>
  <si>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</si>
  <si>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</si>
  <si>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</si>
  <si>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</si>
  <si>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</si>
  <si>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</si>
  <si>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</si>
  <si>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</si>
  <si>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</si>
  <si>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</si>
  <si>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</si>
  <si>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</si>
  <si>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</si>
  <si>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</si>
  <si>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</si>
  <si>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</si>
  <si>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</si>
  <si>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</si>
  <si>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</si>
  <si>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</si>
  <si>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</si>
  <si>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</si>
  <si>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</si>
  <si>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</si>
  <si>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</si>
  <si>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</si>
  <si>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</si>
  <si>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</si>
  <si>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</si>
  <si>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</si>
  <si>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</si>
  <si>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</si>
  <si>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</si>
  <si>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</si>
  <si>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</si>
  <si>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</si>
  <si>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</si>
  <si>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</si>
  <si>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</si>
  <si>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</si>
  <si>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</si>
  <si>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</si>
  <si>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</si>
  <si>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</si>
  <si>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</si>
  <si>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</si>
  <si>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</si>
  <si>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</si>
  <si>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</si>
  <si>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</si>
  <si>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</si>
  <si>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</si>
  <si>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</si>
  <si>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</si>
  <si>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</si>
  <si>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</si>
  <si>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</si>
  <si>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</si>
  <si>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</si>
  <si>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</si>
  <si>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</si>
  <si>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</si>
  <si>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</si>
  <si>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</si>
  <si>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</si>
  <si>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</si>
  <si>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</si>
  <si>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</si>
  <si>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</si>
  <si>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</si>
  <si>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</si>
  <si>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</si>
  <si>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</si>
  <si>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</si>
  <si>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</si>
  <si>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</si>
  <si>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</si>
  <si>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</si>
  <si>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</si>
  <si>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</si>
  <si>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</si>
  <si>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</si>
  <si>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</si>
  <si>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</si>
  <si>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</si>
  <si>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</si>
  <si>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</si>
  <si>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</si>
  <si>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</si>
  <si>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</si>
  <si>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</si>
  <si>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</si>
  <si>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</si>
  <si>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</si>
  <si>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</si>
  <si>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</si>
  <si>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</si>
  <si>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</si>
  <si>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</si>
  <si>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</si>
  <si>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</si>
  <si>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</si>
  <si>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</si>
  <si>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</si>
  <si>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</si>
  <si>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</si>
  <si>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</si>
  <si>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</si>
  <si>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</si>
  <si>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</si>
  <si>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</si>
  <si>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</si>
  <si>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</si>
  <si>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</si>
  <si>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</si>
  <si>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</si>
  <si>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</si>
  <si>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</si>
  <si>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</si>
  <si>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</si>
  <si>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</si>
  <si>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</si>
  <si>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</si>
  <si>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</si>
  <si>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</si>
  <si>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</si>
  <si>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</si>
  <si>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</si>
  <si>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</si>
  <si>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</si>
  <si>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</si>
  <si>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</si>
  <si>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</si>
  <si>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</si>
  <si>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</si>
  <si>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</si>
  <si>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</si>
  <si>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</si>
  <si>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</si>
  <si>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</si>
  <si>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</si>
  <si>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</si>
  <si>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</si>
  <si>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</si>
  <si>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</si>
  <si>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</si>
  <si>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</si>
  <si>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</si>
  <si>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</si>
  <si>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</si>
  <si>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</si>
  <si>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</si>
  <si>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</si>
  <si>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</si>
  <si>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</si>
  <si>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</si>
  <si>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</si>
  <si>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</si>
  <si>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</si>
  <si>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</si>
  <si>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</si>
  <si>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</si>
  <si>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</si>
  <si>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</si>
  <si>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</si>
  <si>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</si>
  <si>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</si>
  <si>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</si>
  <si>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</si>
  <si>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</si>
  <si>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</si>
  <si>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</si>
  <si>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</si>
  <si>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</si>
  <si>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</si>
  <si>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</si>
  <si>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</si>
  <si>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</si>
  <si>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</si>
  <si>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</si>
  <si>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</si>
  <si>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</si>
  <si>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</si>
  <si>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</si>
  <si>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</si>
  <si>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</si>
  <si>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</si>
  <si>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</si>
  <si>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</si>
  <si>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</si>
  <si>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</si>
  <si>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</si>
  <si>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</si>
  <si>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</si>
  <si>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</si>
  <si>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</si>
  <si>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</si>
  <si>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</si>
  <si>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</si>
  <si>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</si>
  <si>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</si>
  <si>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</si>
  <si>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</si>
  <si>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</si>
  <si>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</si>
  <si>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</si>
  <si>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</si>
  <si>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</si>
  <si>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</si>
  <si>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</si>
  <si>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</si>
  <si>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</si>
  <si>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</si>
  <si>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</si>
  <si>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</si>
  <si>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</si>
  <si>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</si>
  <si>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</si>
  <si>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</si>
  <si>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</si>
  <si>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</si>
  <si>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</si>
  <si>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</si>
  <si>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</si>
  <si>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</si>
  <si>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</si>
  <si>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</si>
  <si>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</si>
  <si>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</si>
  <si>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</si>
  <si>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</si>
  <si>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</si>
  <si>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</si>
  <si>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</si>
  <si>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</si>
  <si>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</si>
  <si>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</si>
  <si>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</si>
  <si>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</si>
  <si>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</si>
  <si>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</si>
  <si>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</si>
  <si>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</si>
  <si>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</si>
  <si>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</si>
  <si>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</si>
  <si>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</si>
  <si>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</si>
  <si>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</si>
  <si>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</si>
  <si>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</si>
  <si>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</si>
  <si>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</si>
  <si>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</si>
  <si>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</si>
  <si>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</si>
  <si>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</si>
  <si>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</si>
  <si>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</si>
  <si>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</si>
  <si>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</si>
  <si>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</si>
  <si>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</si>
  <si>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</si>
  <si>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</si>
  <si>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</si>
  <si>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</si>
  <si>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</si>
  <si>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</si>
  <si>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</si>
  <si>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</si>
  <si>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</si>
  <si>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</si>
  <si>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</si>
  <si>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</si>
  <si>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</si>
  <si>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</si>
  <si>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</si>
  <si>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</si>
  <si>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</si>
  <si>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</si>
  <si>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</si>
  <si>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</si>
  <si>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</si>
  <si>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</si>
  <si>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</si>
  <si>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</si>
  <si>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</si>
  <si>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</si>
  <si>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</si>
  <si>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</si>
  <si>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</si>
  <si>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</si>
  <si>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</si>
  <si>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</si>
  <si>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</si>
  <si>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</si>
  <si>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</si>
  <si>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</si>
  <si>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</si>
  <si>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</si>
  <si>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</si>
  <si>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</si>
  <si>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</si>
  <si>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</si>
  <si>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</si>
  <si>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</si>
  <si>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</si>
  <si>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</si>
  <si>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</si>
  <si>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</si>
  <si>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</si>
  <si>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</si>
  <si>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</si>
  <si>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</si>
  <si>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</si>
  <si>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</si>
  <si>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</si>
  <si>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</si>
  <si>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</si>
  <si>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</si>
  <si>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</si>
  <si>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</si>
  <si>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</si>
  <si>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</si>
  <si>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</si>
  <si>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</si>
  <si>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</si>
  <si>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</si>
  <si>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</si>
  <si>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</si>
  <si>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</si>
  <si>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</si>
  <si>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</si>
  <si>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</si>
  <si>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</si>
  <si>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</si>
  <si>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</si>
  <si>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</si>
  <si>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</si>
  <si>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</si>
  <si>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</si>
  <si>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</si>
  <si>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</si>
  <si>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</si>
  <si>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</si>
  <si>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</si>
  <si>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</si>
  <si>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</si>
  <si>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</si>
  <si>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</si>
  <si>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</si>
  <si>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</si>
  <si>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</si>
  <si>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</si>
  <si>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</si>
  <si>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</si>
  <si>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</si>
  <si>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</si>
  <si>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</si>
  <si>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</si>
  <si>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</si>
  <si>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</si>
  <si>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</si>
  <si>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</si>
  <si>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</si>
  <si>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</si>
  <si>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</si>
  <si>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</si>
  <si>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</si>
  <si>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</si>
  <si>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</si>
  <si>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</si>
  <si>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</si>
  <si>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</si>
  <si>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</si>
  <si>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</si>
  <si>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</si>
  <si>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</si>
  <si>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</si>
  <si>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</si>
  <si>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</si>
  <si>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</si>
  <si>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</si>
  <si>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</si>
  <si>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</si>
  <si>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</si>
  <si>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</si>
  <si>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</si>
  <si>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</si>
  <si>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</si>
  <si>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</si>
  <si>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</si>
  <si>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</si>
  <si>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</si>
  <si>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</si>
  <si>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</si>
  <si>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</si>
  <si>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</si>
  <si>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</si>
  <si>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</si>
  <si>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</si>
  <si>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</si>
  <si>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</si>
  <si>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</si>
  <si>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</si>
  <si>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</si>
  <si>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</si>
  <si>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</si>
  <si>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</si>
  <si>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</si>
  <si>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</si>
  <si>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</si>
  <si>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</si>
  <si>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</si>
  <si>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</si>
  <si>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</si>
  <si>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</si>
  <si>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</si>
  <si>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</si>
  <si>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</si>
  <si>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</si>
  <si>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</si>
  <si>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</si>
  <si>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</si>
  <si>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</si>
  <si>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</si>
  <si>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</si>
  <si>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</si>
  <si>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</si>
  <si>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</si>
  <si>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</si>
  <si>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</si>
  <si>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</si>
  <si>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</si>
  <si>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</si>
  <si>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</si>
  <si>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</si>
  <si>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</si>
  <si>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</si>
  <si>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</si>
  <si>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</si>
  <si>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</si>
  <si>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</si>
  <si>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</si>
  <si>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</si>
  <si>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</si>
  <si>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</si>
  <si>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</si>
  <si>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</si>
  <si>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</si>
  <si>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</si>
  <si>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</si>
  <si>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</si>
  <si>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</si>
  <si>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</si>
  <si>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</si>
  <si>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</si>
  <si>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</si>
  <si>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</si>
  <si>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</si>
  <si>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</si>
  <si>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</si>
  <si>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</si>
  <si>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</si>
  <si>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</si>
  <si>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</si>
  <si>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</si>
  <si>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</si>
  <si>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</si>
  <si>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</si>
  <si>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</si>
  <si>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</si>
  <si>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</si>
  <si>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</si>
  <si>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</si>
  <si>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</si>
  <si>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</si>
  <si>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</si>
  <si>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</si>
  <si>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</si>
  <si>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</si>
  <si>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</si>
  <si>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</si>
  <si>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</si>
  <si>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</si>
  <si>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</si>
  <si>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</si>
  <si>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</si>
  <si>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</si>
  <si>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</si>
  <si>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</si>
  <si>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</si>
  <si>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</si>
  <si>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</si>
  <si>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</si>
  <si>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</si>
  <si>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</si>
  <si>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</si>
  <si>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</si>
  <si>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</si>
  <si>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</si>
  <si>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</si>
  <si>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</si>
  <si>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</si>
  <si>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</si>
  <si>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</si>
  <si>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</si>
  <si>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</si>
  <si>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</si>
  <si>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</si>
  <si>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</si>
  <si>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</si>
  <si>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</si>
  <si>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</si>
  <si>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</si>
  <si>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</si>
  <si>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</si>
  <si>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</si>
  <si>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</si>
  <si>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</si>
  <si>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</si>
  <si>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</si>
  <si>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</si>
  <si>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</si>
  <si>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</si>
  <si>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</si>
  <si>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</si>
  <si>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</si>
  <si>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</si>
  <si>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</si>
  <si>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</si>
  <si>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</si>
  <si>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</si>
  <si>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</si>
  <si>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</si>
  <si>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</si>
  <si>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</si>
  <si>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</si>
  <si>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</si>
  <si>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</si>
  <si>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</si>
  <si>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</si>
  <si>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</si>
  <si>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</si>
  <si>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</si>
  <si>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</si>
  <si>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</si>
  <si>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</si>
  <si>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</si>
  <si>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</si>
  <si>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</si>
  <si>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</si>
  <si>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</si>
  <si>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</si>
  <si>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</si>
  <si>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</si>
  <si>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</si>
  <si>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</si>
  <si>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</si>
  <si>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</si>
  <si>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</si>
  <si>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</si>
  <si>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</si>
  <si>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</si>
  <si>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</si>
  <si>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</si>
  <si>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</si>
  <si>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</si>
  <si>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</si>
  <si>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</si>
  <si>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</si>
  <si>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</si>
  <si>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</si>
  <si>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</si>
  <si>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</si>
  <si>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</si>
  <si>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</si>
  <si>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</si>
  <si>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</si>
  <si>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</si>
  <si>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</si>
  <si>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</si>
  <si>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</si>
  <si>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</si>
  <si>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</si>
  <si>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</si>
  <si>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</si>
  <si>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</si>
  <si>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</si>
  <si>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</si>
  <si>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</si>
  <si>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</si>
  <si>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</si>
  <si>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</si>
  <si>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</si>
  <si>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</si>
  <si>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</si>
  <si>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</si>
  <si>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</si>
  <si>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</si>
  <si>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</si>
  <si>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</si>
  <si>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</si>
  <si>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</si>
  <si>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</si>
  <si>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</si>
  <si>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</si>
  <si>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</si>
  <si>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</si>
  <si>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</si>
  <si>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</si>
  <si>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</si>
  <si>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</si>
  <si>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</si>
  <si>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</si>
  <si>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</si>
  <si>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</si>
  <si>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</si>
  <si>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</si>
  <si>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</si>
  <si>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</si>
  <si>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</si>
  <si>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</si>
  <si>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</si>
  <si>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</si>
  <si>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</si>
  <si>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</si>
  <si>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</si>
  <si>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</si>
  <si>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</si>
  <si>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</si>
  <si>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</si>
  <si>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</si>
  <si>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</si>
  <si>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</si>
  <si>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</si>
  <si>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</si>
  <si>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</si>
  <si>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</si>
  <si>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</si>
  <si>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</si>
  <si>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</si>
  <si>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</si>
  <si>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</si>
  <si>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</si>
  <si>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</si>
  <si>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</si>
  <si>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</si>
  <si>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</si>
  <si>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</si>
  <si>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</si>
  <si>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</si>
  <si>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</si>
  <si>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</si>
  <si>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</si>
  <si>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</si>
  <si>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</si>
  <si>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</si>
  <si>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</si>
  <si>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</si>
  <si>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</si>
  <si>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</si>
  <si>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</si>
  <si>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</si>
  <si>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</si>
  <si>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</si>
  <si>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</si>
  <si>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</si>
  <si>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</si>
  <si>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</si>
  <si>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</si>
  <si>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</si>
  <si>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</si>
  <si>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</si>
  <si>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</si>
  <si>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</si>
  <si>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</si>
  <si>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</si>
  <si>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</si>
  <si>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</si>
  <si>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</si>
  <si>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</si>
  <si>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</si>
  <si>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</si>
  <si>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</si>
  <si>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</si>
  <si>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</si>
  <si>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</si>
  <si>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</si>
  <si>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</si>
  <si>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</si>
  <si>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</si>
  <si>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</si>
  <si>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</si>
  <si>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</si>
  <si>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</si>
  <si>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</si>
  <si>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</si>
  <si>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</si>
  <si>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</si>
  <si>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</si>
  <si>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</si>
  <si>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</si>
  <si>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</si>
  <si>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</si>
  <si>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</si>
  <si>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</si>
  <si>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</si>
  <si>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</si>
  <si>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</si>
  <si>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</si>
  <si>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</si>
  <si>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</si>
  <si>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</si>
  <si>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</si>
  <si>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</si>
  <si>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</si>
  <si>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</si>
  <si>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</si>
  <si>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</si>
  <si>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</si>
  <si>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</si>
  <si>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</si>
  <si>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</si>
  <si>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</si>
  <si>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</si>
  <si>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</si>
  <si>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</si>
  <si>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</si>
  <si>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</si>
  <si>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</si>
  <si>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</si>
  <si>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</si>
  <si>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</si>
  <si>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</si>
  <si>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</si>
  <si>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</si>
  <si>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</si>
  <si>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</si>
  <si>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</si>
  <si>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</si>
  <si>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</si>
  <si>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</si>
  <si>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</si>
  <si>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</si>
  <si>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</si>
  <si>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</si>
  <si>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</si>
  <si>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</si>
  <si>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</si>
  <si>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</si>
  <si>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</si>
  <si>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</si>
  <si>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</si>
  <si>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</si>
  <si>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</si>
  <si>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</si>
  <si>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</si>
  <si>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</si>
  <si>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</si>
  <si>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</si>
  <si>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</si>
  <si>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</si>
  <si>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</si>
  <si>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</si>
  <si>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</si>
  <si>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</si>
  <si>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</si>
  <si>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</si>
  <si>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</si>
  <si>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</si>
  <si>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</si>
  <si>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</si>
  <si>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</si>
  <si>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</si>
  <si>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</si>
  <si>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</si>
  <si>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</si>
  <si>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</si>
  <si>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</si>
  <si>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</si>
  <si>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</si>
  <si>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</si>
  <si>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</si>
  <si>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</si>
  <si>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</si>
  <si>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</si>
  <si>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</si>
  <si>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</si>
  <si>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</si>
  <si>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</si>
  <si>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</si>
  <si>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</si>
  <si>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</si>
  <si>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</si>
  <si>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</si>
  <si>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</si>
  <si>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</si>
  <si>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</si>
  <si>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</si>
  <si>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</si>
  <si>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</si>
  <si>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</si>
  <si>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</si>
  <si>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</si>
  <si>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</si>
  <si>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</si>
  <si>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</si>
  <si>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</si>
  <si>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</si>
  <si>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</si>
  <si>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</si>
  <si>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</si>
  <si>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</si>
  <si>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</si>
  <si>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</si>
  <si>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</si>
  <si>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</si>
  <si>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</si>
  <si>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</si>
  <si>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</si>
  <si>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</si>
  <si>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</si>
  <si>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</si>
  <si>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</si>
  <si>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</si>
  <si>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</si>
  <si>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</si>
  <si>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</si>
  <si>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</si>
  <si>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</si>
  <si>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</si>
  <si>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</si>
  <si>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</si>
  <si>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</si>
  <si>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</si>
  <si>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</si>
  <si>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</si>
  <si>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</si>
  <si>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</si>
  <si>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</si>
  <si>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</si>
  <si>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</si>
  <si>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</si>
  <si>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</si>
  <si>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</si>
  <si>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</si>
  <si>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</si>
  <si>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</si>
  <si>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</si>
  <si>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</si>
  <si>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</si>
  <si>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</si>
  <si>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</si>
  <si>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</si>
  <si>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</si>
  <si>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</si>
  <si>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</si>
  <si>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</si>
  <si>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</si>
  <si>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</si>
  <si>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</si>
  <si>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</si>
  <si>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</si>
  <si>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</si>
  <si>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</si>
  <si>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</si>
  <si>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</si>
  <si>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</si>
  <si>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</si>
  <si>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</si>
  <si>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</si>
  <si>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</si>
  <si>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</si>
  <si>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</si>
  <si>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</si>
  <si>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</si>
  <si>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</si>
  <si>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</si>
  <si>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</si>
  <si>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</si>
  <si>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</si>
  <si>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</si>
  <si>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</si>
  <si>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</si>
  <si>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</si>
  <si>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</si>
  <si>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</si>
  <si>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</si>
  <si>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</si>
  <si>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</si>
  <si>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</si>
  <si>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</si>
  <si>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</si>
  <si>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</si>
  <si>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</si>
  <si>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</si>
  <si>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</si>
  <si>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</si>
  <si>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</si>
  <si>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</si>
  <si>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</si>
  <si>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</si>
  <si>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</si>
  <si>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</si>
  <si>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</si>
  <si>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</si>
  <si>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</si>
  <si>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</si>
  <si>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</si>
  <si>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</si>
  <si>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</si>
  <si>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</si>
  <si>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</si>
  <si>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</si>
  <si>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</si>
  <si>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</si>
  <si>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</si>
  <si>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</si>
  <si>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</si>
  <si>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</si>
  <si>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</si>
  <si>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</si>
  <si>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</si>
  <si>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</si>
  <si>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</si>
  <si>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</si>
  <si>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</si>
  <si>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</si>
  <si>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</si>
  <si>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</si>
  <si>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</si>
  <si>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</si>
  <si>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</si>
  <si>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</si>
  <si>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</si>
  <si>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</si>
  <si>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</si>
  <si>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</si>
  <si>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</si>
  <si>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</si>
  <si>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</si>
  <si>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</si>
  <si>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</si>
  <si>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</si>
  <si>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</si>
  <si>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</si>
  <si>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</si>
  <si>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</si>
  <si>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</si>
  <si>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</si>
  <si>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</si>
  <si>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</si>
  <si>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</si>
  <si>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</si>
  <si>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</si>
  <si>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</si>
  <si>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</si>
  <si>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</si>
  <si>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</si>
  <si>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</si>
  <si>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</si>
  <si>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</si>
  <si>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</si>
  <si>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</si>
  <si>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</si>
  <si>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</si>
  <si>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</si>
  <si>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</si>
  <si>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</si>
  <si>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</si>
  <si>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</si>
  <si>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</si>
  <si>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</si>
  <si>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</si>
  <si>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</si>
  <si>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</si>
  <si>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</si>
  <si>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</si>
  <si>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</si>
  <si>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</si>
  <si>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</si>
  <si>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</si>
  <si>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</si>
  <si>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</si>
  <si>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</si>
  <si>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</si>
  <si>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</si>
  <si>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</si>
  <si>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</si>
  <si>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</si>
  <si>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</si>
  <si>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</si>
  <si>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</si>
  <si>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</si>
  <si>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</si>
  <si>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</si>
  <si>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</si>
  <si>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</si>
  <si>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</si>
  <si>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</si>
  <si>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</si>
  <si>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</si>
  <si>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</si>
  <si>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</si>
  <si>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</si>
  <si>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</si>
  <si>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</si>
  <si>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</si>
  <si>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</si>
  <si>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</si>
  <si>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</si>
  <si>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</si>
  <si>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</si>
  <si>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</si>
  <si>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</si>
  <si>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</si>
  <si>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</si>
  <si>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</si>
  <si>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</si>
  <si>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</si>
  <si>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</si>
  <si>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</si>
  <si>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</si>
  <si>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</si>
  <si>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</si>
  <si>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</si>
  <si>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</si>
  <si>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</si>
  <si>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</si>
  <si>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</si>
  <si>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</si>
  <si>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</si>
  <si>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</si>
  <si>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</si>
  <si>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</si>
  <si>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</si>
  <si>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</si>
  <si>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</si>
  <si>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</si>
  <si>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</si>
  <si>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</si>
  <si>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</si>
  <si>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</si>
  <si>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</si>
  <si>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</si>
  <si>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</si>
  <si>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</si>
  <si>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</si>
  <si>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</si>
  <si>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</si>
  <si>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</si>
  <si>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</si>
  <si>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</si>
  <si>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</si>
  <si>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</si>
  <si>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</si>
  <si>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</si>
  <si>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</si>
  <si>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</si>
  <si>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</si>
  <si>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</si>
  <si>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</si>
  <si>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</si>
  <si>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</si>
  <si>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</si>
  <si>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</si>
  <si>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</si>
  <si>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</si>
  <si>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</si>
  <si>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</si>
  <si>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</si>
  <si>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</si>
  <si>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</si>
  <si>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</si>
  <si>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</si>
  <si>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</si>
  <si>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</si>
  <si>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</si>
  <si>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</si>
  <si>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</si>
  <si>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</si>
  <si>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</si>
  <si>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</si>
  <si>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</si>
  <si>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</si>
  <si>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</si>
  <si>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</si>
  <si>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</si>
  <si>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</si>
  <si>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</si>
  <si>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</si>
  <si>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</si>
  <si>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</si>
  <si>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</si>
  <si>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</si>
  <si>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</si>
  <si>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</si>
  <si>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</si>
  <si>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</si>
  <si>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</si>
  <si>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</si>
  <si>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</si>
  <si>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</si>
  <si>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</si>
  <si>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</si>
  <si>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</si>
  <si>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</si>
  <si>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</si>
  <si>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</si>
  <si>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</si>
  <si>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</si>
  <si>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</si>
  <si>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</si>
  <si>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</si>
  <si>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</si>
  <si>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</si>
  <si>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</si>
  <si>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</si>
  <si>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</si>
  <si>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</si>
  <si>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</si>
  <si>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</si>
  <si>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</si>
  <si>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</si>
  <si>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</si>
  <si>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</si>
  <si>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</si>
  <si>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</si>
  <si>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</si>
  <si>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</si>
  <si>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</si>
  <si>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</si>
  <si>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</si>
  <si>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</si>
  <si>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</si>
  <si>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</si>
  <si>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</si>
  <si>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</si>
  <si>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</si>
  <si>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</si>
  <si>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</si>
  <si>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</si>
  <si>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</si>
  <si>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</si>
  <si>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</si>
  <si>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</si>
  <si>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</si>
  <si>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</si>
  <si>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</si>
  <si>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</si>
  <si>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</si>
  <si>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</si>
  <si>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</si>
  <si>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</si>
  <si>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</si>
  <si>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</si>
  <si>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</si>
  <si>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</si>
  <si>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</si>
  <si>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</si>
  <si>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</si>
  <si>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</si>
  <si>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</si>
  <si>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</si>
  <si>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</si>
  <si>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</si>
  <si>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</si>
  <si>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</si>
  <si>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</si>
  <si>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</si>
  <si>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</si>
  <si>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</si>
  <si>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</si>
  <si>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</si>
  <si>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</si>
  <si>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</si>
  <si>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</si>
  <si>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</si>
  <si>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</si>
  <si>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</si>
  <si>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</si>
  <si>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</si>
  <si>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</si>
  <si>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</si>
  <si>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</si>
  <si>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</si>
  <si>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</si>
  <si>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</si>
  <si>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</si>
  <si>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</si>
  <si>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</si>
  <si>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</si>
  <si>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</si>
  <si>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</si>
  <si>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</si>
  <si>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</si>
  <si>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</si>
  <si>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</si>
  <si>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</si>
  <si>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</si>
  <si>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</si>
  <si>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</si>
  <si>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</si>
  <si>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</si>
  <si>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</si>
  <si>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</si>
  <si>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</si>
  <si>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</si>
  <si>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</si>
  <si>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</si>
  <si>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</si>
  <si>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</si>
  <si>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</si>
  <si>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</si>
  <si>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</si>
  <si>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</si>
  <si>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</si>
  <si>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</si>
  <si>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</si>
  <si>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</si>
  <si>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</si>
  <si>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</si>
  <si>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</si>
  <si>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</si>
  <si>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</si>
  <si>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</si>
  <si>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</si>
  <si>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</si>
  <si>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</si>
  <si>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</si>
  <si>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</si>
  <si>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</si>
  <si>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</si>
  <si>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</si>
  <si>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</si>
  <si>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</si>
  <si>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</si>
  <si>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</si>
  <si>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</si>
  <si>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</si>
  <si>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</si>
  <si>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</si>
  <si>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</si>
  <si>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</si>
  <si>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</si>
  <si>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</si>
  <si>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</si>
  <si>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</si>
  <si>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</si>
  <si>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</si>
  <si>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</si>
  <si>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</si>
  <si>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</si>
  <si>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</si>
  <si>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</si>
  <si>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</si>
  <si>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</si>
  <si>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</si>
  <si>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</si>
  <si>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</si>
  <si>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</si>
  <si>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</si>
  <si>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</si>
  <si>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</si>
  <si>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</si>
  <si>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</si>
  <si>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</si>
  <si>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</si>
  <si>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</si>
  <si>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</si>
  <si>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</si>
  <si>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</si>
  <si>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</si>
  <si>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</si>
  <si>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</si>
  <si>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</si>
  <si>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</si>
  <si>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</si>
  <si>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</si>
  <si>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</si>
  <si>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</si>
  <si>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</si>
  <si>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</si>
  <si>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</si>
  <si>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</si>
  <si>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</si>
  <si>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</si>
  <si>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</si>
  <si>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</si>
  <si>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</si>
  <si>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</si>
  <si>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</si>
  <si>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</si>
  <si>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</si>
  <si>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</si>
  <si>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</si>
  <si>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</si>
  <si>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</si>
  <si>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</si>
  <si>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</si>
  <si>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</si>
  <si>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</si>
  <si>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</si>
  <si>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</si>
  <si>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</si>
  <si>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</si>
  <si>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</si>
  <si>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</si>
  <si>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</si>
  <si>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</si>
  <si>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</si>
  <si>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</si>
  <si>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</si>
  <si>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</si>
  <si>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</si>
  <si>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</si>
  <si>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</si>
  <si>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</si>
  <si>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</si>
  <si>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</si>
  <si>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</si>
  <si>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</si>
  <si>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</si>
  <si>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</si>
  <si>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</si>
  <si>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</si>
  <si>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</si>
  <si>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</si>
  <si>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</si>
  <si>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</si>
  <si>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</si>
  <si>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</si>
  <si>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</si>
  <si>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</si>
  <si>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</si>
  <si>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</si>
  <si>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</si>
  <si>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</si>
  <si>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</si>
  <si>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</si>
  <si>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</si>
  <si>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</si>
  <si>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</si>
  <si>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</si>
  <si>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</si>
  <si>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</si>
  <si>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</si>
  <si>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</si>
  <si>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</si>
  <si>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</si>
  <si>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</si>
  <si>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</si>
  <si>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</si>
  <si>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</si>
  <si>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</si>
  <si>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</si>
  <si>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</si>
  <si>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</si>
  <si>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</si>
  <si>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</si>
  <si>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</si>
  <si>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</si>
  <si>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</si>
  <si>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</si>
  <si>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</si>
  <si>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</si>
  <si>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</si>
  <si>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</si>
  <si>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</si>
  <si>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</si>
  <si>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</si>
  <si>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</si>
  <si>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</si>
  <si>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</si>
  <si>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</si>
  <si>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</si>
  <si>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</si>
  <si>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</si>
  <si>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</si>
  <si>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</si>
  <si>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</si>
  <si>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</si>
  <si>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</si>
  <si>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</si>
  <si>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</si>
  <si>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</si>
  <si>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</si>
  <si>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</si>
  <si>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</si>
  <si>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</si>
  <si>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</si>
  <si>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</si>
  <si>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</si>
  <si>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</si>
  <si>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</si>
  <si>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</si>
  <si>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</si>
  <si>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</si>
  <si>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</si>
  <si>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</si>
  <si>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</si>
  <si>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</si>
  <si>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</si>
  <si>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</si>
  <si>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</si>
  <si>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</si>
  <si>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</si>
  <si>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</si>
  <si>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</si>
  <si>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</si>
  <si>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</si>
  <si>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</si>
  <si>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</si>
  <si>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</si>
  <si>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</si>
  <si>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</si>
  <si>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</si>
  <si>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</si>
  <si>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</si>
  <si>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</si>
  <si>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</si>
  <si>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</si>
  <si>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</si>
  <si>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</si>
  <si>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</si>
  <si>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</si>
  <si>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</si>
  <si>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</si>
  <si>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</si>
  <si>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</si>
  <si>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</si>
  <si>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</si>
  <si>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</si>
  <si>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</si>
  <si>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</si>
  <si>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</si>
  <si>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</si>
  <si>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</si>
  <si>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</si>
  <si>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</si>
  <si>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</si>
  <si>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</si>
  <si>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</si>
  <si>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</si>
  <si>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</si>
  <si>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</si>
  <si>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</si>
  <si>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</si>
  <si>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</si>
  <si>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</si>
  <si>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</si>
  <si>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</si>
  <si>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</si>
  <si>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</si>
  <si>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</si>
  <si>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</si>
  <si>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</si>
  <si>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</si>
  <si>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</si>
  <si>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</si>
  <si>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</si>
  <si>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</si>
  <si>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</si>
  <si>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</si>
  <si>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</si>
  <si>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</si>
  <si>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</si>
  <si>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</si>
  <si>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</si>
  <si>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</si>
  <si>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</si>
  <si>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</si>
  <si>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</si>
  <si>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</si>
  <si>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</si>
  <si>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</si>
  <si>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</si>
  <si>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</si>
  <si>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</si>
  <si>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</si>
  <si>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</si>
  <si>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</si>
  <si>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</si>
  <si>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</si>
  <si>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</si>
  <si>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</si>
  <si>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</si>
  <si>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</si>
  <si>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</si>
  <si>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</si>
  <si>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</si>
  <si>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</si>
  <si>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</si>
  <si>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</si>
  <si>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</si>
  <si>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</si>
  <si>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</si>
  <si>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</si>
  <si>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</si>
  <si>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</si>
  <si>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</si>
  <si>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</si>
  <si>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</si>
  <si>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</si>
  <si>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</si>
  <si>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</si>
  <si>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</si>
  <si>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</si>
  <si>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</si>
  <si>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</si>
  <si>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</si>
  <si>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</si>
  <si>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</si>
  <si>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</si>
  <si>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</si>
  <si>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</si>
  <si>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</si>
  <si>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</si>
  <si>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</si>
  <si>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</si>
  <si>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</si>
  <si>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</si>
  <si>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</si>
  <si>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</si>
  <si>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</si>
  <si>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</si>
  <si>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</si>
  <si>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</si>
  <si>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</si>
  <si>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</si>
  <si>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</si>
  <si>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</si>
  <si>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</si>
  <si>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</si>
  <si>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</si>
  <si>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</si>
  <si>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</si>
  <si>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</si>
  <si>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</si>
  <si>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</si>
  <si>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</si>
  <si>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</si>
  <si>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</si>
  <si>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</si>
  <si>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</si>
  <si>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</si>
  <si>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</si>
  <si>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</si>
  <si>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</si>
  <si>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</si>
  <si>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</si>
  <si>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</si>
  <si>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</si>
  <si>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</si>
  <si>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</si>
  <si>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</si>
  <si>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</si>
  <si>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</si>
  <si>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</si>
  <si>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</si>
  <si>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</si>
  <si>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</si>
  <si>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</si>
  <si>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</si>
  <si>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</si>
  <si>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</si>
  <si>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</si>
  <si>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</si>
  <si>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</si>
  <si>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</si>
  <si>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</si>
  <si>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</si>
  <si>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</si>
  <si>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</si>
  <si>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</si>
  <si>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</si>
  <si>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</si>
  <si>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</si>
  <si>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</si>
  <si>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</si>
  <si>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</si>
  <si>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</si>
  <si>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</si>
  <si>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</si>
  <si>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</si>
  <si>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</si>
  <si>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</si>
  <si>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</si>
  <si>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</si>
  <si>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</si>
  <si>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</si>
  <si>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</si>
  <si>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</si>
  <si>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</si>
  <si>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</si>
  <si>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</si>
  <si>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</si>
  <si>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</si>
  <si>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</si>
  <si>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</si>
  <si>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</si>
  <si>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</si>
  <si>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</si>
  <si>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</si>
  <si>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</si>
  <si>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</si>
  <si>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</si>
  <si>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</si>
  <si>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</si>
  <si>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</si>
  <si>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</si>
  <si>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</si>
  <si>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</si>
  <si>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</si>
  <si>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</si>
  <si>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</si>
  <si>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</si>
  <si>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</si>
  <si>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</si>
  <si>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</si>
  <si>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</si>
  <si>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</si>
  <si>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</si>
  <si>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</si>
  <si>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</si>
  <si>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</si>
  <si>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</si>
  <si>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</si>
  <si>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</si>
  <si>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</si>
  <si>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</si>
  <si>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</si>
  <si>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</si>
  <si>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</si>
  <si>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</si>
  <si>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</si>
  <si>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</si>
  <si>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</si>
  <si>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</si>
  <si>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</si>
  <si>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</si>
  <si>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</si>
  <si>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</si>
  <si>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</si>
  <si>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</si>
  <si>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</si>
  <si>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</si>
  <si>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</si>
  <si>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</si>
  <si>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</si>
  <si>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</si>
  <si>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</si>
  <si>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</si>
  <si>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</si>
  <si>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</si>
  <si>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</si>
  <si>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</si>
  <si>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</si>
  <si>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</si>
  <si>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</si>
  <si>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</si>
  <si>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</si>
  <si>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</si>
  <si>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</si>
  <si>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</si>
  <si>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</si>
  <si>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</si>
  <si>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</si>
  <si>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</si>
  <si>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</si>
  <si>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</si>
  <si>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</si>
  <si>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</si>
  <si>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</si>
  <si>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</si>
  <si>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</si>
  <si>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</si>
  <si>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</si>
  <si>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</si>
  <si>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</si>
  <si>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</si>
  <si>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</si>
  <si>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</si>
  <si>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</si>
  <si>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</si>
  <si>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</si>
  <si>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</si>
  <si>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</si>
  <si>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</si>
  <si>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</si>
  <si>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</si>
  <si>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</si>
  <si>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</si>
  <si>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</si>
  <si>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</si>
  <si>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</si>
  <si>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</si>
  <si>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</si>
  <si>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</si>
  <si>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</si>
  <si>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</si>
  <si>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</si>
  <si>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</si>
  <si>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</si>
  <si>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</si>
  <si>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</si>
  <si>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</si>
  <si>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</si>
  <si>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</si>
  <si>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</si>
  <si>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</si>
  <si>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</si>
  <si>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</si>
  <si>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</si>
  <si>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</si>
  <si>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</si>
  <si>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</si>
  <si>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</si>
  <si>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</si>
  <si>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</si>
  <si>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</si>
  <si>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</si>
  <si>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</si>
  <si>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</si>
  <si>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</si>
  <si>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</si>
  <si>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</si>
  <si>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</si>
  <si>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</si>
  <si>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</si>
  <si>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</si>
  <si>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</si>
  <si>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</si>
  <si>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</si>
  <si>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</si>
  <si>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</si>
  <si>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</si>
  <si>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</si>
  <si>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</si>
  <si>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</si>
  <si>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</si>
  <si>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</si>
  <si>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</si>
  <si>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</si>
  <si>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</si>
  <si>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</si>
  <si>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</si>
  <si>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</si>
  <si>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</si>
  <si>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</si>
  <si>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</si>
  <si>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</si>
  <si>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</si>
  <si>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</si>
  <si>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</si>
  <si>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</si>
  <si>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</si>
  <si>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</si>
  <si>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</si>
  <si>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</si>
  <si>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</si>
  <si>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</si>
  <si>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</si>
  <si>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</si>
  <si>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</si>
  <si>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</si>
  <si>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</si>
  <si>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</si>
  <si>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</si>
  <si>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</si>
  <si>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</si>
  <si>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</si>
  <si>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</si>
  <si>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</si>
  <si>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</si>
  <si>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</si>
  <si>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</si>
  <si>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</si>
  <si>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</si>
  <si>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</si>
  <si>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</si>
  <si>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</si>
  <si>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</si>
  <si>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</si>
  <si>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</si>
  <si>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</si>
  <si>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</si>
  <si>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</si>
  <si>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</si>
  <si>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</si>
  <si>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</si>
  <si>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</si>
  <si>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</si>
  <si>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</si>
  <si>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</si>
  <si>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</si>
  <si>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</si>
  <si>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</si>
  <si>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</si>
  <si>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</si>
  <si>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</si>
  <si>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</si>
  <si>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</si>
  <si>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</si>
  <si>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</si>
  <si>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</si>
  <si>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</si>
  <si>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</si>
  <si>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</si>
  <si>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</si>
  <si>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</si>
  <si>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</si>
  <si>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</si>
  <si>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</si>
  <si>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</si>
  <si>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</si>
  <si>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</si>
  <si>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</si>
  <si>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</si>
  <si>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</si>
  <si>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</si>
  <si>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</si>
  <si>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</si>
  <si>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</si>
  <si>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</si>
  <si>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</si>
  <si>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</si>
  <si>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</si>
  <si>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</si>
  <si>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</si>
  <si>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</si>
  <si>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</si>
  <si>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</si>
  <si>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</si>
  <si>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</si>
  <si>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</si>
  <si>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</si>
  <si>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</si>
  <si>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</si>
  <si>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</si>
  <si>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</si>
  <si>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</si>
  <si>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</si>
  <si>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</si>
  <si>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</si>
  <si>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</si>
  <si>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</si>
  <si>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</si>
  <si>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</si>
  <si>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</si>
  <si>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</si>
  <si>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</si>
  <si>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</si>
  <si>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</si>
  <si>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</si>
  <si>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</si>
  <si>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</si>
  <si>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</si>
  <si>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</si>
  <si>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</si>
  <si>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</si>
  <si>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</si>
  <si>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</si>
  <si>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</si>
  <si>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</si>
  <si>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</si>
  <si>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</si>
  <si>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</si>
  <si>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</si>
  <si>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</si>
  <si>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</si>
  <si>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</si>
  <si>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</si>
  <si>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</si>
  <si>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</si>
  <si>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</si>
  <si>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</si>
  <si>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</si>
  <si>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</si>
  <si>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</si>
  <si>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</si>
  <si>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</si>
  <si>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</si>
  <si>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</si>
  <si>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</si>
  <si>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</si>
  <si>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</si>
  <si>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</si>
  <si>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</si>
  <si>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</si>
  <si>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</si>
  <si>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</si>
  <si>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</si>
  <si>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</si>
  <si>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</si>
  <si>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</si>
  <si>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</si>
  <si>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</si>
  <si>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</si>
  <si>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</si>
  <si>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</si>
  <si>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</si>
  <si>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</si>
  <si>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</si>
  <si>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</si>
  <si>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</si>
  <si>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</si>
  <si>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</si>
  <si>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</si>
  <si>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</si>
  <si>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</si>
  <si>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</si>
  <si>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</si>
  <si>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</si>
  <si>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</si>
  <si>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</si>
  <si>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</si>
  <si>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</si>
  <si>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</si>
  <si>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</si>
  <si>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</si>
  <si>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</si>
  <si>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</si>
  <si>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</si>
  <si>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</si>
  <si>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</si>
  <si>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</si>
  <si>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</si>
  <si>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</si>
  <si>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</si>
  <si>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</si>
  <si>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</si>
  <si>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</si>
  <si>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</si>
  <si>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</si>
  <si>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</si>
  <si>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</si>
  <si>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</si>
  <si>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</si>
  <si>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</si>
  <si>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</si>
  <si>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</si>
  <si>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</si>
  <si>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</si>
  <si>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</si>
  <si>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</si>
  <si>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</si>
  <si>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</si>
  <si>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</si>
  <si>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</si>
  <si>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</si>
  <si>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</si>
  <si>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</si>
  <si>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</si>
  <si>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</si>
  <si>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</si>
  <si>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</si>
  <si>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</si>
  <si>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</si>
  <si>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</si>
  <si>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</si>
  <si>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</si>
  <si>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</si>
  <si>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</si>
  <si>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</si>
  <si>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</si>
  <si>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</si>
  <si>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</si>
  <si>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</si>
  <si>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</si>
  <si>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</si>
  <si>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</si>
  <si>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</si>
  <si>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</si>
  <si>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</si>
  <si>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</si>
  <si>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</si>
  <si>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</si>
  <si>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</si>
  <si>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</si>
  <si>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</si>
  <si>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</si>
  <si>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</si>
  <si>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</si>
  <si>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</si>
  <si>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</si>
  <si>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</si>
  <si>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</si>
  <si>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</si>
  <si>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</si>
  <si>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</si>
  <si>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</si>
  <si>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</si>
  <si>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</si>
  <si>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</si>
  <si>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</si>
  <si>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</si>
  <si>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</si>
  <si>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</si>
  <si>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</si>
  <si>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</si>
  <si>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</si>
  <si>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</si>
  <si>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</si>
  <si>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</si>
  <si>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</si>
  <si>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</si>
  <si>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</si>
  <si>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</si>
  <si>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</si>
  <si>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</si>
  <si>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</si>
  <si>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</si>
  <si>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</si>
  <si>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</si>
  <si>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</si>
  <si>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</si>
  <si>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</si>
  <si>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</si>
  <si>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</si>
  <si>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</si>
  <si>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</si>
  <si>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</si>
  <si>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</si>
  <si>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</si>
  <si>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</si>
  <si>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</si>
  <si>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</si>
  <si>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</si>
  <si>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</si>
  <si>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</si>
  <si>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</si>
  <si>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</si>
  <si>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</si>
  <si>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</si>
  <si>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</si>
  <si>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</si>
  <si>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</si>
  <si>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</si>
  <si>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</si>
  <si>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</si>
  <si>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</si>
  <si>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</si>
  <si>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</si>
  <si>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</si>
  <si>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</si>
  <si>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</si>
  <si>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</si>
  <si>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</si>
  <si>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</si>
  <si>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</si>
  <si>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</si>
  <si>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</si>
  <si>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</si>
  <si>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</si>
  <si>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</si>
  <si>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</si>
  <si>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</si>
  <si>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</si>
  <si>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</si>
  <si>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</si>
  <si>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</si>
  <si>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</si>
  <si>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</si>
  <si>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</si>
  <si>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</si>
  <si>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</si>
  <si>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</si>
  <si>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</si>
  <si>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</si>
  <si>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</si>
  <si>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</si>
  <si>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</si>
  <si>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</si>
  <si>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</si>
  <si>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</si>
  <si>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</si>
  <si>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</si>
  <si>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</si>
  <si>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</si>
  <si>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</si>
  <si>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</si>
  <si>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</si>
  <si>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</si>
  <si>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</si>
  <si>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</si>
  <si>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</si>
  <si>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</si>
  <si>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</si>
  <si>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</si>
  <si>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</si>
  <si>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</si>
  <si>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</si>
  <si>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</si>
  <si>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</si>
  <si>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</si>
  <si>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</si>
  <si>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</si>
  <si>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</si>
  <si>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</si>
  <si>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</si>
  <si>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</si>
  <si>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</si>
  <si>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</si>
  <si>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</si>
  <si>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</si>
  <si>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</si>
  <si>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</si>
  <si>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</si>
  <si>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</si>
  <si>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</si>
  <si>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</si>
  <si>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</si>
  <si>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</si>
  <si>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</si>
  <si>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</si>
  <si>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</si>
  <si>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</si>
  <si>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</si>
  <si>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</si>
  <si>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</si>
  <si>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</si>
  <si>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</si>
  <si>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</si>
  <si>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</si>
  <si>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</si>
  <si>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</si>
  <si>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</si>
  <si>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</si>
  <si>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</si>
  <si>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</si>
  <si>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</si>
  <si>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</si>
  <si>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</si>
  <si>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</si>
  <si>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</si>
  <si>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</si>
  <si>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</si>
  <si>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</si>
  <si>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</si>
  <si>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</si>
  <si>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</si>
  <si>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</si>
  <si>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r>
      <t xml:space="preserve">GFL KR Battle Sim - JSON Creator </t>
    </r>
    <r>
      <rPr>
        <b/>
        <sz val="12"/>
        <rFont val="Calibri"/>
        <family val="2"/>
        <scheme val="minor"/>
      </rPr>
      <t>(last updated February 4,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</si>
</sst>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8808</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8739</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8302</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8257</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8256</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8258</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8259</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8284</v>
      </c>
    </row>
    <row r="72" spans="1:19" outlineLevel="1" x14ac:dyDescent="0.25">
      <c r="A72" s="159" t="s">
        <v>8285</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8286</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8269</v>
      </c>
      <c r="K78" s="299" t="s">
        <v>8270</v>
      </c>
      <c r="M78" s="151"/>
    </row>
    <row r="79" spans="1:19" outlineLevel="1" x14ac:dyDescent="0.25">
      <c r="A79" s="155" t="s">
        <v>8502</v>
      </c>
    </row>
    <row r="80" spans="1:19" outlineLevel="1" x14ac:dyDescent="0.25">
      <c r="A80" s="279" t="s">
        <v>8244</v>
      </c>
      <c r="B80" s="277" t="s">
        <v>8260</v>
      </c>
      <c r="C80" s="278"/>
      <c r="D80" s="277" t="s">
        <v>8261</v>
      </c>
      <c r="E80" s="278"/>
      <c r="F80" s="277" t="s">
        <v>8262</v>
      </c>
      <c r="G80" s="278"/>
      <c r="H80" s="277" t="s">
        <v>8263</v>
      </c>
      <c r="I80" s="278"/>
      <c r="J80" s="277" t="s">
        <v>8264</v>
      </c>
      <c r="K80" s="278"/>
      <c r="L80" s="277" t="s">
        <v>8265</v>
      </c>
      <c r="M80" s="278"/>
      <c r="N80" s="277" t="s">
        <v>8266</v>
      </c>
      <c r="O80" s="278"/>
      <c r="P80" s="277" t="s">
        <v>8267</v>
      </c>
      <c r="Q80" s="278"/>
      <c r="R80" s="277" t="s">
        <v>8268</v>
      </c>
      <c r="S80" s="278"/>
    </row>
    <row r="81" spans="1:19" outlineLevel="1" x14ac:dyDescent="0.25">
      <c r="A81" s="164" t="s">
        <v>8346</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8342</v>
      </c>
      <c r="B82" s="315" t="s">
        <v>8303</v>
      </c>
      <c r="C82" s="316">
        <v>10</v>
      </c>
      <c r="D82" s="315" t="s">
        <v>8329</v>
      </c>
      <c r="E82" s="316">
        <v>10</v>
      </c>
      <c r="F82" s="315" t="s">
        <v>8312</v>
      </c>
      <c r="G82" s="316">
        <v>10</v>
      </c>
      <c r="H82" s="315" t="s">
        <v>8320</v>
      </c>
      <c r="I82" s="316">
        <v>10</v>
      </c>
      <c r="J82" s="315" t="s">
        <v>8332</v>
      </c>
      <c r="K82" s="316">
        <v>10</v>
      </c>
      <c r="L82" s="315" t="s">
        <v>638</v>
      </c>
      <c r="M82" s="316">
        <v>10</v>
      </c>
      <c r="N82" s="315" t="s">
        <v>8305</v>
      </c>
      <c r="O82" s="316">
        <v>10</v>
      </c>
      <c r="P82" s="315" t="s">
        <v>640</v>
      </c>
      <c r="Q82" s="316">
        <v>10</v>
      </c>
      <c r="R82" s="315" t="s">
        <v>8308</v>
      </c>
      <c r="S82" s="316">
        <v>10</v>
      </c>
    </row>
    <row r="83" spans="1:19" s="256" customFormat="1" outlineLevel="1" x14ac:dyDescent="0.25">
      <c r="A83" s="132" t="s">
        <v>8343</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8344</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8345</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8260</v>
      </c>
      <c r="C87" s="278"/>
      <c r="D87" s="277" t="s">
        <v>8261</v>
      </c>
      <c r="E87" s="278"/>
      <c r="F87" s="277" t="s">
        <v>8262</v>
      </c>
      <c r="G87" s="278"/>
      <c r="H87" s="277" t="s">
        <v>8263</v>
      </c>
      <c r="I87" s="278"/>
      <c r="J87" s="277" t="s">
        <v>8264</v>
      </c>
      <c r="K87" s="278"/>
      <c r="L87" s="277" t="s">
        <v>8265</v>
      </c>
      <c r="M87" s="278"/>
      <c r="N87" s="277" t="s">
        <v>8266</v>
      </c>
      <c r="O87" s="278"/>
      <c r="P87" s="277" t="s">
        <v>8267</v>
      </c>
      <c r="Q87" s="278"/>
      <c r="R87" s="277" t="s">
        <v>8268</v>
      </c>
      <c r="S87" s="278"/>
    </row>
    <row r="88" spans="1:19" s="256" customFormat="1" outlineLevel="1" x14ac:dyDescent="0.25">
      <c r="A88" s="164" t="s">
        <v>8346</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8342</v>
      </c>
      <c r="B89" s="306" t="s">
        <v>8303</v>
      </c>
      <c r="C89" s="154">
        <v>10</v>
      </c>
      <c r="D89" s="307" t="s">
        <v>8320</v>
      </c>
      <c r="E89" s="154">
        <v>10</v>
      </c>
      <c r="F89" s="307" t="s">
        <v>8321</v>
      </c>
      <c r="G89" s="154">
        <v>10</v>
      </c>
      <c r="H89" s="307" t="s">
        <v>8330</v>
      </c>
      <c r="I89" s="154">
        <v>10</v>
      </c>
      <c r="J89" s="307" t="s">
        <v>8333</v>
      </c>
      <c r="K89" s="154">
        <v>10</v>
      </c>
      <c r="L89" s="307" t="s">
        <v>638</v>
      </c>
      <c r="M89" s="154">
        <v>10</v>
      </c>
      <c r="N89" s="307" t="s">
        <v>8305</v>
      </c>
      <c r="O89" s="154">
        <v>10</v>
      </c>
      <c r="P89" s="307" t="s">
        <v>640</v>
      </c>
      <c r="Q89" s="154">
        <v>10</v>
      </c>
      <c r="R89" s="307" t="s">
        <v>8308</v>
      </c>
      <c r="S89" s="154">
        <v>10</v>
      </c>
    </row>
    <row r="90" spans="1:19" s="256" customFormat="1" outlineLevel="1" x14ac:dyDescent="0.25">
      <c r="A90" s="132" t="s">
        <v>8343</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8344</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8345</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8534</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8661</v>
      </c>
      <c r="E97" s="161"/>
      <c r="F97" s="162"/>
      <c r="G97" s="163" t="s">
        <v>769</v>
      </c>
      <c r="H97" s="161"/>
      <c r="I97" s="162"/>
      <c r="J97" s="163" t="s">
        <v>8536</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8662</v>
      </c>
      <c r="G98" s="165">
        <v>1</v>
      </c>
      <c r="H98" s="165">
        <v>2</v>
      </c>
      <c r="I98" s="166">
        <v>3</v>
      </c>
      <c r="J98" s="167" t="s">
        <v>8537</v>
      </c>
      <c r="K98" s="165" t="s">
        <v>8538</v>
      </c>
      <c r="L98" s="165" t="s">
        <v>8539</v>
      </c>
      <c r="M98" s="165" t="s">
        <v>8540</v>
      </c>
      <c r="N98" s="165" t="s">
        <v>8541</v>
      </c>
      <c r="O98" s="165" t="s">
        <v>8542</v>
      </c>
      <c r="P98" s="165" t="s">
        <v>8543</v>
      </c>
      <c r="Q98" s="165" t="s">
        <v>8544</v>
      </c>
      <c r="R98" s="165" t="s">
        <v>8545</v>
      </c>
      <c r="S98" s="166" t="s">
        <v>8546</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8510</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8535</v>
      </c>
    </row>
    <row r="123" spans="1:16" outlineLevel="1" x14ac:dyDescent="0.25">
      <c r="A123" s="159" t="s">
        <v>8728</v>
      </c>
      <c r="B123" s="159"/>
      <c r="C123" s="159"/>
      <c r="E123" s="214"/>
    </row>
    <row r="124" spans="1:16" outlineLevel="1" x14ac:dyDescent="0.25">
      <c r="A124" s="193" t="s">
        <v>8726</v>
      </c>
      <c r="B124" s="181" t="s">
        <v>783</v>
      </c>
      <c r="C124" s="182" t="s">
        <v>769</v>
      </c>
      <c r="D124" s="181" t="s">
        <v>6591</v>
      </c>
      <c r="E124" s="182" t="s">
        <v>769</v>
      </c>
      <c r="F124" s="181" t="s">
        <v>7095</v>
      </c>
      <c r="G124" s="182" t="s">
        <v>1767</v>
      </c>
      <c r="H124" s="181" t="s">
        <v>8727</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04B70D2-C0BE-4876-AD0C-DE38628E412E}">
      <formula1>"1,2,3,4,5"</formula1>
    </dataValidation>
    <dataValidation type="list" allowBlank="1" showInputMessage="1" showErrorMessage="1" sqref="C125:C127"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Y21:AC25 Y34:AC34 D109:I109"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E125:E127 E30 E89 N34 N21:N25 G34:H34 G21:H25 R34 R21:R25 V34 V21:V25 G89 I89 K89 M89 O89 Q89 S89 C89 S82 Q82 O82 M82 K82 I82 G82 E82 C82 J109:S109 D109 E99:I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F125:F127" xr:uid="{E15668A0-3A7F-43F8-B5B1-79B638E6F743}">
      <formula1>1</formula1>
    </dataValidation>
    <dataValidation type="whole" allowBlank="1" showInputMessage="1" showErrorMessage="1" sqref="E21:E25 E34 D75:D76 K75 F75 H75 D99:D108"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 type="list" allowBlank="1" showInputMessage="1" showErrorMessage="1" sqref="J99:S108" xr:uid="{C9D59413-E07D-4898-9931-18DC7ED9BBD9}">
      <formula1>"0,1,2,3,4,5,6,7,8,9,10,11,12,13,14,15,16,17,18,19,20"</formula1>
    </dataValidation>
    <dataValidation type="list" operator="greaterThanOrEqual" allowBlank="1" showInputMessage="1" showErrorMessage="1" sqref="F99:I108" xr:uid="{00193047-94F6-4DF2-B451-B6545FBA9E67}">
      <formula1>"0,1,2,3,4,5,6,7,8,9,10"</formula1>
    </dataValidation>
    <dataValidation type="list" operator="greaterThanOrEqual" allowBlank="1" showInputMessage="1" showErrorMessage="1" sqref="E99:E108" xr:uid="{7FC10EDC-F6F8-426E-8FBA-B5849D23423D}">
      <formula1>"1,2,3,4,5"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2">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Dropdowns!$AZ$3:$AZ$300</xm:f>
          </x14:formula1>
          <xm:sqref>D21</xm:sqref>
        </x14:dataValidation>
        <x14:dataValidation type="list" allowBlank="1" showInputMessage="1" showErrorMessage="1" xr:uid="{38E2B01D-CCEA-4D04-8729-7B08AD3FA005}">
          <x14:formula1>
            <xm:f>Dropdowns!$BA$3:$BA$300</xm:f>
          </x14:formula1>
          <xm:sqref>D22</xm:sqref>
        </x14:dataValidation>
        <x14:dataValidation type="list" allowBlank="1" showInputMessage="1" showErrorMessage="1" xr:uid="{F0860B6B-AE45-4F28-B13D-1387B5710B22}">
          <x14:formula1>
            <xm:f>Dropdowns!$BB$3:$BB$300</xm:f>
          </x14:formula1>
          <xm:sqref>D23</xm:sqref>
        </x14:dataValidation>
        <x14:dataValidation type="list" allowBlank="1" showInputMessage="1" showErrorMessage="1" xr:uid="{71AAB46E-9D8D-4805-A69E-0B14BAEAFF4A}">
          <x14:formula1>
            <xm:f>Dropdowns!$BC$3:$BC$300</xm:f>
          </x14:formula1>
          <xm:sqref>D24</xm:sqref>
        </x14:dataValidation>
        <x14:dataValidation type="list" allowBlank="1" showInputMessage="1" showErrorMessage="1" xr:uid="{20A1C289-862D-4539-81B6-81AB9E1085BA}">
          <x14:formula1>
            <xm:f>Dropdowns!$BE$2:$BE$300</xm:f>
          </x14:formula1>
          <xm:sqref>M21</xm:sqref>
        </x14:dataValidation>
        <x14:dataValidation type="list" allowBlank="1" showInputMessage="1" showErrorMessage="1" xr:uid="{A714C470-376B-4F88-AFA5-3BEB6DCB78A8}">
          <x14:formula1>
            <xm:f>Dropdowns!$BF$3:$BF$300</xm:f>
          </x14:formula1>
          <xm:sqref>M22</xm:sqref>
        </x14:dataValidation>
        <x14:dataValidation type="list" allowBlank="1" showInputMessage="1" showErrorMessage="1" xr:uid="{936813E4-9421-495F-846C-E2EB82432814}">
          <x14:formula1>
            <xm:f>Dropdowns!$BG$3:$BG$300</xm:f>
          </x14:formula1>
          <xm:sqref>M23</xm:sqref>
        </x14:dataValidation>
        <x14:dataValidation type="list" allowBlank="1" showInputMessage="1" showErrorMessage="1" xr:uid="{6CC61CDF-3E9E-4BCD-BBF4-3E2E78E55A63}">
          <x14:formula1>
            <xm:f>Dropdowns!$BH$3:$BH$300</xm:f>
          </x14:formula1>
          <xm:sqref>M24</xm:sqref>
        </x14:dataValidation>
        <x14:dataValidation type="list" allowBlank="1" showInputMessage="1" showErrorMessage="1" xr:uid="{FB5AC7DF-6043-4CD9-A4A4-5115CD3CCA3B}">
          <x14:formula1>
            <xm:f>Dropdowns!$BJ$3:$BJ$300</xm:f>
          </x14:formula1>
          <xm:sqref>Q21</xm:sqref>
        </x14:dataValidation>
        <x14:dataValidation type="list" allowBlank="1" showInputMessage="1" showErrorMessage="1" xr:uid="{63E95F66-2C1F-4B73-A638-2B5CDB7E7C95}">
          <x14:formula1>
            <xm:f>Dropdowns!$BK$3:$BK$300</xm:f>
          </x14:formula1>
          <xm:sqref>Q22</xm:sqref>
        </x14:dataValidation>
        <x14:dataValidation type="list" allowBlank="1" showInputMessage="1" showErrorMessage="1" xr:uid="{063EBFFE-B406-4D86-B2AC-E3FA9A3C39C1}">
          <x14:formula1>
            <xm:f>Dropdowns!$BL$3:$BL$300</xm:f>
          </x14:formula1>
          <xm:sqref>Q23</xm:sqref>
        </x14:dataValidation>
        <x14:dataValidation type="list" allowBlank="1" showInputMessage="1" showErrorMessage="1" xr:uid="{8807D703-2F73-499C-B0BC-1DC86189FF90}">
          <x14:formula1>
            <xm:f>Dropdowns!$BM$3:$BM$300</xm:f>
          </x14:formula1>
          <xm:sqref>Q24</xm:sqref>
        </x14:dataValidation>
        <x14:dataValidation type="list" allowBlank="1" showInputMessage="1" showErrorMessage="1" xr:uid="{667DD2D5-1617-483B-9C95-4FE6A879A1D7}">
          <x14:formula1>
            <xm:f>Dropdowns!$BO$3:$BO$300</xm:f>
          </x14:formula1>
          <xm:sqref>U21</xm:sqref>
        </x14:dataValidation>
        <x14:dataValidation type="list" allowBlank="1" showInputMessage="1" showErrorMessage="1" xr:uid="{C3161BC7-533F-4C45-8957-A1DE57586173}">
          <x14:formula1>
            <xm:f>Dropdowns!$BP$3:$BP$300</xm:f>
          </x14:formula1>
          <xm:sqref>U22</xm:sqref>
        </x14:dataValidation>
        <x14:dataValidation type="list" allowBlank="1" showInputMessage="1" showErrorMessage="1" xr:uid="{1FDB4C4F-8348-47AC-BAFD-3373AD583E8A}">
          <x14:formula1>
            <xm:f>Dropdowns!$BQ$3:$BQ$300</xm:f>
          </x14:formula1>
          <xm:sqref>U23</xm:sqref>
        </x14:dataValidation>
        <x14:dataValidation type="list" allowBlank="1" showInputMessage="1" showErrorMessage="1" xr:uid="{882FEEDF-D3F0-434B-A57D-4AEFD61D3C06}">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Dropdowns!$BU$2:$BU$50</xm:f>
          </x14:formula1>
          <xm:sqref>N114:N119 G125:G127 I125:I127</xm:sqref>
        </x14:dataValidation>
        <x14:dataValidation type="list" allowBlank="1" showInputMessage="1" showErrorMessage="1" xr:uid="{169271DB-DADF-49C4-8DA0-8E00FB129B04}">
          <x14:formula1>
            <xm:f>'Strat Buff Data'!$A$2:$A$1048576</xm:f>
          </x14:formula1>
          <xm:sqref>B125:B127</xm:sqref>
        </x14:dataValidation>
        <x14:dataValidation type="list" allowBlank="1" showInputMessage="1" showErrorMessage="1" xr:uid="{DA3EE425-AC1D-40D0-A316-9DF88CD3FE9C}">
          <x14:formula1>
            <xm:f>'Strat Buff Data'!$E$2:$E$1048576</xm:f>
          </x14:formula1>
          <xm:sqref>D125:D127</xm:sqref>
        </x14:dataValidation>
        <x14:dataValidation type="list" allowBlank="1" showInputMessage="1" showErrorMessage="1" xr:uid="{24DA74FC-F29C-4665-BC8F-B8B3AB1D3185}">
          <x14:formula1>
            <xm:f>Dropdowns!$BD$3:$BD$252</xm:f>
          </x14:formula1>
          <xm:sqref>D34</xm:sqref>
        </x14:dataValidation>
        <x14:dataValidation type="list" allowBlank="1" showInputMessage="1" showErrorMessage="1" xr:uid="{3B2EF058-F9FC-49E8-A0AD-BEF6D9924AA5}">
          <x14:formula1>
            <xm:f>Dropdowns!$BS$3:$BS$252</xm:f>
          </x14:formula1>
          <xm:sqref>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M34</xm:sqref>
        </x14:dataValidation>
        <x14:dataValidation type="list" allowBlank="1" showInputMessage="1" showErrorMessage="1" xr:uid="{910F897C-9A45-4E5B-9F2B-21529EF8C3C9}">
          <x14:formula1>
            <xm:f>Dropdowns!$BN$3:$BN$252</xm:f>
          </x14:formula1>
          <xm:sqref>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 type="list" allowBlank="1" showInputMessage="1" showErrorMessage="1" xr:uid="{3460A028-D95A-4D01-98C3-AB670E4D5C51}">
          <x14:formula1>
            <xm:f>Dropdowns!$BD$3:$BD$300</xm:f>
          </x14:formula1>
          <xm:sqref>D25</xm:sqref>
        </x14:dataValidation>
        <x14:dataValidation type="list" allowBlank="1" showInputMessage="1" showErrorMessage="1" xr:uid="{C167C6A1-877F-43B8-8FD9-C089E80D17FD}">
          <x14:formula1>
            <xm:f>Dropdowns!$BI$3:$BI$300</xm:f>
          </x14:formula1>
          <xm:sqref>M25</xm:sqref>
        </x14:dataValidation>
        <x14:dataValidation type="list" allowBlank="1" showInputMessage="1" showErrorMessage="1" xr:uid="{4D242704-90F9-48A2-8C14-C06E29B55541}">
          <x14:formula1>
            <xm:f>Dropdowns!$BN$3:$BN$300</xm:f>
          </x14:formula1>
          <xm:sqref>Q25</xm:sqref>
        </x14:dataValidation>
        <x14:dataValidation type="list" allowBlank="1" showInputMessage="1" showErrorMessage="1" xr:uid="{5B99E5D9-855F-47CE-879D-22F6AED068AA}">
          <x14:formula1>
            <xm:f>Dropdowns!$BS$3:$BS$300</xm:f>
          </x14:formula1>
          <xm:sqref>U25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8499</v>
      </c>
      <c r="I1" t="s">
        <v>8497</v>
      </c>
      <c r="J1" t="s">
        <v>25</v>
      </c>
      <c r="K1" t="s">
        <v>581</v>
      </c>
      <c r="L1" t="s">
        <v>8498</v>
      </c>
      <c r="M1" t="s">
        <v>8496</v>
      </c>
    </row>
    <row r="2" spans="1:13" x14ac:dyDescent="0.25">
      <c r="A2" t="s">
        <v>1778</v>
      </c>
      <c r="B2" t="s">
        <v>8347</v>
      </c>
      <c r="C2" t="s">
        <v>8348</v>
      </c>
      <c r="D2" t="s">
        <v>8349</v>
      </c>
      <c r="E2" t="s">
        <v>8350</v>
      </c>
      <c r="F2" t="s">
        <v>8351</v>
      </c>
      <c r="H2" t="s">
        <v>8495</v>
      </c>
      <c r="I2" t="s">
        <v>8352</v>
      </c>
      <c r="J2">
        <v>2001</v>
      </c>
      <c r="K2">
        <v>770036</v>
      </c>
      <c r="L2" t="s">
        <v>8441</v>
      </c>
      <c r="M2" t="s">
        <v>8353</v>
      </c>
    </row>
    <row r="3" spans="1:13" x14ac:dyDescent="0.25">
      <c r="A3" t="s">
        <v>8187</v>
      </c>
      <c r="B3">
        <v>24</v>
      </c>
      <c r="C3">
        <v>28</v>
      </c>
      <c r="D3">
        <v>33</v>
      </c>
      <c r="E3">
        <v>38</v>
      </c>
      <c r="F3">
        <v>48</v>
      </c>
      <c r="H3" t="s">
        <v>8494</v>
      </c>
      <c r="I3" t="s">
        <v>8354</v>
      </c>
      <c r="J3">
        <v>2002</v>
      </c>
      <c r="K3">
        <v>770038</v>
      </c>
      <c r="L3" t="s">
        <v>8442</v>
      </c>
      <c r="M3" t="s">
        <v>8355</v>
      </c>
    </row>
    <row r="4" spans="1:13" x14ac:dyDescent="0.25">
      <c r="A4" t="s">
        <v>8188</v>
      </c>
      <c r="B4">
        <v>24</v>
      </c>
      <c r="C4">
        <v>28</v>
      </c>
      <c r="D4">
        <v>33</v>
      </c>
      <c r="E4">
        <v>38</v>
      </c>
      <c r="F4">
        <v>48</v>
      </c>
      <c r="H4" t="s">
        <v>8501</v>
      </c>
      <c r="I4" t="s">
        <v>8356</v>
      </c>
      <c r="J4">
        <v>2003</v>
      </c>
      <c r="K4">
        <v>770125</v>
      </c>
      <c r="L4" t="s">
        <v>8443</v>
      </c>
      <c r="M4" t="s">
        <v>8357</v>
      </c>
    </row>
    <row r="5" spans="1:13" x14ac:dyDescent="0.25">
      <c r="A5" t="s">
        <v>8189</v>
      </c>
      <c r="B5">
        <v>8</v>
      </c>
      <c r="C5">
        <v>9</v>
      </c>
      <c r="D5">
        <v>11</v>
      </c>
      <c r="E5">
        <v>12</v>
      </c>
      <c r="F5">
        <v>16</v>
      </c>
      <c r="H5" t="s">
        <v>8493</v>
      </c>
      <c r="I5" t="s">
        <v>8358</v>
      </c>
      <c r="J5">
        <v>2004</v>
      </c>
      <c r="K5">
        <v>770106</v>
      </c>
      <c r="L5" t="s">
        <v>8444</v>
      </c>
      <c r="M5" t="s">
        <v>8359</v>
      </c>
    </row>
    <row r="6" spans="1:13" x14ac:dyDescent="0.25">
      <c r="A6" t="s">
        <v>7738</v>
      </c>
      <c r="B6">
        <v>16</v>
      </c>
      <c r="C6">
        <v>19</v>
      </c>
      <c r="D6">
        <v>22</v>
      </c>
      <c r="E6">
        <v>25</v>
      </c>
      <c r="F6">
        <v>32</v>
      </c>
      <c r="H6" t="s">
        <v>8492</v>
      </c>
      <c r="I6" t="s">
        <v>8360</v>
      </c>
      <c r="J6">
        <v>2005</v>
      </c>
      <c r="K6">
        <v>220187</v>
      </c>
      <c r="L6" t="s">
        <v>8448</v>
      </c>
      <c r="M6" t="s">
        <v>8361</v>
      </c>
    </row>
    <row r="7" spans="1:13" x14ac:dyDescent="0.25">
      <c r="A7" t="s">
        <v>878</v>
      </c>
      <c r="B7">
        <v>5</v>
      </c>
      <c r="C7">
        <v>6</v>
      </c>
      <c r="D7">
        <v>7</v>
      </c>
      <c r="E7">
        <v>8</v>
      </c>
      <c r="F7">
        <v>10</v>
      </c>
      <c r="H7" t="s">
        <v>8491</v>
      </c>
      <c r="I7" t="s">
        <v>8362</v>
      </c>
      <c r="J7">
        <v>2006</v>
      </c>
      <c r="K7">
        <v>770113</v>
      </c>
      <c r="L7" t="s">
        <v>8449</v>
      </c>
      <c r="M7" t="s">
        <v>8363</v>
      </c>
    </row>
    <row r="8" spans="1:13" x14ac:dyDescent="0.25">
      <c r="A8" t="s">
        <v>38</v>
      </c>
      <c r="B8">
        <v>5</v>
      </c>
      <c r="C8">
        <v>6</v>
      </c>
      <c r="D8">
        <v>7</v>
      </c>
      <c r="E8">
        <v>8</v>
      </c>
      <c r="F8">
        <v>10</v>
      </c>
      <c r="H8" t="s">
        <v>8490</v>
      </c>
      <c r="I8" t="s">
        <v>8364</v>
      </c>
      <c r="J8">
        <v>3001</v>
      </c>
      <c r="K8">
        <v>220173</v>
      </c>
      <c r="L8" t="s">
        <v>8445</v>
      </c>
      <c r="M8" t="s">
        <v>8365</v>
      </c>
    </row>
    <row r="9" spans="1:13" x14ac:dyDescent="0.25">
      <c r="A9" t="s">
        <v>278</v>
      </c>
      <c r="B9">
        <v>2</v>
      </c>
      <c r="C9">
        <v>3</v>
      </c>
      <c r="D9">
        <v>4</v>
      </c>
      <c r="E9">
        <v>5</v>
      </c>
      <c r="F9">
        <v>6</v>
      </c>
      <c r="H9" t="s">
        <v>8489</v>
      </c>
      <c r="I9" t="s">
        <v>8366</v>
      </c>
      <c r="J9">
        <v>3002</v>
      </c>
      <c r="K9">
        <v>220175</v>
      </c>
      <c r="L9" t="s">
        <v>8446</v>
      </c>
      <c r="M9" t="s">
        <v>8367</v>
      </c>
    </row>
    <row r="10" spans="1:13" x14ac:dyDescent="0.25">
      <c r="A10" t="s">
        <v>39</v>
      </c>
      <c r="B10">
        <v>2</v>
      </c>
      <c r="C10">
        <v>3</v>
      </c>
      <c r="D10">
        <v>4</v>
      </c>
      <c r="E10">
        <v>5</v>
      </c>
      <c r="F10">
        <v>6</v>
      </c>
      <c r="H10" t="s">
        <v>8488</v>
      </c>
      <c r="I10" t="s">
        <v>8368</v>
      </c>
      <c r="J10">
        <v>3003</v>
      </c>
      <c r="K10">
        <v>220181</v>
      </c>
      <c r="L10" t="s">
        <v>8447</v>
      </c>
      <c r="M10" t="s">
        <v>8369</v>
      </c>
    </row>
    <row r="11" spans="1:13" x14ac:dyDescent="0.25">
      <c r="A11" t="s">
        <v>8279</v>
      </c>
      <c r="B11">
        <v>10</v>
      </c>
      <c r="C11">
        <v>12</v>
      </c>
      <c r="D11">
        <v>14</v>
      </c>
      <c r="E11">
        <v>16</v>
      </c>
      <c r="F11">
        <v>20</v>
      </c>
      <c r="H11" t="s">
        <v>8437</v>
      </c>
      <c r="I11" t="s">
        <v>8370</v>
      </c>
      <c r="J11">
        <v>3004</v>
      </c>
      <c r="K11">
        <v>220180</v>
      </c>
      <c r="L11" t="s">
        <v>8450</v>
      </c>
      <c r="M11" t="s">
        <v>8371</v>
      </c>
    </row>
    <row r="12" spans="1:13" x14ac:dyDescent="0.25">
      <c r="A12" t="s">
        <v>8280</v>
      </c>
      <c r="B12">
        <v>10</v>
      </c>
      <c r="C12">
        <v>12</v>
      </c>
      <c r="D12">
        <v>14</v>
      </c>
      <c r="E12">
        <v>16</v>
      </c>
      <c r="F12">
        <v>20</v>
      </c>
      <c r="H12" t="s">
        <v>8487</v>
      </c>
      <c r="I12" t="s">
        <v>8372</v>
      </c>
      <c r="J12">
        <v>3005</v>
      </c>
      <c r="K12">
        <v>220167</v>
      </c>
      <c r="L12" t="s">
        <v>8412</v>
      </c>
      <c r="M12" t="s">
        <v>8412</v>
      </c>
    </row>
    <row r="13" spans="1:13" x14ac:dyDescent="0.25">
      <c r="A13" t="s">
        <v>8191</v>
      </c>
      <c r="B13">
        <v>13</v>
      </c>
      <c r="C13">
        <v>15</v>
      </c>
      <c r="D13">
        <v>18</v>
      </c>
      <c r="E13">
        <v>20</v>
      </c>
      <c r="F13">
        <v>26</v>
      </c>
      <c r="H13" t="s">
        <v>8486</v>
      </c>
      <c r="I13" t="s">
        <v>8373</v>
      </c>
      <c r="J13">
        <v>3006</v>
      </c>
      <c r="K13">
        <v>220185</v>
      </c>
      <c r="L13" t="s">
        <v>8451</v>
      </c>
      <c r="M13" t="s">
        <v>8374</v>
      </c>
    </row>
    <row r="14" spans="1:13" x14ac:dyDescent="0.25">
      <c r="A14" t="s">
        <v>8192</v>
      </c>
      <c r="B14">
        <v>38</v>
      </c>
      <c r="C14">
        <v>45</v>
      </c>
      <c r="D14">
        <v>53</v>
      </c>
      <c r="E14">
        <v>60</v>
      </c>
      <c r="F14">
        <v>76</v>
      </c>
      <c r="H14" t="s">
        <v>8485</v>
      </c>
      <c r="I14" t="s">
        <v>8375</v>
      </c>
      <c r="J14">
        <v>4001</v>
      </c>
      <c r="K14">
        <v>770090</v>
      </c>
      <c r="L14" t="s">
        <v>8413</v>
      </c>
      <c r="M14" t="s">
        <v>8413</v>
      </c>
    </row>
    <row r="15" spans="1:13" x14ac:dyDescent="0.25">
      <c r="A15" t="s">
        <v>8190</v>
      </c>
      <c r="B15">
        <v>19</v>
      </c>
      <c r="C15">
        <v>22</v>
      </c>
      <c r="D15">
        <v>26</v>
      </c>
      <c r="E15">
        <v>30</v>
      </c>
      <c r="F15">
        <v>38</v>
      </c>
      <c r="H15" t="s">
        <v>8484</v>
      </c>
      <c r="I15" t="s">
        <v>8376</v>
      </c>
      <c r="J15">
        <v>4002</v>
      </c>
      <c r="K15">
        <v>770091</v>
      </c>
      <c r="L15" t="s">
        <v>8414</v>
      </c>
      <c r="M15" t="s">
        <v>8414</v>
      </c>
    </row>
    <row r="16" spans="1:13" x14ac:dyDescent="0.25">
      <c r="A16" t="s">
        <v>1798</v>
      </c>
      <c r="B16" t="s">
        <v>8500</v>
      </c>
      <c r="C16" t="s">
        <v>8500</v>
      </c>
      <c r="D16" t="s">
        <v>8500</v>
      </c>
      <c r="E16" t="s">
        <v>8500</v>
      </c>
      <c r="F16" t="s">
        <v>8500</v>
      </c>
      <c r="H16" t="s">
        <v>8483</v>
      </c>
      <c r="I16" t="s">
        <v>8377</v>
      </c>
      <c r="J16">
        <v>4003</v>
      </c>
      <c r="K16">
        <v>770014</v>
      </c>
      <c r="L16" t="s">
        <v>8415</v>
      </c>
      <c r="M16" t="s">
        <v>8415</v>
      </c>
    </row>
    <row r="17" spans="8:13" x14ac:dyDescent="0.25">
      <c r="H17" t="s">
        <v>8482</v>
      </c>
      <c r="I17" t="s">
        <v>8378</v>
      </c>
      <c r="J17">
        <v>4004</v>
      </c>
      <c r="K17">
        <v>770016</v>
      </c>
      <c r="L17" t="s">
        <v>8416</v>
      </c>
      <c r="M17" t="s">
        <v>8416</v>
      </c>
    </row>
    <row r="18" spans="8:13" x14ac:dyDescent="0.25">
      <c r="H18" t="s">
        <v>8481</v>
      </c>
      <c r="I18" t="s">
        <v>8379</v>
      </c>
      <c r="J18">
        <v>4005</v>
      </c>
      <c r="K18">
        <v>770019</v>
      </c>
      <c r="L18" t="s">
        <v>8417</v>
      </c>
      <c r="M18" t="s">
        <v>8417</v>
      </c>
    </row>
    <row r="19" spans="8:13" x14ac:dyDescent="0.25">
      <c r="H19" t="s">
        <v>8480</v>
      </c>
      <c r="I19" t="s">
        <v>8380</v>
      </c>
      <c r="J19">
        <v>4006</v>
      </c>
      <c r="K19">
        <v>770024</v>
      </c>
      <c r="L19" t="s">
        <v>8418</v>
      </c>
      <c r="M19" t="s">
        <v>8418</v>
      </c>
    </row>
    <row r="20" spans="8:13" x14ac:dyDescent="0.25">
      <c r="H20" t="s">
        <v>8479</v>
      </c>
      <c r="I20" t="s">
        <v>8381</v>
      </c>
      <c r="J20">
        <v>4007</v>
      </c>
      <c r="K20">
        <v>770096</v>
      </c>
      <c r="L20" t="s">
        <v>8419</v>
      </c>
      <c r="M20" t="s">
        <v>8419</v>
      </c>
    </row>
    <row r="21" spans="8:13" x14ac:dyDescent="0.25">
      <c r="H21" t="s">
        <v>8478</v>
      </c>
      <c r="I21" t="s">
        <v>8382</v>
      </c>
      <c r="J21">
        <v>4008</v>
      </c>
      <c r="K21">
        <v>770107</v>
      </c>
      <c r="L21" t="s">
        <v>8452</v>
      </c>
      <c r="M21" t="s">
        <v>8383</v>
      </c>
    </row>
    <row r="22" spans="8:13" x14ac:dyDescent="0.25">
      <c r="H22" t="s">
        <v>7380</v>
      </c>
      <c r="I22" t="s">
        <v>7437</v>
      </c>
      <c r="J22">
        <v>4009</v>
      </c>
      <c r="K22">
        <v>770109</v>
      </c>
      <c r="L22" t="s">
        <v>8420</v>
      </c>
      <c r="M22" t="s">
        <v>8420</v>
      </c>
    </row>
    <row r="23" spans="8:13" x14ac:dyDescent="0.25">
      <c r="H23" t="s">
        <v>8438</v>
      </c>
      <c r="I23" t="s">
        <v>8384</v>
      </c>
      <c r="J23">
        <v>5001</v>
      </c>
      <c r="K23">
        <v>770037</v>
      </c>
      <c r="L23" t="s">
        <v>8453</v>
      </c>
      <c r="M23" t="s">
        <v>8385</v>
      </c>
    </row>
    <row r="24" spans="8:13" x14ac:dyDescent="0.25">
      <c r="H24" t="s">
        <v>8439</v>
      </c>
      <c r="I24" t="s">
        <v>8386</v>
      </c>
      <c r="J24">
        <v>5002</v>
      </c>
      <c r="K24">
        <v>770039</v>
      </c>
      <c r="L24" t="s">
        <v>8421</v>
      </c>
      <c r="M24" t="s">
        <v>8421</v>
      </c>
    </row>
    <row r="25" spans="8:13" x14ac:dyDescent="0.25">
      <c r="H25" t="s">
        <v>8477</v>
      </c>
      <c r="I25" t="s">
        <v>8387</v>
      </c>
      <c r="J25">
        <v>5003</v>
      </c>
      <c r="K25">
        <v>770040</v>
      </c>
      <c r="L25" t="s">
        <v>8422</v>
      </c>
      <c r="M25" t="s">
        <v>8422</v>
      </c>
    </row>
    <row r="26" spans="8:13" x14ac:dyDescent="0.25">
      <c r="H26" t="s">
        <v>8476</v>
      </c>
      <c r="I26" t="s">
        <v>8388</v>
      </c>
      <c r="J26">
        <v>5004</v>
      </c>
      <c r="K26">
        <v>770041</v>
      </c>
      <c r="L26" t="s">
        <v>8423</v>
      </c>
      <c r="M26" t="s">
        <v>8423</v>
      </c>
    </row>
    <row r="27" spans="8:13" x14ac:dyDescent="0.25">
      <c r="H27" t="s">
        <v>8440</v>
      </c>
      <c r="I27" t="s">
        <v>8389</v>
      </c>
      <c r="J27">
        <v>5005</v>
      </c>
      <c r="K27">
        <v>220183</v>
      </c>
      <c r="L27" t="s">
        <v>8424</v>
      </c>
      <c r="M27" t="s">
        <v>8424</v>
      </c>
    </row>
    <row r="28" spans="8:13" x14ac:dyDescent="0.25">
      <c r="H28" t="s">
        <v>8475</v>
      </c>
      <c r="I28" t="s">
        <v>8390</v>
      </c>
      <c r="J28">
        <v>5006</v>
      </c>
      <c r="K28">
        <v>770114</v>
      </c>
      <c r="L28" t="s">
        <v>8425</v>
      </c>
      <c r="M28" t="s">
        <v>8425</v>
      </c>
    </row>
    <row r="29" spans="8:13" x14ac:dyDescent="0.25">
      <c r="H29" t="s">
        <v>8474</v>
      </c>
      <c r="I29" t="s">
        <v>8391</v>
      </c>
      <c r="J29">
        <v>5007</v>
      </c>
      <c r="K29">
        <v>770104</v>
      </c>
      <c r="L29" t="s">
        <v>8426</v>
      </c>
      <c r="M29" t="s">
        <v>8426</v>
      </c>
    </row>
    <row r="30" spans="8:13" x14ac:dyDescent="0.25">
      <c r="H30" t="s">
        <v>8473</v>
      </c>
      <c r="I30" t="s">
        <v>8392</v>
      </c>
      <c r="J30">
        <v>6001</v>
      </c>
      <c r="K30">
        <v>770092</v>
      </c>
      <c r="L30" t="s">
        <v>8427</v>
      </c>
      <c r="M30" t="s">
        <v>8427</v>
      </c>
    </row>
    <row r="31" spans="8:13" x14ac:dyDescent="0.25">
      <c r="H31" t="s">
        <v>8472</v>
      </c>
      <c r="I31" t="s">
        <v>8393</v>
      </c>
      <c r="J31">
        <v>6002</v>
      </c>
      <c r="K31">
        <v>770093</v>
      </c>
      <c r="L31" t="s">
        <v>8454</v>
      </c>
      <c r="M31" t="s">
        <v>8394</v>
      </c>
    </row>
    <row r="32" spans="8:13" x14ac:dyDescent="0.25">
      <c r="H32" t="s">
        <v>8471</v>
      </c>
      <c r="I32" t="s">
        <v>8395</v>
      </c>
      <c r="J32">
        <v>6003</v>
      </c>
      <c r="K32">
        <v>770026</v>
      </c>
      <c r="L32" t="s">
        <v>8455</v>
      </c>
      <c r="M32" t="s">
        <v>8396</v>
      </c>
    </row>
    <row r="33" spans="8:13" x14ac:dyDescent="0.25">
      <c r="H33" t="s">
        <v>8470</v>
      </c>
      <c r="I33" t="s">
        <v>8397</v>
      </c>
      <c r="J33">
        <v>6004</v>
      </c>
      <c r="K33">
        <v>770028</v>
      </c>
      <c r="L33" t="s">
        <v>8428</v>
      </c>
      <c r="M33" t="s">
        <v>8428</v>
      </c>
    </row>
    <row r="34" spans="8:13" x14ac:dyDescent="0.25">
      <c r="H34" t="s">
        <v>8469</v>
      </c>
      <c r="I34" t="s">
        <v>8398</v>
      </c>
      <c r="J34">
        <v>6005</v>
      </c>
      <c r="K34">
        <v>220182</v>
      </c>
      <c r="L34" t="s">
        <v>8429</v>
      </c>
      <c r="M34" t="s">
        <v>8429</v>
      </c>
    </row>
    <row r="35" spans="8:13" x14ac:dyDescent="0.25">
      <c r="H35" t="s">
        <v>8468</v>
      </c>
      <c r="I35" t="s">
        <v>8399</v>
      </c>
      <c r="J35">
        <v>6006</v>
      </c>
      <c r="K35">
        <v>770030</v>
      </c>
      <c r="L35" t="s">
        <v>8430</v>
      </c>
      <c r="M35" t="s">
        <v>8430</v>
      </c>
    </row>
    <row r="36" spans="8:13" x14ac:dyDescent="0.25">
      <c r="H36" t="s">
        <v>8467</v>
      </c>
      <c r="I36" t="s">
        <v>8400</v>
      </c>
      <c r="J36">
        <v>6007</v>
      </c>
      <c r="K36">
        <v>770032</v>
      </c>
      <c r="L36" t="s">
        <v>8431</v>
      </c>
      <c r="M36" t="s">
        <v>8431</v>
      </c>
    </row>
    <row r="37" spans="8:13" x14ac:dyDescent="0.25">
      <c r="H37" t="s">
        <v>8466</v>
      </c>
      <c r="I37" t="s">
        <v>8401</v>
      </c>
      <c r="J37">
        <v>6008</v>
      </c>
      <c r="K37">
        <v>770034</v>
      </c>
      <c r="L37" t="s">
        <v>8432</v>
      </c>
      <c r="M37" t="s">
        <v>8432</v>
      </c>
    </row>
    <row r="38" spans="8:13" x14ac:dyDescent="0.25">
      <c r="H38" t="s">
        <v>8465</v>
      </c>
      <c r="I38" t="s">
        <v>8402</v>
      </c>
      <c r="J38">
        <v>6009</v>
      </c>
      <c r="K38">
        <v>770100</v>
      </c>
      <c r="L38" t="s">
        <v>8433</v>
      </c>
      <c r="M38" t="s">
        <v>8433</v>
      </c>
    </row>
    <row r="39" spans="8:13" x14ac:dyDescent="0.25">
      <c r="H39" t="s">
        <v>8464</v>
      </c>
      <c r="I39" t="s">
        <v>8403</v>
      </c>
      <c r="J39">
        <v>7001</v>
      </c>
      <c r="K39">
        <v>770046</v>
      </c>
      <c r="L39" t="s">
        <v>8456</v>
      </c>
      <c r="M39" t="s">
        <v>8404</v>
      </c>
    </row>
    <row r="40" spans="8:13" x14ac:dyDescent="0.25">
      <c r="H40" t="s">
        <v>8463</v>
      </c>
      <c r="I40" t="s">
        <v>8405</v>
      </c>
      <c r="J40">
        <v>7002</v>
      </c>
      <c r="K40">
        <v>770045</v>
      </c>
      <c r="L40" t="s">
        <v>8457</v>
      </c>
      <c r="M40" t="s">
        <v>8406</v>
      </c>
    </row>
    <row r="41" spans="8:13" x14ac:dyDescent="0.25">
      <c r="H41" t="s">
        <v>8462</v>
      </c>
      <c r="I41" t="s">
        <v>8407</v>
      </c>
      <c r="J41">
        <v>7003</v>
      </c>
      <c r="K41">
        <v>770047</v>
      </c>
      <c r="L41" t="s">
        <v>8458</v>
      </c>
      <c r="M41" t="s">
        <v>8408</v>
      </c>
    </row>
    <row r="42" spans="8:13" x14ac:dyDescent="0.25">
      <c r="H42" t="s">
        <v>8461</v>
      </c>
      <c r="I42" t="s">
        <v>8409</v>
      </c>
      <c r="J42">
        <v>7004</v>
      </c>
      <c r="K42">
        <v>770082</v>
      </c>
      <c r="L42" t="s">
        <v>8434</v>
      </c>
      <c r="M42" t="s">
        <v>8434</v>
      </c>
    </row>
    <row r="43" spans="8:13" x14ac:dyDescent="0.25">
      <c r="H43" t="s">
        <v>8460</v>
      </c>
      <c r="I43" t="s">
        <v>8410</v>
      </c>
      <c r="J43">
        <v>7005</v>
      </c>
      <c r="K43">
        <v>770081</v>
      </c>
      <c r="L43" t="s">
        <v>8435</v>
      </c>
      <c r="M43" t="s">
        <v>8435</v>
      </c>
    </row>
    <row r="44" spans="8:13" x14ac:dyDescent="0.25">
      <c r="H44" t="s">
        <v>8459</v>
      </c>
      <c r="I44" t="s">
        <v>8411</v>
      </c>
      <c r="J44">
        <v>7006</v>
      </c>
      <c r="K44">
        <v>770084</v>
      </c>
      <c r="L44" t="s">
        <v>8436</v>
      </c>
      <c r="M44" t="s">
        <v>8436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8547</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8548</v>
      </c>
      <c r="X1" s="91" t="s">
        <v>8549</v>
      </c>
      <c r="Y1" s="91" t="s">
        <v>8550</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8551</v>
      </c>
      <c r="D1" s="91" t="s">
        <v>8552</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activeCell="B2" sqref="B2:B19"/>
    </sheetView>
  </sheetViews>
  <sheetFormatPr defaultRowHeight="15" x14ac:dyDescent="0.25"/>
  <sheetData>
    <row r="1" spans="1:29" s="10" customFormat="1" x14ac:dyDescent="0.25">
      <c r="A1" s="40" t="s">
        <v>25</v>
      </c>
      <c r="B1" s="40" t="s">
        <v>26</v>
      </c>
      <c r="C1" s="40" t="s">
        <v>8271</v>
      </c>
      <c r="D1" s="40" t="s">
        <v>8177</v>
      </c>
      <c r="E1" s="40" t="s">
        <v>8272</v>
      </c>
      <c r="F1" s="40" t="s">
        <v>54</v>
      </c>
      <c r="G1" s="40" t="s">
        <v>44</v>
      </c>
      <c r="H1" s="40" t="s">
        <v>8273</v>
      </c>
      <c r="I1" s="40" t="s">
        <v>8274</v>
      </c>
      <c r="J1" s="40" t="s">
        <v>8275</v>
      </c>
      <c r="K1" s="40" t="s">
        <v>8276</v>
      </c>
      <c r="L1" s="40" t="s">
        <v>8277</v>
      </c>
      <c r="M1" s="40" t="s">
        <v>8278</v>
      </c>
      <c r="N1" s="40" t="s">
        <v>8187</v>
      </c>
      <c r="O1" s="40" t="s">
        <v>8188</v>
      </c>
      <c r="P1" s="40" t="s">
        <v>8189</v>
      </c>
      <c r="Q1" s="40" t="s">
        <v>7738</v>
      </c>
      <c r="R1" s="40" t="s">
        <v>878</v>
      </c>
      <c r="S1" s="40" t="s">
        <v>38</v>
      </c>
      <c r="T1" s="40" t="s">
        <v>278</v>
      </c>
      <c r="U1" s="40" t="s">
        <v>39</v>
      </c>
      <c r="V1" s="40" t="s">
        <v>8279</v>
      </c>
      <c r="W1" s="40" t="s">
        <v>8280</v>
      </c>
      <c r="X1" s="40" t="s">
        <v>8191</v>
      </c>
      <c r="Y1" s="40" t="s">
        <v>8192</v>
      </c>
      <c r="Z1" s="40" t="s">
        <v>8190</v>
      </c>
      <c r="AA1" s="40" t="s">
        <v>8178</v>
      </c>
      <c r="AB1" s="40" t="s">
        <v>8179</v>
      </c>
      <c r="AC1" s="40" t="s">
        <v>1798</v>
      </c>
    </row>
    <row r="2" spans="1:29" x14ac:dyDescent="0.25">
      <c r="A2" s="47">
        <f>IF(Main!B82="","",ROW()-1)</f>
        <v>1</v>
      </c>
      <c r="B2" s="47">
        <v>1234567</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1234567</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1234567</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1234567</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1234567</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1234567</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1234567</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1234567</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1234567</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1234567</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1234567</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1234567</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1234567</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1234567</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1234567</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1234567</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1234567</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1234567</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8737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8738</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8738</v>
      </c>
      <c r="E12" s="1" t="str">
        <f>IF(DayNight&lt;&gt;"Day","",_xlfn.IFNA(MATCH(A12,Main!$I$125:$I$127,0),""))</f>
        <v/>
      </c>
    </row>
    <row r="13" spans="1:6" x14ac:dyDescent="0.25">
      <c r="A13" s="1">
        <f t="shared" ref="A13" si="5">A4</f>
        <v>102</v>
      </c>
      <c r="B13" s="1">
        <f t="shared" si="3"/>
        <v>64</v>
      </c>
      <c r="C13" s="9" t="str">
        <f t="shared" si="4"/>
        <v>"ally_instance_ids": [],</v>
      </c>
      <c r="D13" s="1" t="s">
        <v>8738</v>
      </c>
      <c r="E13" s="1" t="str">
        <f>IF(DayNight&lt;&gt;"Day","",_xlfn.IFNA(MATCH(A13,Main!$I$125:$I$127,0),""))</f>
        <v/>
      </c>
    </row>
    <row r="14" spans="1:6" x14ac:dyDescent="0.25">
      <c r="A14" s="1">
        <f t="shared" ref="A14" si="6">A5</f>
        <v>104</v>
      </c>
      <c r="B14" s="1">
        <f t="shared" si="3"/>
        <v>112</v>
      </c>
      <c r="C14" s="9" t="str">
        <f t="shared" si="4"/>
        <v>"ally_instance_ids": [],</v>
      </c>
      <c r="D14" s="1" t="s">
        <v>8738</v>
      </c>
      <c r="E14" s="1" t="str">
        <f>IF(DayNight&lt;&gt;"Day","",_xlfn.IFNA(MATCH(A14,Main!$I$125:$I$127,0),""))</f>
        <v/>
      </c>
    </row>
    <row r="15" spans="1:6" x14ac:dyDescent="0.25">
      <c r="A15" s="1">
        <f t="shared" ref="A15" si="7">A6</f>
        <v>105</v>
      </c>
      <c r="B15" s="1">
        <f t="shared" si="3"/>
        <v>136</v>
      </c>
      <c r="C15" s="9" t="str">
        <f t="shared" si="4"/>
        <v>"ally_instance_ids": [],</v>
      </c>
      <c r="D15" s="1" t="s">
        <v>8738</v>
      </c>
      <c r="E15" s="1" t="str">
        <f>IF(DayNight&lt;&gt;"Day","",_xlfn.IFNA(MATCH(A15,Main!$I$125:$I$127,0),""))</f>
        <v/>
      </c>
    </row>
    <row r="16" spans="1:6" x14ac:dyDescent="0.25">
      <c r="A16" s="1">
        <f t="shared" ref="A16" si="8">A7</f>
        <v>106</v>
      </c>
      <c r="B16" s="1">
        <f t="shared" si="3"/>
        <v>160</v>
      </c>
      <c r="C16" s="9" t="str">
        <f t="shared" si="4"/>
        <v>"ally_instance_ids": [],</v>
      </c>
      <c r="D16" s="1" t="s">
        <v>8738</v>
      </c>
      <c r="E16" s="1" t="str">
        <f>IF(DayNight&lt;&gt;"Day","",_xlfn.IFNA(MATCH(A16,Main!$I$125:$I$127,0),""))</f>
        <v/>
      </c>
    </row>
    <row r="17" spans="1:5" x14ac:dyDescent="0.25">
      <c r="A17" s="1">
        <f t="shared" ref="A17" si="9">A8</f>
        <v>107</v>
      </c>
      <c r="B17" s="1">
        <f t="shared" si="3"/>
        <v>184</v>
      </c>
      <c r="C17" s="9" t="str">
        <f t="shared" si="4"/>
        <v>"ally_instance_ids": [],</v>
      </c>
      <c r="D17" s="1" t="s">
        <v>8738</v>
      </c>
      <c r="E17" s="1" t="str">
        <f>IF(DayNight&lt;&gt;"Day","",_xlfn.IFNA(MATCH(A17,Main!$I$125:$I$127,0),""))</f>
        <v/>
      </c>
    </row>
    <row r="18" spans="1:5" x14ac:dyDescent="0.25">
      <c r="A18" s="1">
        <f t="shared" ref="A18" si="10">A9</f>
        <v>99</v>
      </c>
      <c r="B18" s="1">
        <f t="shared" si="3"/>
        <v>203</v>
      </c>
      <c r="C18" s="9" t="str">
        <f t="shared" si="4"/>
        <v>"ally_instance_ids": [],</v>
      </c>
      <c r="D18" s="1" t="s">
        <v>8738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8738</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8738</v>
      </c>
      <c r="E34" s="1" t="str">
        <f>IF(DayNight&lt;&gt;"Night","",_xlfn.IFNA(MATCH(A34,Main!$I$125:$I$127,0),""))</f>
        <v/>
      </c>
    </row>
    <row r="35" spans="1:5" x14ac:dyDescent="0.25">
      <c r="A35" s="1">
        <f t="shared" ref="A35" si="4">A4</f>
        <v>7119</v>
      </c>
      <c r="B35" s="1">
        <f t="shared" si="2"/>
        <v>64</v>
      </c>
      <c r="C35" s="9" t="str">
        <f t="shared" si="3"/>
        <v>"ally_instance_ids": [],</v>
      </c>
      <c r="D35" s="1" t="s">
        <v>8738</v>
      </c>
      <c r="E35" s="1" t="str">
        <f>IF(DayNight&lt;&gt;"Night","",_xlfn.IFNA(MATCH(A35,Main!$I$125:$I$127,0),""))</f>
        <v/>
      </c>
    </row>
    <row r="36" spans="1:5" x14ac:dyDescent="0.25">
      <c r="A36" s="1">
        <f t="shared" ref="A36" si="5">A5</f>
        <v>7120</v>
      </c>
      <c r="B36" s="1">
        <f t="shared" si="2"/>
        <v>88</v>
      </c>
      <c r="C36" s="9" t="str">
        <f t="shared" si="3"/>
        <v>"ally_instance_ids": [],</v>
      </c>
      <c r="D36" s="1" t="s">
        <v>8738</v>
      </c>
      <c r="E36" s="1" t="str">
        <f>IF(DayNight&lt;&gt;"Night","",_xlfn.IFNA(MATCH(A36,Main!$I$125:$I$127,0),""))</f>
        <v/>
      </c>
    </row>
    <row r="37" spans="1:5" x14ac:dyDescent="0.25">
      <c r="A37" s="1">
        <f t="shared" ref="A37" si="6">A6</f>
        <v>7121</v>
      </c>
      <c r="B37" s="1">
        <f t="shared" si="2"/>
        <v>112</v>
      </c>
      <c r="C37" s="9" t="str">
        <f t="shared" si="3"/>
        <v>"ally_instance_ids": [],</v>
      </c>
      <c r="D37" s="1" t="s">
        <v>8738</v>
      </c>
      <c r="E37" s="1" t="str">
        <f>IF(DayNight&lt;&gt;"Night","",_xlfn.IFNA(MATCH(A37,Main!$I$125:$I$127,0),""))</f>
        <v/>
      </c>
    </row>
    <row r="38" spans="1:5" x14ac:dyDescent="0.25">
      <c r="A38" s="1">
        <f t="shared" ref="A38" si="7">A7</f>
        <v>7122</v>
      </c>
      <c r="B38" s="1">
        <f t="shared" si="2"/>
        <v>136</v>
      </c>
      <c r="C38" s="9" t="str">
        <f t="shared" si="3"/>
        <v>"ally_instance_ids": [],</v>
      </c>
      <c r="D38" s="1" t="s">
        <v>8738</v>
      </c>
      <c r="E38" s="1" t="str">
        <f>IF(DayNight&lt;&gt;"Night","",_xlfn.IFNA(MATCH(A38,Main!$I$125:$I$127,0),""))</f>
        <v/>
      </c>
    </row>
    <row r="39" spans="1:5" x14ac:dyDescent="0.25">
      <c r="A39" s="1">
        <f t="shared" ref="A39" si="8">A8</f>
        <v>7123</v>
      </c>
      <c r="B39" s="1">
        <f t="shared" si="2"/>
        <v>160</v>
      </c>
      <c r="C39" s="9" t="str">
        <f t="shared" si="3"/>
        <v>"ally_instance_ids": [],</v>
      </c>
      <c r="D39" s="1" t="s">
        <v>8738</v>
      </c>
      <c r="E39" s="1" t="str">
        <f>IF(DayNight&lt;&gt;"Night","",_xlfn.IFNA(MATCH(A39,Main!$I$125:$I$127,0),""))</f>
        <v/>
      </c>
    </row>
    <row r="40" spans="1:5" x14ac:dyDescent="0.25">
      <c r="A40" s="1">
        <f t="shared" ref="A40" si="9">A9</f>
        <v>7124</v>
      </c>
      <c r="B40" s="1">
        <f t="shared" si="2"/>
        <v>184</v>
      </c>
      <c r="C40" s="9" t="str">
        <f t="shared" si="3"/>
        <v>"ally_instance_ids": [],</v>
      </c>
      <c r="D40" s="1" t="s">
        <v>8738</v>
      </c>
      <c r="E40" s="1" t="str">
        <f>IF(DayNight&lt;&gt;"Night","",_xlfn.IFNA(MATCH(A40,Main!$I$125:$I$127,0),""))</f>
        <v/>
      </c>
    </row>
    <row r="41" spans="1:5" x14ac:dyDescent="0.25">
      <c r="A41" s="1">
        <f t="shared" ref="A41" si="10">A10</f>
        <v>7126</v>
      </c>
      <c r="B41" s="1">
        <f t="shared" si="2"/>
        <v>208</v>
      </c>
      <c r="C41" s="9" t="str">
        <f t="shared" si="3"/>
        <v>"ally_instance_ids": [],</v>
      </c>
      <c r="D41" s="1" t="s">
        <v>8738</v>
      </c>
      <c r="E41" s="1" t="str">
        <f>IF(DayNight&lt;&gt;"Night","",_xlfn.IFNA(MATCH(A41,Main!$I$125:$I$127,0),""))</f>
        <v/>
      </c>
    </row>
    <row r="42" spans="1:5" x14ac:dyDescent="0.25">
      <c r="A42" s="1">
        <f t="shared" ref="A42" si="11">A11</f>
        <v>7127</v>
      </c>
      <c r="B42" s="1">
        <f t="shared" si="2"/>
        <v>232</v>
      </c>
      <c r="C42" s="9" t="str">
        <f t="shared" si="3"/>
        <v>"ally_instance_ids": [],</v>
      </c>
      <c r="D42" s="1" t="s">
        <v>8738</v>
      </c>
      <c r="E42" s="1" t="str">
        <f>IF(DayNight&lt;&gt;"Night","",_xlfn.IFNA(MATCH(A42,Main!$I$125:$I$127,0),""))</f>
        <v/>
      </c>
    </row>
    <row r="43" spans="1:5" x14ac:dyDescent="0.25">
      <c r="A43" s="1">
        <f t="shared" ref="A43" si="12">A12</f>
        <v>7128</v>
      </c>
      <c r="B43" s="1">
        <f t="shared" si="2"/>
        <v>256</v>
      </c>
      <c r="C43" s="9" t="str">
        <f t="shared" si="3"/>
        <v>"ally_instance_ids": [],</v>
      </c>
      <c r="D43" s="1" t="s">
        <v>8738</v>
      </c>
      <c r="E43" s="1" t="str">
        <f>IF(DayNight&lt;&gt;"Night","",_xlfn.IFNA(MATCH(A43,Main!$I$125:$I$127,0),""))</f>
        <v/>
      </c>
    </row>
    <row r="44" spans="1:5" x14ac:dyDescent="0.25">
      <c r="A44" s="1">
        <f t="shared" ref="A44" si="13">A13</f>
        <v>7129</v>
      </c>
      <c r="B44" s="1">
        <f t="shared" si="2"/>
        <v>280</v>
      </c>
      <c r="C44" s="9" t="str">
        <f t="shared" si="3"/>
        <v>"ally_instance_ids": [],</v>
      </c>
      <c r="D44" s="1" t="s">
        <v>8738</v>
      </c>
      <c r="E44" s="1" t="str">
        <f>IF(DayNight&lt;&gt;"Night","",_xlfn.IFNA(MATCH(A44,Main!$I$125:$I$127,0),""))</f>
        <v/>
      </c>
    </row>
    <row r="45" spans="1:5" x14ac:dyDescent="0.25">
      <c r="A45" s="1">
        <f t="shared" ref="A45" si="14">A14</f>
        <v>7130</v>
      </c>
      <c r="B45" s="1">
        <f t="shared" si="2"/>
        <v>304</v>
      </c>
      <c r="C45" s="9" t="str">
        <f t="shared" si="3"/>
        <v>"ally_instance_ids": [],</v>
      </c>
      <c r="D45" s="1" t="s">
        <v>8738</v>
      </c>
      <c r="E45" s="1" t="str">
        <f>IF(DayNight&lt;&gt;"Night","",_xlfn.IFNA(MATCH(A45,Main!$I$125:$I$127,0),""))</f>
        <v/>
      </c>
    </row>
    <row r="46" spans="1:5" x14ac:dyDescent="0.25">
      <c r="A46" s="1">
        <f t="shared" ref="A46" si="15">A15</f>
        <v>7131</v>
      </c>
      <c r="B46" s="1">
        <f t="shared" si="2"/>
        <v>328</v>
      </c>
      <c r="C46" s="9" t="str">
        <f t="shared" si="3"/>
        <v>"ally_instance_ids": [],</v>
      </c>
      <c r="D46" s="1" t="s">
        <v>8738</v>
      </c>
      <c r="E46" s="1" t="str">
        <f>IF(DayNight&lt;&gt;"Night","",_xlfn.IFNA(MATCH(A46,Main!$I$125:$I$127,0),""))</f>
        <v/>
      </c>
    </row>
    <row r="47" spans="1:5" x14ac:dyDescent="0.25">
      <c r="A47" s="1">
        <f t="shared" ref="A47" si="16">A16</f>
        <v>7132</v>
      </c>
      <c r="B47" s="1">
        <f t="shared" si="2"/>
        <v>352</v>
      </c>
      <c r="C47" s="9" t="str">
        <f t="shared" si="3"/>
        <v>"ally_instance_ids": [],</v>
      </c>
      <c r="D47" s="1" t="s">
        <v>8738</v>
      </c>
      <c r="E47" s="1" t="str">
        <f>IF(DayNight&lt;&gt;"Night","",_xlfn.IFNA(MATCH(A47,Main!$I$125:$I$127,0),""))</f>
        <v/>
      </c>
    </row>
    <row r="48" spans="1:5" x14ac:dyDescent="0.25">
      <c r="A48" s="1">
        <f t="shared" ref="A48" si="17">A17</f>
        <v>7133</v>
      </c>
      <c r="B48" s="1">
        <f t="shared" si="2"/>
        <v>376</v>
      </c>
      <c r="C48" s="9" t="str">
        <f t="shared" si="3"/>
        <v>"ally_instance_ids": [],</v>
      </c>
      <c r="D48" s="1" t="s">
        <v>8738</v>
      </c>
      <c r="E48" s="1" t="str">
        <f>IF(DayNight&lt;&gt;"Night","",_xlfn.IFNA(MATCH(A48,Main!$I$125:$I$127,0),""))</f>
        <v/>
      </c>
    </row>
    <row r="49" spans="1:5" x14ac:dyDescent="0.25">
      <c r="A49" s="1">
        <f t="shared" ref="A49" si="18">A18</f>
        <v>7134</v>
      </c>
      <c r="B49" s="1">
        <f t="shared" si="2"/>
        <v>400</v>
      </c>
      <c r="C49" s="9" t="str">
        <f t="shared" si="3"/>
        <v>"ally_instance_ids": [],</v>
      </c>
      <c r="D49" s="1" t="s">
        <v>8738</v>
      </c>
      <c r="E49" s="1" t="str">
        <f>IF(DayNight&lt;&gt;"Night","",_xlfn.IFNA(MATCH(A49,Main!$I$125:$I$127,0),""))</f>
        <v/>
      </c>
    </row>
    <row r="50" spans="1:5" x14ac:dyDescent="0.25">
      <c r="A50" s="1">
        <f t="shared" ref="A50" si="19">A19</f>
        <v>7135</v>
      </c>
      <c r="B50" s="1">
        <f t="shared" si="2"/>
        <v>424</v>
      </c>
      <c r="C50" s="9" t="str">
        <f t="shared" si="3"/>
        <v>"ally_instance_ids": [],</v>
      </c>
      <c r="D50" s="1" t="s">
        <v>8738</v>
      </c>
      <c r="E50" s="1" t="str">
        <f>IF(DayNight&lt;&gt;"Night","",_xlfn.IFNA(MATCH(A50,Main!$I$125:$I$127,0),""))</f>
        <v/>
      </c>
    </row>
    <row r="51" spans="1:5" x14ac:dyDescent="0.25">
      <c r="A51" s="1">
        <f t="shared" ref="A51" si="20">A20</f>
        <v>7136</v>
      </c>
      <c r="B51" s="1">
        <f t="shared" si="2"/>
        <v>448</v>
      </c>
      <c r="C51" s="9" t="str">
        <f t="shared" si="3"/>
        <v>"ally_instance_ids": [],</v>
      </c>
      <c r="D51" s="1" t="s">
        <v>8738</v>
      </c>
      <c r="E51" s="1" t="str">
        <f>IF(DayNight&lt;&gt;"Night","",_xlfn.IFNA(MATCH(A51,Main!$I$125:$I$127,0),""))</f>
        <v/>
      </c>
    </row>
    <row r="52" spans="1:5" x14ac:dyDescent="0.25">
      <c r="A52" s="1">
        <f t="shared" ref="A52" si="21">A21</f>
        <v>7137</v>
      </c>
      <c r="B52" s="1">
        <f t="shared" si="2"/>
        <v>472</v>
      </c>
      <c r="C52" s="9" t="str">
        <f t="shared" si="3"/>
        <v>"ally_instance_ids": [],</v>
      </c>
      <c r="D52" s="1" t="s">
        <v>8738</v>
      </c>
      <c r="E52" s="1" t="str">
        <f>IF(DayNight&lt;&gt;"Night","",_xlfn.IFNA(MATCH(A52,Main!$I$125:$I$127,0),""))</f>
        <v/>
      </c>
    </row>
    <row r="53" spans="1:5" x14ac:dyDescent="0.25">
      <c r="A53" s="1">
        <f t="shared" ref="A53" si="22">A22</f>
        <v>7138</v>
      </c>
      <c r="B53" s="1">
        <f t="shared" si="2"/>
        <v>496</v>
      </c>
      <c r="C53" s="9" t="str">
        <f t="shared" si="3"/>
        <v>"ally_instance_ids": [],</v>
      </c>
      <c r="D53" s="1" t="s">
        <v>8738</v>
      </c>
      <c r="E53" s="1" t="str">
        <f>IF(DayNight&lt;&gt;"Night","",_xlfn.IFNA(MATCH(A53,Main!$I$125:$I$127,0),""))</f>
        <v/>
      </c>
    </row>
    <row r="54" spans="1:5" x14ac:dyDescent="0.25">
      <c r="A54" s="1">
        <f t="shared" ref="A54" si="23">A23</f>
        <v>7139</v>
      </c>
      <c r="B54" s="1">
        <f t="shared" si="2"/>
        <v>520</v>
      </c>
      <c r="C54" s="9" t="str">
        <f t="shared" si="3"/>
        <v>"ally_instance_ids": [],</v>
      </c>
      <c r="D54" s="1" t="s">
        <v>8738</v>
      </c>
      <c r="E54" s="1" t="str">
        <f>IF(DayNight&lt;&gt;"Night","",_xlfn.IFNA(MATCH(A54,Main!$I$125:$I$127,0),""))</f>
        <v/>
      </c>
    </row>
    <row r="55" spans="1:5" x14ac:dyDescent="0.25">
      <c r="A55" s="1">
        <f t="shared" ref="A55" si="24">A24</f>
        <v>7140</v>
      </c>
      <c r="B55" s="1">
        <f t="shared" si="2"/>
        <v>544</v>
      </c>
      <c r="C55" s="9" t="str">
        <f t="shared" si="3"/>
        <v>"ally_instance_ids": [],</v>
      </c>
      <c r="D55" s="1" t="s">
        <v>8738</v>
      </c>
      <c r="E55" s="1" t="str">
        <f>IF(DayNight&lt;&gt;"Night","",_xlfn.IFNA(MATCH(A55,Main!$I$125:$I$127,0),""))</f>
        <v/>
      </c>
    </row>
    <row r="56" spans="1:5" x14ac:dyDescent="0.25">
      <c r="A56" s="1">
        <f t="shared" ref="A56" si="25">A25</f>
        <v>7141</v>
      </c>
      <c r="B56" s="1">
        <f t="shared" si="2"/>
        <v>568</v>
      </c>
      <c r="C56" s="9" t="str">
        <f t="shared" si="3"/>
        <v>"ally_instance_ids": [],</v>
      </c>
      <c r="D56" s="1" t="s">
        <v>8738</v>
      </c>
      <c r="E56" s="1" t="str">
        <f>IF(DayNight&lt;&gt;"Night","",_xlfn.IFNA(MATCH(A56,Main!$I$125:$I$127,0),""))</f>
        <v/>
      </c>
    </row>
    <row r="57" spans="1:5" x14ac:dyDescent="0.25">
      <c r="A57" s="1">
        <f t="shared" ref="A57" si="26">A26</f>
        <v>7142</v>
      </c>
      <c r="B57" s="1">
        <f t="shared" si="2"/>
        <v>592</v>
      </c>
      <c r="C57" s="9" t="str">
        <f t="shared" si="3"/>
        <v>"ally_instance_ids": [],</v>
      </c>
      <c r="D57" s="1" t="s">
        <v>8738</v>
      </c>
      <c r="E57" s="1" t="str">
        <f>IF(DayNight&lt;&gt;"Night","",_xlfn.IFNA(MATCH(A57,Main!$I$125:$I$127,0),""))</f>
        <v/>
      </c>
    </row>
    <row r="58" spans="1:5" x14ac:dyDescent="0.25">
      <c r="A58" s="1">
        <f t="shared" ref="A58" si="27">A27</f>
        <v>7143</v>
      </c>
      <c r="B58" s="1">
        <f t="shared" si="2"/>
        <v>616</v>
      </c>
      <c r="C58" s="9" t="str">
        <f t="shared" si="3"/>
        <v>"ally_instance_ids": [],</v>
      </c>
      <c r="D58" s="1" t="s">
        <v>8738</v>
      </c>
      <c r="E58" s="1" t="str">
        <f>IF(DayNight&lt;&gt;"Night","",_xlfn.IFNA(MATCH(A58,Main!$I$125:$I$127,0),""))</f>
        <v/>
      </c>
    </row>
    <row r="59" spans="1:5" x14ac:dyDescent="0.25">
      <c r="A59" s="1">
        <f t="shared" ref="A59" si="28">A28</f>
        <v>7144</v>
      </c>
      <c r="B59" s="1">
        <f t="shared" si="2"/>
        <v>640</v>
      </c>
      <c r="C59" s="9" t="str">
        <f t="shared" si="3"/>
        <v>"ally_instance_ids": [],</v>
      </c>
      <c r="D59" s="1" t="s">
        <v>8738</v>
      </c>
      <c r="E59" s="1" t="str">
        <f>IF(DayNight&lt;&gt;"Night","",_xlfn.IFNA(MATCH(A59,Main!$I$125:$I$127,0),""))</f>
        <v/>
      </c>
    </row>
    <row r="60" spans="1:5" x14ac:dyDescent="0.25">
      <c r="A60" s="1">
        <f t="shared" ref="A60" si="29">A29</f>
        <v>7145</v>
      </c>
      <c r="B60" s="1">
        <f t="shared" si="2"/>
        <v>664</v>
      </c>
      <c r="C60" s="9" t="str">
        <f t="shared" si="3"/>
        <v>"ally_instance_ids": [],</v>
      </c>
      <c r="D60" s="1" t="s">
        <v>8738</v>
      </c>
      <c r="E60" s="1" t="str">
        <f>IF(DayNight&lt;&gt;"Night","",_xlfn.IFNA(MATCH(A60,Main!$I$125:$I$127,0),""))</f>
        <v/>
      </c>
    </row>
    <row r="61" spans="1:5" x14ac:dyDescent="0.25">
      <c r="A61" s="1">
        <f t="shared" ref="A61" si="30">A30</f>
        <v>7146</v>
      </c>
      <c r="B61" s="1">
        <f t="shared" si="2"/>
        <v>688</v>
      </c>
      <c r="C61" s="9" t="str">
        <f t="shared" si="3"/>
        <v>"ally_instance_ids": [],</v>
      </c>
      <c r="D61" s="1" t="s">
        <v>8738</v>
      </c>
      <c r="E61" s="1" t="str">
        <f>IF(DayNight&lt;&gt;"Night","",_xlfn.IFNA(MATCH(A61,Main!$I$125:$I$127,0),""))</f>
        <v/>
      </c>
    </row>
    <row r="62" spans="1:5" x14ac:dyDescent="0.25">
      <c r="A62" s="1">
        <f t="shared" ref="A62" si="31">A31</f>
        <v>7125</v>
      </c>
      <c r="B62" s="1">
        <f t="shared" si="2"/>
        <v>712</v>
      </c>
      <c r="C62" s="9" t="str">
        <f t="shared" si="3"/>
        <v>"ally_instance_ids": [],</v>
      </c>
      <c r="D62" s="1" t="s">
        <v>8738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8283</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8287</v>
      </c>
      <c r="B2" s="1">
        <v>10</v>
      </c>
      <c r="C2" s="9" t="str">
        <f>CHAR(34)&amp;A2&amp;CHAR(34)&amp;": "&amp;CHAR(34)&amp;IF(DayNight="Day",107,7173)&amp;CHAR(34)&amp;","</f>
        <v>"from_spot_id": "107",</v>
      </c>
    </row>
    <row r="3" spans="1:3" x14ac:dyDescent="0.25">
      <c r="A3" t="s">
        <v>8288</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8510</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82"/>
  <sheetViews>
    <sheetView topLeftCell="AE1" workbookViewId="0">
      <pane ySplit="1" topLeftCell="A364" activePane="bottomLeft" state="frozen"/>
      <selection activeCell="AG375" sqref="AG375:AG382"/>
      <selection pane="bottomLeft" activeCell="AG375" sqref="AG375:AG382"/>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8290</v>
      </c>
      <c r="C364" t="s">
        <v>8291</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8341</v>
      </c>
      <c r="AH364" s="1">
        <v>3360</v>
      </c>
      <c r="AI364" t="s">
        <v>1844</v>
      </c>
      <c r="AJ364">
        <v>0</v>
      </c>
      <c r="AK364" s="1" t="s">
        <v>8292</v>
      </c>
      <c r="AL364" s="1" t="s">
        <v>8293</v>
      </c>
      <c r="AM364" s="1">
        <v>0.55000000000000004</v>
      </c>
      <c r="AN364" s="1">
        <v>0.16</v>
      </c>
      <c r="AO364" s="1">
        <v>0.6</v>
      </c>
      <c r="AP364" s="1">
        <v>0.16</v>
      </c>
      <c r="AQ364" s="1">
        <v>3</v>
      </c>
      <c r="AR364" t="s">
        <v>8294</v>
      </c>
      <c r="AS364">
        <v>0</v>
      </c>
      <c r="AT364" t="s">
        <v>8295</v>
      </c>
      <c r="AU364">
        <v>10</v>
      </c>
      <c r="AV364">
        <v>20070</v>
      </c>
      <c r="AX364">
        <v>0</v>
      </c>
    </row>
    <row r="365" spans="1:50" x14ac:dyDescent="0.25">
      <c r="A365">
        <v>366</v>
      </c>
      <c r="B365" t="s">
        <v>8296</v>
      </c>
      <c r="C365" t="s">
        <v>8297</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8340</v>
      </c>
      <c r="AH365" s="1">
        <v>3300</v>
      </c>
      <c r="AI365" t="s">
        <v>1844</v>
      </c>
      <c r="AJ365">
        <v>0</v>
      </c>
      <c r="AK365" s="1" t="s">
        <v>8298</v>
      </c>
      <c r="AL365" s="1" t="s">
        <v>8299</v>
      </c>
      <c r="AM365" s="1">
        <v>0.08</v>
      </c>
      <c r="AN365" s="1">
        <v>0.5</v>
      </c>
      <c r="AO365" s="1">
        <v>0.3</v>
      </c>
      <c r="AP365" s="1">
        <v>0.3</v>
      </c>
      <c r="AQ365" s="1">
        <v>3</v>
      </c>
      <c r="AR365" t="s">
        <v>8300</v>
      </c>
      <c r="AS365">
        <v>0</v>
      </c>
      <c r="AT365" t="s">
        <v>8301</v>
      </c>
      <c r="AU365">
        <v>10</v>
      </c>
      <c r="AV365">
        <v>19066</v>
      </c>
      <c r="AX365">
        <v>0</v>
      </c>
    </row>
    <row r="366" spans="1:50" x14ac:dyDescent="0.25">
      <c r="A366">
        <v>367</v>
      </c>
      <c r="B366" t="s">
        <v>8503</v>
      </c>
      <c r="C366" t="s">
        <v>8504</v>
      </c>
      <c r="D366">
        <v>5</v>
      </c>
      <c r="E366">
        <v>3</v>
      </c>
      <c r="F366">
        <v>20</v>
      </c>
      <c r="G366" s="1" t="s">
        <v>329</v>
      </c>
      <c r="H366" s="1" t="s">
        <v>332</v>
      </c>
      <c r="I366" s="1" t="s">
        <v>8505</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8506</v>
      </c>
      <c r="AL366" s="1" t="s">
        <v>8507</v>
      </c>
      <c r="AM366" s="1">
        <v>0.3</v>
      </c>
      <c r="AN366" s="1">
        <v>0.25</v>
      </c>
      <c r="AO366" s="1">
        <v>0.12</v>
      </c>
      <c r="AP366" s="1">
        <v>0.38</v>
      </c>
      <c r="AQ366" s="1">
        <v>3</v>
      </c>
      <c r="AR366" t="s">
        <v>8508</v>
      </c>
      <c r="AS366">
        <v>0</v>
      </c>
      <c r="AT366" t="s">
        <v>8509</v>
      </c>
      <c r="AU366">
        <v>10</v>
      </c>
      <c r="AV366">
        <v>20071</v>
      </c>
      <c r="AX366">
        <v>0</v>
      </c>
    </row>
    <row r="367" spans="1:50" x14ac:dyDescent="0.25">
      <c r="A367">
        <v>368</v>
      </c>
      <c r="B367" t="s">
        <v>8522</v>
      </c>
      <c r="C367" t="s">
        <v>8523</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8533</v>
      </c>
      <c r="AH367" s="1">
        <v>3600</v>
      </c>
      <c r="AI367" t="s">
        <v>1844</v>
      </c>
      <c r="AJ367">
        <v>0</v>
      </c>
      <c r="AK367" s="1" t="s">
        <v>8524</v>
      </c>
      <c r="AL367" s="1" t="s">
        <v>8525</v>
      </c>
      <c r="AM367" s="1">
        <v>0.15</v>
      </c>
      <c r="AN367" s="1">
        <v>0.6</v>
      </c>
      <c r="AO367" s="1">
        <v>0.38</v>
      </c>
      <c r="AP367" s="1">
        <v>0.23</v>
      </c>
      <c r="AQ367" s="1">
        <v>3</v>
      </c>
      <c r="AR367" t="s">
        <v>1530</v>
      </c>
      <c r="AS367">
        <v>0</v>
      </c>
      <c r="AT367" t="s">
        <v>8526</v>
      </c>
      <c r="AU367">
        <v>10</v>
      </c>
      <c r="AV367">
        <v>19067</v>
      </c>
      <c r="AX367">
        <v>0</v>
      </c>
    </row>
    <row r="368" spans="1:50" x14ac:dyDescent="0.25">
      <c r="A368">
        <v>369</v>
      </c>
      <c r="B368" t="s">
        <v>8527</v>
      </c>
      <c r="C368" t="s">
        <v>8528</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8532</v>
      </c>
      <c r="AH368" s="1">
        <v>3300</v>
      </c>
      <c r="AI368" t="s">
        <v>1844</v>
      </c>
      <c r="AJ368">
        <v>0</v>
      </c>
      <c r="AK368" s="1" t="s">
        <v>8529</v>
      </c>
      <c r="AL368" s="1" t="s">
        <v>8530</v>
      </c>
      <c r="AM368" s="1">
        <v>0.08</v>
      </c>
      <c r="AN368" s="1">
        <v>0.5</v>
      </c>
      <c r="AO368" s="1">
        <v>0.3</v>
      </c>
      <c r="AP368" s="1">
        <v>0.3</v>
      </c>
      <c r="AQ368" s="1">
        <v>3</v>
      </c>
      <c r="AR368" t="s">
        <v>6948</v>
      </c>
      <c r="AS368">
        <v>0</v>
      </c>
      <c r="AT368" t="s">
        <v>8531</v>
      </c>
      <c r="AU368">
        <v>10</v>
      </c>
      <c r="AV368">
        <v>19068</v>
      </c>
      <c r="AX368">
        <v>0</v>
      </c>
    </row>
    <row r="369" spans="1:50" x14ac:dyDescent="0.25">
      <c r="A369">
        <v>370</v>
      </c>
      <c r="B369" t="s">
        <v>8692</v>
      </c>
      <c r="C369" t="s">
        <v>8693</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8694</v>
      </c>
      <c r="AL369" s="1" t="s">
        <v>8695</v>
      </c>
      <c r="AM369" s="1">
        <v>0.15</v>
      </c>
      <c r="AN369" s="1">
        <v>0.6</v>
      </c>
      <c r="AO369" s="1">
        <v>0.38</v>
      </c>
      <c r="AP369" s="1">
        <v>0.23</v>
      </c>
      <c r="AQ369" s="1">
        <v>3</v>
      </c>
      <c r="AR369" t="s">
        <v>1474</v>
      </c>
      <c r="AS369">
        <v>0</v>
      </c>
      <c r="AT369" t="s">
        <v>8696</v>
      </c>
      <c r="AU369">
        <v>10</v>
      </c>
      <c r="AV369">
        <v>19069</v>
      </c>
      <c r="AX369">
        <v>0</v>
      </c>
    </row>
    <row r="370" spans="1:50" x14ac:dyDescent="0.25">
      <c r="A370">
        <v>371</v>
      </c>
      <c r="B370" t="s">
        <v>8697</v>
      </c>
      <c r="C370" t="s">
        <v>8698</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8708</v>
      </c>
      <c r="AH370" s="1">
        <v>3360</v>
      </c>
      <c r="AI370" t="s">
        <v>1844</v>
      </c>
      <c r="AJ370">
        <v>0</v>
      </c>
      <c r="AK370" s="1" t="s">
        <v>8699</v>
      </c>
      <c r="AL370" s="1" t="s">
        <v>8700</v>
      </c>
      <c r="AM370" s="1">
        <v>0.55000000000000004</v>
      </c>
      <c r="AN370" s="1">
        <v>0.16</v>
      </c>
      <c r="AO370" s="1">
        <v>0.6</v>
      </c>
      <c r="AP370" s="1">
        <v>0.16</v>
      </c>
      <c r="AQ370" s="1">
        <v>3</v>
      </c>
      <c r="AR370" t="s">
        <v>8701</v>
      </c>
      <c r="AS370">
        <v>0</v>
      </c>
      <c r="AT370" t="s">
        <v>8702</v>
      </c>
      <c r="AU370">
        <v>10</v>
      </c>
      <c r="AV370">
        <v>20072</v>
      </c>
      <c r="AX370">
        <v>0</v>
      </c>
    </row>
    <row r="371" spans="1:50" x14ac:dyDescent="0.25">
      <c r="A371">
        <v>372</v>
      </c>
      <c r="B371" t="s">
        <v>8703</v>
      </c>
      <c r="C371" t="s">
        <v>8704</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8709</v>
      </c>
      <c r="AH371" s="1">
        <v>3420</v>
      </c>
      <c r="AI371" t="s">
        <v>1844</v>
      </c>
      <c r="AJ371">
        <v>0</v>
      </c>
      <c r="AK371" s="1" t="s">
        <v>8705</v>
      </c>
      <c r="AL371" s="1" t="s">
        <v>8706</v>
      </c>
      <c r="AM371" s="1">
        <v>0.08</v>
      </c>
      <c r="AN371" s="1">
        <v>0.39</v>
      </c>
      <c r="AO371" s="1">
        <v>0.08</v>
      </c>
      <c r="AP371" s="1">
        <v>0.48</v>
      </c>
      <c r="AQ371" s="1">
        <v>3</v>
      </c>
      <c r="AR371" t="s">
        <v>1471</v>
      </c>
      <c r="AS371">
        <v>0</v>
      </c>
      <c r="AT371" t="s">
        <v>8707</v>
      </c>
      <c r="AU371">
        <v>10</v>
      </c>
      <c r="AV371">
        <v>19070</v>
      </c>
      <c r="AX371">
        <v>0</v>
      </c>
    </row>
    <row r="372" spans="1:50" x14ac:dyDescent="0.25">
      <c r="A372">
        <v>373</v>
      </c>
      <c r="B372" t="s">
        <v>8710</v>
      </c>
      <c r="C372" t="s">
        <v>8711</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8712</v>
      </c>
      <c r="AM372" s="1">
        <v>0.08</v>
      </c>
      <c r="AN372" s="1">
        <v>0.5</v>
      </c>
      <c r="AO372" s="1">
        <v>0.3</v>
      </c>
      <c r="AP372" s="1">
        <v>0.3</v>
      </c>
      <c r="AQ372" s="1">
        <v>3</v>
      </c>
      <c r="AR372" t="s">
        <v>1553</v>
      </c>
      <c r="AS372">
        <v>759303</v>
      </c>
      <c r="AT372" t="s">
        <v>8713</v>
      </c>
      <c r="AU372">
        <v>10</v>
      </c>
      <c r="AV372">
        <v>19071</v>
      </c>
      <c r="AX372">
        <v>0</v>
      </c>
    </row>
    <row r="373" spans="1:50" x14ac:dyDescent="0.25">
      <c r="A373">
        <v>374</v>
      </c>
      <c r="B373" t="s">
        <v>8714</v>
      </c>
      <c r="C373" t="s">
        <v>8715</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8724</v>
      </c>
      <c r="AH373" s="1">
        <v>3060</v>
      </c>
      <c r="AI373" t="s">
        <v>1844</v>
      </c>
      <c r="AJ373">
        <v>0</v>
      </c>
      <c r="AK373" s="1" t="s">
        <v>8716</v>
      </c>
      <c r="AL373" s="1" t="s">
        <v>8717</v>
      </c>
      <c r="AM373" s="1">
        <v>0.3</v>
      </c>
      <c r="AN373" s="1">
        <v>0.23</v>
      </c>
      <c r="AO373" s="1">
        <v>0.15</v>
      </c>
      <c r="AP373" s="1">
        <v>0.38</v>
      </c>
      <c r="AQ373" s="1">
        <v>3</v>
      </c>
      <c r="AR373" t="s">
        <v>7083</v>
      </c>
      <c r="AS373">
        <v>0</v>
      </c>
      <c r="AT373" t="s">
        <v>8718</v>
      </c>
      <c r="AU373">
        <v>10</v>
      </c>
      <c r="AV373">
        <v>20073</v>
      </c>
      <c r="AX373">
        <v>0</v>
      </c>
    </row>
    <row r="374" spans="1:50" x14ac:dyDescent="0.25">
      <c r="A374">
        <v>375</v>
      </c>
      <c r="B374" t="s">
        <v>8719</v>
      </c>
      <c r="C374" t="s">
        <v>8720</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8725</v>
      </c>
      <c r="AH374" s="1">
        <v>3540</v>
      </c>
      <c r="AI374" t="s">
        <v>1844</v>
      </c>
      <c r="AJ374">
        <v>0</v>
      </c>
      <c r="AK374" s="1" t="s">
        <v>8721</v>
      </c>
      <c r="AL374" s="1" t="s">
        <v>8722</v>
      </c>
      <c r="AM374" s="1">
        <v>0.45</v>
      </c>
      <c r="AN374" s="1">
        <v>0.15</v>
      </c>
      <c r="AO374" s="1">
        <v>0.3</v>
      </c>
      <c r="AP374" s="1">
        <v>0.15</v>
      </c>
      <c r="AQ374" s="1">
        <v>3</v>
      </c>
      <c r="AR374" t="s">
        <v>1578</v>
      </c>
      <c r="AS374">
        <v>0</v>
      </c>
      <c r="AT374" t="s">
        <v>8723</v>
      </c>
      <c r="AU374">
        <v>10</v>
      </c>
      <c r="AV374">
        <v>18116</v>
      </c>
      <c r="AX374">
        <v>0</v>
      </c>
    </row>
    <row r="375" spans="1:50" x14ac:dyDescent="0.25">
      <c r="A375">
        <v>376</v>
      </c>
      <c r="B375" t="s">
        <v>8740</v>
      </c>
      <c r="C375" t="s">
        <v>8741</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8742</v>
      </c>
      <c r="AL375" s="1" t="s">
        <v>8743</v>
      </c>
      <c r="AM375" s="1">
        <v>0.23</v>
      </c>
      <c r="AN375" s="1">
        <v>0.23</v>
      </c>
      <c r="AO375" s="1">
        <v>0.33</v>
      </c>
      <c r="AP375" s="1">
        <v>0.38</v>
      </c>
      <c r="AQ375" s="1">
        <v>3</v>
      </c>
      <c r="AR375" t="s">
        <v>1478</v>
      </c>
      <c r="AS375">
        <v>0</v>
      </c>
      <c r="AT375" t="s">
        <v>8744</v>
      </c>
      <c r="AU375">
        <v>10</v>
      </c>
      <c r="AV375">
        <v>20074</v>
      </c>
      <c r="AX375">
        <v>0</v>
      </c>
    </row>
    <row r="376" spans="1:50" x14ac:dyDescent="0.25">
      <c r="A376">
        <v>377</v>
      </c>
      <c r="B376" t="s">
        <v>8745</v>
      </c>
      <c r="C376" t="s">
        <v>8746</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8747</v>
      </c>
      <c r="AM376" s="1">
        <v>0.3</v>
      </c>
      <c r="AN376" s="1">
        <v>0.23</v>
      </c>
      <c r="AO376" s="1">
        <v>0.15</v>
      </c>
      <c r="AP376" s="1">
        <v>0.38</v>
      </c>
      <c r="AQ376" s="1">
        <v>3</v>
      </c>
      <c r="AR376" t="s">
        <v>1584</v>
      </c>
      <c r="AS376">
        <v>0</v>
      </c>
      <c r="AT376" t="s">
        <v>1807</v>
      </c>
      <c r="AU376">
        <v>10</v>
      </c>
      <c r="AV376">
        <v>20075</v>
      </c>
      <c r="AX376">
        <v>0</v>
      </c>
    </row>
    <row r="377" spans="1:50" x14ac:dyDescent="0.25">
      <c r="A377">
        <v>378</v>
      </c>
      <c r="B377" t="s">
        <v>8748</v>
      </c>
      <c r="C377" t="s">
        <v>8749</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8750</v>
      </c>
      <c r="AL377" s="1" t="s">
        <v>8751</v>
      </c>
      <c r="AM377" s="1">
        <v>0.48</v>
      </c>
      <c r="AN377" s="1">
        <v>0.48</v>
      </c>
      <c r="AO377" s="1">
        <v>0.08</v>
      </c>
      <c r="AP377" s="1">
        <v>0.25</v>
      </c>
      <c r="AQ377" s="1">
        <v>3</v>
      </c>
      <c r="AR377" t="s">
        <v>1474</v>
      </c>
      <c r="AS377">
        <v>0</v>
      </c>
      <c r="AT377" t="s">
        <v>1807</v>
      </c>
      <c r="AU377">
        <v>10</v>
      </c>
      <c r="AV377">
        <v>19072</v>
      </c>
      <c r="AX377">
        <v>0</v>
      </c>
    </row>
    <row r="378" spans="1:50" x14ac:dyDescent="0.25">
      <c r="A378">
        <v>379</v>
      </c>
      <c r="B378" t="s">
        <v>8752</v>
      </c>
      <c r="C378" t="s">
        <v>8753</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8754</v>
      </c>
      <c r="AL378" s="1" t="s">
        <v>8755</v>
      </c>
      <c r="AM378" s="1">
        <v>0.3</v>
      </c>
      <c r="AN378" s="1">
        <v>0.25</v>
      </c>
      <c r="AO378" s="1">
        <v>0.12</v>
      </c>
      <c r="AP378" s="1">
        <v>0.38</v>
      </c>
      <c r="AQ378" s="1">
        <v>3</v>
      </c>
      <c r="AR378" t="s">
        <v>1758</v>
      </c>
      <c r="AS378">
        <v>0</v>
      </c>
      <c r="AT378" t="s">
        <v>1807</v>
      </c>
      <c r="AU378">
        <v>10</v>
      </c>
      <c r="AV378">
        <v>20076</v>
      </c>
      <c r="AX378">
        <v>0</v>
      </c>
    </row>
    <row r="379" spans="1:50" x14ac:dyDescent="0.25">
      <c r="A379">
        <v>380</v>
      </c>
      <c r="B379" t="s">
        <v>8790</v>
      </c>
      <c r="C379" t="s">
        <v>8791</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8806</v>
      </c>
      <c r="AH379" s="1">
        <v>3120</v>
      </c>
      <c r="AI379" t="s">
        <v>1844</v>
      </c>
      <c r="AJ379">
        <v>0</v>
      </c>
      <c r="AK379" s="1" t="s">
        <v>8789</v>
      </c>
      <c r="AL379" s="1" t="s">
        <v>8792</v>
      </c>
      <c r="AM379" s="1">
        <v>0.3</v>
      </c>
      <c r="AN379" s="1">
        <v>0.25</v>
      </c>
      <c r="AO379" s="1">
        <v>0.12</v>
      </c>
      <c r="AP379" s="1">
        <v>0.38</v>
      </c>
      <c r="AQ379" s="1">
        <v>3</v>
      </c>
      <c r="AR379" t="s">
        <v>1476</v>
      </c>
      <c r="AS379">
        <v>0</v>
      </c>
      <c r="AT379" t="s">
        <v>1807</v>
      </c>
      <c r="AU379">
        <v>10</v>
      </c>
      <c r="AV379">
        <v>20062</v>
      </c>
      <c r="AX379">
        <v>0</v>
      </c>
    </row>
    <row r="380" spans="1:50" x14ac:dyDescent="0.25">
      <c r="A380">
        <v>381</v>
      </c>
      <c r="B380" t="s">
        <v>8793</v>
      </c>
      <c r="C380" t="s">
        <v>8794</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8807</v>
      </c>
      <c r="AH380" s="1">
        <v>3120</v>
      </c>
      <c r="AI380" t="s">
        <v>1844</v>
      </c>
      <c r="AJ380">
        <v>0</v>
      </c>
      <c r="AK380" s="1" t="s">
        <v>8788</v>
      </c>
      <c r="AL380" s="1" t="s">
        <v>8795</v>
      </c>
      <c r="AM380" s="1">
        <v>0.3</v>
      </c>
      <c r="AN380" s="1">
        <v>0.25</v>
      </c>
      <c r="AO380" s="1">
        <v>0.12</v>
      </c>
      <c r="AP380" s="1">
        <v>0.38</v>
      </c>
      <c r="AQ380" s="1">
        <v>3</v>
      </c>
      <c r="AR380" t="s">
        <v>1479</v>
      </c>
      <c r="AS380">
        <v>0</v>
      </c>
      <c r="AT380" t="s">
        <v>1807</v>
      </c>
      <c r="AU380">
        <v>10</v>
      </c>
      <c r="AV380">
        <v>20079</v>
      </c>
      <c r="AX380">
        <v>0</v>
      </c>
    </row>
    <row r="381" spans="1:50" x14ac:dyDescent="0.25">
      <c r="A381">
        <v>382</v>
      </c>
      <c r="B381" t="s">
        <v>8796</v>
      </c>
      <c r="C381" t="s">
        <v>8797</v>
      </c>
      <c r="D381">
        <v>5</v>
      </c>
      <c r="E381">
        <v>2</v>
      </c>
      <c r="F381">
        <v>19</v>
      </c>
      <c r="G381" s="1" t="s">
        <v>329</v>
      </c>
      <c r="H381" s="1" t="s">
        <v>329</v>
      </c>
      <c r="I381" s="1" t="s">
        <v>329</v>
      </c>
      <c r="J381" s="1" t="s">
        <v>329</v>
      </c>
      <c r="K381" s="1" t="s">
        <v>329</v>
      </c>
      <c r="L381" s="1" t="s">
        <v>339</v>
      </c>
      <c r="M381" s="1" t="s">
        <v>329</v>
      </c>
      <c r="N381" s="1" t="s">
        <v>8798</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8775</v>
      </c>
      <c r="AH381" s="1">
        <v>3300</v>
      </c>
      <c r="AI381" t="s">
        <v>1844</v>
      </c>
      <c r="AJ381">
        <v>0</v>
      </c>
      <c r="AK381" s="1" t="s">
        <v>8799</v>
      </c>
      <c r="AL381" s="1" t="s">
        <v>8800</v>
      </c>
      <c r="AM381" s="1">
        <v>0.08</v>
      </c>
      <c r="AN381" s="1">
        <v>0.5</v>
      </c>
      <c r="AO381" s="1">
        <v>0.3</v>
      </c>
      <c r="AP381" s="1">
        <v>0.3</v>
      </c>
      <c r="AQ381" s="1">
        <v>3</v>
      </c>
      <c r="AR381" t="s">
        <v>8300</v>
      </c>
      <c r="AS381">
        <v>0</v>
      </c>
      <c r="AT381" t="s">
        <v>1807</v>
      </c>
      <c r="AU381">
        <v>10</v>
      </c>
      <c r="AV381">
        <v>19073</v>
      </c>
      <c r="AX381">
        <v>0</v>
      </c>
    </row>
    <row r="382" spans="1:50" x14ac:dyDescent="0.25">
      <c r="A382">
        <v>383</v>
      </c>
      <c r="B382" t="s">
        <v>8801</v>
      </c>
      <c r="C382" t="s">
        <v>8802</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8781</v>
      </c>
      <c r="AH382" s="1">
        <v>3060</v>
      </c>
      <c r="AI382" t="s">
        <v>1844</v>
      </c>
      <c r="AJ382">
        <v>0</v>
      </c>
      <c r="AK382" s="1" t="s">
        <v>8803</v>
      </c>
      <c r="AL382" s="1" t="s">
        <v>8804</v>
      </c>
      <c r="AM382" s="1">
        <v>0.3</v>
      </c>
      <c r="AN382" s="1">
        <v>0.23</v>
      </c>
      <c r="AO382" s="1">
        <v>0.15</v>
      </c>
      <c r="AP382" s="1">
        <v>0.38</v>
      </c>
      <c r="AQ382" s="1">
        <v>3</v>
      </c>
      <c r="AR382" t="s">
        <v>8805</v>
      </c>
      <c r="AS382">
        <v>0</v>
      </c>
      <c r="AT382" t="s">
        <v>1807</v>
      </c>
      <c r="AU382">
        <v>10</v>
      </c>
      <c r="AV382">
        <v>20080</v>
      </c>
      <c r="AX382">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1"/>
  <sheetViews>
    <sheetView topLeftCell="B1" workbookViewId="0">
      <pane ySplit="1" topLeftCell="A601" activePane="bottomLeft" state="frozen"/>
      <selection activeCell="AG375" sqref="AG375:AG382"/>
      <selection pane="bottomLeft" activeCell="AG375" sqref="AG375:AG382"/>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224</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8663</v>
      </c>
      <c r="C614" s="242" t="s">
        <v>8664</v>
      </c>
      <c r="D614" t="s">
        <v>8664</v>
      </c>
      <c r="E614" t="s">
        <v>329</v>
      </c>
      <c r="F614" t="s">
        <v>329</v>
      </c>
      <c r="G614" t="s">
        <v>8665</v>
      </c>
      <c r="H614" t="s">
        <v>8666</v>
      </c>
      <c r="I614" t="s">
        <v>8667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8668</v>
      </c>
      <c r="AK614" t="s">
        <v>329</v>
      </c>
      <c r="AL614">
        <v>18</v>
      </c>
      <c r="AM614" t="s">
        <v>4859</v>
      </c>
      <c r="AN614" t="s">
        <v>4985</v>
      </c>
      <c r="AO614" t="s">
        <v>5206</v>
      </c>
      <c r="AP614">
        <v>0</v>
      </c>
      <c r="AQ614" t="s">
        <v>1168</v>
      </c>
      <c r="AR614" t="s">
        <v>1169</v>
      </c>
      <c r="AS614" t="s">
        <v>6972</v>
      </c>
      <c r="AT614" t="s">
        <v>329</v>
      </c>
      <c r="AU614">
        <v>238</v>
      </c>
      <c r="AV614">
        <v>0</v>
      </c>
      <c r="AW614" t="s">
        <v>8669</v>
      </c>
      <c r="AX614" t="s">
        <v>332</v>
      </c>
      <c r="AY614">
        <v>5</v>
      </c>
      <c r="AZ614">
        <v>0</v>
      </c>
      <c r="BA614" t="s">
        <v>329</v>
      </c>
      <c r="BB614" t="s">
        <v>329</v>
      </c>
      <c r="BC614" t="s">
        <v>329</v>
      </c>
      <c r="BD614">
        <v>10403</v>
      </c>
      <c r="BE614">
        <v>0</v>
      </c>
    </row>
    <row r="615" spans="1:57" x14ac:dyDescent="0.25">
      <c r="A615">
        <v>396</v>
      </c>
      <c r="B615" t="s">
        <v>8670</v>
      </c>
      <c r="C615" s="242" t="s">
        <v>8671</v>
      </c>
      <c r="D615" t="s">
        <v>8671</v>
      </c>
      <c r="E615" t="s">
        <v>329</v>
      </c>
      <c r="F615" t="s">
        <v>329</v>
      </c>
      <c r="G615" t="s">
        <v>8672</v>
      </c>
      <c r="H615" t="s">
        <v>8673</v>
      </c>
      <c r="I615" t="s">
        <v>8674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8675</v>
      </c>
      <c r="AK615" t="s">
        <v>8676</v>
      </c>
      <c r="AL615">
        <v>18</v>
      </c>
      <c r="AM615" t="s">
        <v>4859</v>
      </c>
      <c r="AN615" t="s">
        <v>8677</v>
      </c>
      <c r="AO615" t="s">
        <v>5115</v>
      </c>
      <c r="AP615">
        <v>0</v>
      </c>
      <c r="AQ615" t="s">
        <v>1168</v>
      </c>
      <c r="AR615" t="s">
        <v>1169</v>
      </c>
      <c r="AS615" t="s">
        <v>6972</v>
      </c>
      <c r="AT615" t="s">
        <v>329</v>
      </c>
      <c r="AU615">
        <v>238</v>
      </c>
      <c r="AV615">
        <v>0</v>
      </c>
      <c r="AW615" t="s">
        <v>8669</v>
      </c>
      <c r="AX615" t="s">
        <v>332</v>
      </c>
      <c r="AY615">
        <v>4</v>
      </c>
      <c r="AZ615">
        <v>0</v>
      </c>
      <c r="BA615" t="s">
        <v>329</v>
      </c>
      <c r="BB615" t="s">
        <v>329</v>
      </c>
      <c r="BC615" t="s">
        <v>4770</v>
      </c>
      <c r="BD615">
        <v>10402</v>
      </c>
      <c r="BE615">
        <v>0</v>
      </c>
    </row>
    <row r="616" spans="1:57" x14ac:dyDescent="0.25">
      <c r="A616">
        <v>397</v>
      </c>
      <c r="B616" t="s">
        <v>8678</v>
      </c>
      <c r="C616" s="242" t="s">
        <v>8679</v>
      </c>
      <c r="D616" t="s">
        <v>8679</v>
      </c>
      <c r="E616" t="s">
        <v>329</v>
      </c>
      <c r="F616" t="s">
        <v>329</v>
      </c>
      <c r="G616" t="s">
        <v>8680</v>
      </c>
      <c r="H616" t="s">
        <v>8681</v>
      </c>
      <c r="I616" t="s">
        <v>8682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8683</v>
      </c>
      <c r="AK616" t="s">
        <v>329</v>
      </c>
      <c r="AL616">
        <v>8</v>
      </c>
      <c r="AM616" t="s">
        <v>4717</v>
      </c>
      <c r="AN616" t="s">
        <v>4729</v>
      </c>
      <c r="AO616" t="s">
        <v>4943</v>
      </c>
      <c r="AP616">
        <v>0</v>
      </c>
      <c r="AQ616" t="s">
        <v>1201</v>
      </c>
      <c r="AR616" t="s">
        <v>1202</v>
      </c>
      <c r="AS616" t="s">
        <v>6973</v>
      </c>
      <c r="AT616" t="s">
        <v>329</v>
      </c>
      <c r="AU616">
        <v>164</v>
      </c>
      <c r="AV616">
        <v>0</v>
      </c>
      <c r="AW616" t="s">
        <v>8669</v>
      </c>
      <c r="AX616" t="s">
        <v>4720</v>
      </c>
      <c r="AY616">
        <v>5</v>
      </c>
      <c r="AZ616">
        <v>0</v>
      </c>
      <c r="BA616" t="s">
        <v>329</v>
      </c>
      <c r="BB616" t="s">
        <v>329</v>
      </c>
      <c r="BC616" t="s">
        <v>4721</v>
      </c>
      <c r="BD616">
        <v>10202</v>
      </c>
      <c r="BE616">
        <v>0</v>
      </c>
    </row>
    <row r="617" spans="1:57" x14ac:dyDescent="0.25">
      <c r="A617">
        <v>398</v>
      </c>
      <c r="B617" t="s">
        <v>8684</v>
      </c>
      <c r="C617" s="242" t="s">
        <v>8685</v>
      </c>
      <c r="D617" t="s">
        <v>8685</v>
      </c>
      <c r="E617" t="s">
        <v>329</v>
      </c>
      <c r="F617" t="s">
        <v>329</v>
      </c>
      <c r="G617" t="s">
        <v>8686</v>
      </c>
      <c r="H617" t="s">
        <v>8687</v>
      </c>
      <c r="I617" t="s">
        <v>8688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8689</v>
      </c>
      <c r="AK617" t="s">
        <v>8690</v>
      </c>
      <c r="AL617">
        <v>8</v>
      </c>
      <c r="AM617" t="s">
        <v>4717</v>
      </c>
      <c r="AN617" t="s">
        <v>8691</v>
      </c>
      <c r="AO617" t="s">
        <v>5191</v>
      </c>
      <c r="AP617">
        <v>0</v>
      </c>
      <c r="AQ617" t="s">
        <v>1201</v>
      </c>
      <c r="AR617" t="s">
        <v>1202</v>
      </c>
      <c r="AS617" t="s">
        <v>6973</v>
      </c>
      <c r="AT617" t="s">
        <v>329</v>
      </c>
      <c r="AU617">
        <v>164</v>
      </c>
      <c r="AV617">
        <v>0</v>
      </c>
      <c r="AW617" t="s">
        <v>8669</v>
      </c>
      <c r="AX617" t="s">
        <v>4720</v>
      </c>
      <c r="AY617">
        <v>5</v>
      </c>
      <c r="AZ617">
        <v>0</v>
      </c>
      <c r="BA617" t="s">
        <v>329</v>
      </c>
      <c r="BB617" t="s">
        <v>329</v>
      </c>
      <c r="BC617" t="s">
        <v>4721</v>
      </c>
      <c r="BD617">
        <v>10202</v>
      </c>
      <c r="BE617">
        <v>0</v>
      </c>
    </row>
    <row r="618" spans="1:57" x14ac:dyDescent="0.25">
      <c r="A618">
        <v>20131</v>
      </c>
      <c r="B618" t="s">
        <v>8761</v>
      </c>
      <c r="C618" s="242" t="s">
        <v>8806</v>
      </c>
      <c r="D618" t="s">
        <v>8762</v>
      </c>
      <c r="E618" t="s">
        <v>8757</v>
      </c>
      <c r="F618" t="s">
        <v>8758</v>
      </c>
      <c r="G618" t="s">
        <v>8763</v>
      </c>
      <c r="H618" t="s">
        <v>8764</v>
      </c>
      <c r="I618" t="s">
        <v>8765</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8766</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8767</v>
      </c>
      <c r="C619" s="242" t="s">
        <v>8807</v>
      </c>
      <c r="D619" t="s">
        <v>8768</v>
      </c>
      <c r="E619" t="s">
        <v>329</v>
      </c>
      <c r="F619" t="s">
        <v>329</v>
      </c>
      <c r="G619" t="s">
        <v>8769</v>
      </c>
      <c r="H619" t="s">
        <v>8770</v>
      </c>
      <c r="I619" t="s">
        <v>8771</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8772</v>
      </c>
      <c r="AK619" t="s">
        <v>8773</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8774</v>
      </c>
      <c r="C620" s="242" t="s">
        <v>8775</v>
      </c>
      <c r="D620" t="s">
        <v>8775</v>
      </c>
      <c r="E620" t="s">
        <v>8759</v>
      </c>
      <c r="F620" t="s">
        <v>329</v>
      </c>
      <c r="G620" t="s">
        <v>8776</v>
      </c>
      <c r="H620" t="s">
        <v>8777</v>
      </c>
      <c r="I620" t="s">
        <v>8778</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8779</v>
      </c>
      <c r="AK620" t="s">
        <v>1268</v>
      </c>
      <c r="AL620">
        <v>13</v>
      </c>
      <c r="AM620" t="s">
        <v>4763</v>
      </c>
      <c r="AN620" t="s">
        <v>4885</v>
      </c>
      <c r="AO620" t="s">
        <v>4833</v>
      </c>
      <c r="AP620">
        <v>0</v>
      </c>
      <c r="AQ620" t="s">
        <v>1747</v>
      </c>
      <c r="AR620" t="s">
        <v>1142</v>
      </c>
      <c r="AS620" t="s">
        <v>8756</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8780</v>
      </c>
      <c r="C621" s="242" t="s">
        <v>8781</v>
      </c>
      <c r="D621" t="s">
        <v>8781</v>
      </c>
      <c r="E621" t="s">
        <v>8760</v>
      </c>
      <c r="F621" t="s">
        <v>329</v>
      </c>
      <c r="G621" t="s">
        <v>8782</v>
      </c>
      <c r="H621" t="s">
        <v>8783</v>
      </c>
      <c r="I621" t="s">
        <v>8784</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8785</v>
      </c>
      <c r="AK621" t="s">
        <v>8786</v>
      </c>
      <c r="AL621">
        <v>13</v>
      </c>
      <c r="AM621" t="s">
        <v>4720</v>
      </c>
      <c r="AN621" t="s">
        <v>4835</v>
      </c>
      <c r="AO621" t="s">
        <v>8787</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8511</v>
      </c>
      <c r="C10" t="s">
        <v>8512</v>
      </c>
      <c r="D10" t="s">
        <v>8512</v>
      </c>
      <c r="E10" t="s">
        <v>8513</v>
      </c>
      <c r="F10" t="s">
        <v>6785</v>
      </c>
      <c r="G10" t="s">
        <v>4486</v>
      </c>
      <c r="H10" t="s">
        <v>8514</v>
      </c>
      <c r="I10">
        <v>1</v>
      </c>
      <c r="J10">
        <v>1</v>
      </c>
      <c r="K10" t="s">
        <v>973</v>
      </c>
      <c r="L10">
        <v>1</v>
      </c>
      <c r="M10">
        <v>126</v>
      </c>
      <c r="N10" t="s">
        <v>974</v>
      </c>
      <c r="O10">
        <v>10</v>
      </c>
      <c r="P10">
        <v>0</v>
      </c>
      <c r="Q10">
        <v>5</v>
      </c>
      <c r="R10">
        <v>750885</v>
      </c>
      <c r="S10">
        <v>1</v>
      </c>
      <c r="T10">
        <v>750887</v>
      </c>
      <c r="U10">
        <v>750888</v>
      </c>
      <c r="V10">
        <v>750889</v>
      </c>
      <c r="W10" t="s">
        <v>8515</v>
      </c>
      <c r="X10" t="s">
        <v>8516</v>
      </c>
      <c r="Y10" t="s">
        <v>8517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8518</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AG369" sqref="AG369:AG371"/>
      <selection pane="bottomLeft" activeCell="AG369" sqref="AG369:AG371"/>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8657</v>
      </c>
      <c r="F1" s="323" t="s">
        <v>873</v>
      </c>
      <c r="G1" s="323" t="s">
        <v>876</v>
      </c>
      <c r="H1" s="323" t="s">
        <v>875</v>
      </c>
      <c r="I1" s="323" t="s">
        <v>874</v>
      </c>
      <c r="J1" s="323" t="s">
        <v>877</v>
      </c>
      <c r="K1" s="323" t="s">
        <v>878</v>
      </c>
      <c r="L1" s="323" t="s">
        <v>38</v>
      </c>
      <c r="M1" s="323" t="s">
        <v>879</v>
      </c>
      <c r="N1" s="323" t="s">
        <v>8656</v>
      </c>
      <c r="O1" s="323" t="s">
        <v>8655</v>
      </c>
      <c r="P1" s="323" t="s">
        <v>8654</v>
      </c>
      <c r="Q1" s="323" t="s">
        <v>8653</v>
      </c>
    </row>
    <row r="2" spans="1:17" x14ac:dyDescent="0.25">
      <c r="A2" s="1">
        <v>1001</v>
      </c>
      <c r="B2" s="1" t="s">
        <v>8652</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8651</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8650</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8649</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8648</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8647</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8646</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8645</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8644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8643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8642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8641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8640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8639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8638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8637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8636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8635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8634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8633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8632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8631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8630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8629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8628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8627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8626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8625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8624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8623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8622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8621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8620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8619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8618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8617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8616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8615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8614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8613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8612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8611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8610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8609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8608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8607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8606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8605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8604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8603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8602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8601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8600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8599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8598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8597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8596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8595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8594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8593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8592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8591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8590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8589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8588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8587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8586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8585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8584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8583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8582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8581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8580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8579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8578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8577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8576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8575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8574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8573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8572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8571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8570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8569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8568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8567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8566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8565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8564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8563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8562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8561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8560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8559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8558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8557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8556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8555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8554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8553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8519</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8518</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8518</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8518</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8518</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8255</v>
      </c>
    </row>
    <row r="2" spans="1:7" x14ac:dyDescent="0.25">
      <c r="A2" s="16" t="s">
        <v>8254</v>
      </c>
      <c r="B2" t="s">
        <v>8304</v>
      </c>
      <c r="C2">
        <v>3004</v>
      </c>
      <c r="D2">
        <v>2004</v>
      </c>
      <c r="E2">
        <v>1004</v>
      </c>
    </row>
    <row r="3" spans="1:7" x14ac:dyDescent="0.25">
      <c r="A3" s="16" t="s">
        <v>8254</v>
      </c>
      <c r="B3" t="s">
        <v>638</v>
      </c>
      <c r="C3">
        <v>3005</v>
      </c>
      <c r="D3">
        <v>2005</v>
      </c>
      <c r="E3">
        <v>1005</v>
      </c>
    </row>
    <row r="4" spans="1:7" x14ac:dyDescent="0.25">
      <c r="A4" s="16" t="s">
        <v>8254</v>
      </c>
      <c r="B4" t="s">
        <v>8305</v>
      </c>
      <c r="C4">
        <v>3010</v>
      </c>
      <c r="D4">
        <v>2010</v>
      </c>
      <c r="E4">
        <v>1010</v>
      </c>
    </row>
    <row r="5" spans="1:7" x14ac:dyDescent="0.25">
      <c r="A5" s="16" t="s">
        <v>8254</v>
      </c>
      <c r="B5" t="s">
        <v>640</v>
      </c>
      <c r="C5">
        <v>3011</v>
      </c>
      <c r="D5">
        <v>2011</v>
      </c>
      <c r="E5">
        <v>1011</v>
      </c>
    </row>
    <row r="6" spans="1:7" x14ac:dyDescent="0.25">
      <c r="A6" s="16" t="s">
        <v>8254</v>
      </c>
      <c r="B6" t="s">
        <v>8306</v>
      </c>
      <c r="C6">
        <v>3009</v>
      </c>
      <c r="D6">
        <v>2009</v>
      </c>
      <c r="E6">
        <v>1009</v>
      </c>
    </row>
    <row r="7" spans="1:7" x14ac:dyDescent="0.25">
      <c r="A7" s="16" t="s">
        <v>8254</v>
      </c>
      <c r="B7" t="s">
        <v>8307</v>
      </c>
      <c r="C7">
        <v>3006</v>
      </c>
      <c r="D7">
        <v>2006</v>
      </c>
      <c r="E7">
        <v>1006</v>
      </c>
    </row>
    <row r="8" spans="1:7" x14ac:dyDescent="0.25">
      <c r="A8" s="16" t="s">
        <v>8254</v>
      </c>
      <c r="B8" t="s">
        <v>8308</v>
      </c>
      <c r="C8">
        <v>3007</v>
      </c>
      <c r="D8">
        <v>2007</v>
      </c>
      <c r="E8">
        <v>1007</v>
      </c>
    </row>
    <row r="9" spans="1:7" x14ac:dyDescent="0.25">
      <c r="A9" s="16" t="s">
        <v>8254</v>
      </c>
      <c r="B9" t="s">
        <v>8309</v>
      </c>
      <c r="C9">
        <v>3008</v>
      </c>
      <c r="D9">
        <v>2008</v>
      </c>
      <c r="E9">
        <v>1008</v>
      </c>
    </row>
    <row r="10" spans="1:7" x14ac:dyDescent="0.25">
      <c r="A10" s="16" t="s">
        <v>8254</v>
      </c>
      <c r="B10" t="s">
        <v>8310</v>
      </c>
      <c r="C10">
        <v>3012</v>
      </c>
      <c r="D10">
        <v>2012</v>
      </c>
      <c r="E10">
        <v>1012</v>
      </c>
    </row>
    <row r="11" spans="1:7" x14ac:dyDescent="0.25">
      <c r="A11" s="16" t="s">
        <v>8254</v>
      </c>
      <c r="B11" t="s">
        <v>8311</v>
      </c>
      <c r="C11">
        <v>3013</v>
      </c>
      <c r="D11">
        <v>2013</v>
      </c>
      <c r="E11">
        <v>1013</v>
      </c>
    </row>
    <row r="12" spans="1:7" x14ac:dyDescent="0.25">
      <c r="A12" s="16" t="s">
        <v>8254</v>
      </c>
      <c r="B12" t="s">
        <v>867</v>
      </c>
      <c r="C12">
        <v>3003</v>
      </c>
      <c r="D12">
        <v>2003</v>
      </c>
      <c r="E12">
        <v>1003</v>
      </c>
    </row>
    <row r="13" spans="1:7" x14ac:dyDescent="0.25">
      <c r="A13" s="16" t="s">
        <v>8254</v>
      </c>
      <c r="B13" t="s">
        <v>868</v>
      </c>
      <c r="C13">
        <v>3001</v>
      </c>
      <c r="D13">
        <v>2001</v>
      </c>
      <c r="E13">
        <v>1001</v>
      </c>
    </row>
    <row r="14" spans="1:7" x14ac:dyDescent="0.25">
      <c r="A14" s="16" t="s">
        <v>8254</v>
      </c>
      <c r="B14" t="s">
        <v>11</v>
      </c>
      <c r="C14">
        <v>3002</v>
      </c>
      <c r="D14">
        <v>2002</v>
      </c>
      <c r="E14">
        <v>1002</v>
      </c>
    </row>
    <row r="15" spans="1:7" x14ac:dyDescent="0.25">
      <c r="A15" s="16" t="s">
        <v>8251</v>
      </c>
      <c r="B15" t="s">
        <v>8303</v>
      </c>
      <c r="C15">
        <v>3113</v>
      </c>
      <c r="D15">
        <v>2113</v>
      </c>
      <c r="E15">
        <v>1113</v>
      </c>
    </row>
    <row r="16" spans="1:7" x14ac:dyDescent="0.25">
      <c r="A16" s="16" t="s">
        <v>8251</v>
      </c>
      <c r="B16" t="s">
        <v>8312</v>
      </c>
      <c r="C16">
        <v>3110</v>
      </c>
      <c r="D16">
        <v>2110</v>
      </c>
      <c r="E16">
        <v>1110</v>
      </c>
    </row>
    <row r="17" spans="1:5" x14ac:dyDescent="0.25">
      <c r="A17" s="16" t="s">
        <v>8251</v>
      </c>
      <c r="B17" t="s">
        <v>8313</v>
      </c>
      <c r="C17">
        <v>3111</v>
      </c>
      <c r="D17">
        <v>2111</v>
      </c>
      <c r="E17">
        <v>1111</v>
      </c>
    </row>
    <row r="18" spans="1:5" x14ac:dyDescent="0.25">
      <c r="A18" s="16" t="s">
        <v>8251</v>
      </c>
      <c r="B18" t="s">
        <v>8314</v>
      </c>
      <c r="C18">
        <v>3108</v>
      </c>
      <c r="D18">
        <v>2108</v>
      </c>
      <c r="E18">
        <v>1108</v>
      </c>
    </row>
    <row r="19" spans="1:5" x14ac:dyDescent="0.25">
      <c r="A19" s="16" t="s">
        <v>8251</v>
      </c>
      <c r="B19" t="s">
        <v>8315</v>
      </c>
      <c r="C19">
        <v>3118</v>
      </c>
      <c r="D19">
        <v>2118</v>
      </c>
      <c r="E19">
        <v>1118</v>
      </c>
    </row>
    <row r="20" spans="1:5" x14ac:dyDescent="0.25">
      <c r="A20" s="16" t="s">
        <v>8251</v>
      </c>
      <c r="B20" t="s">
        <v>8316</v>
      </c>
      <c r="C20">
        <v>3119</v>
      </c>
      <c r="D20">
        <v>2119</v>
      </c>
      <c r="E20">
        <v>1119</v>
      </c>
    </row>
    <row r="21" spans="1:5" x14ac:dyDescent="0.25">
      <c r="A21" s="16" t="s">
        <v>8251</v>
      </c>
      <c r="B21" t="s">
        <v>8317</v>
      </c>
      <c r="C21">
        <v>3109</v>
      </c>
      <c r="D21">
        <v>2109</v>
      </c>
      <c r="E21">
        <v>1109</v>
      </c>
    </row>
    <row r="22" spans="1:5" x14ac:dyDescent="0.25">
      <c r="A22" s="16" t="s">
        <v>8251</v>
      </c>
      <c r="B22" t="s">
        <v>8318</v>
      </c>
      <c r="C22">
        <v>3112</v>
      </c>
      <c r="D22">
        <v>2112</v>
      </c>
      <c r="E22">
        <v>1112</v>
      </c>
    </row>
    <row r="23" spans="1:5" x14ac:dyDescent="0.25">
      <c r="A23" s="16" t="s">
        <v>8251</v>
      </c>
      <c r="B23" t="s">
        <v>8319</v>
      </c>
      <c r="C23">
        <v>3120</v>
      </c>
      <c r="D23">
        <v>2120</v>
      </c>
      <c r="E23">
        <v>1120</v>
      </c>
    </row>
    <row r="24" spans="1:5" x14ac:dyDescent="0.25">
      <c r="A24" s="16" t="s">
        <v>8252</v>
      </c>
      <c r="B24" t="s">
        <v>8320</v>
      </c>
      <c r="C24">
        <v>3102</v>
      </c>
      <c r="D24">
        <v>2102</v>
      </c>
      <c r="E24">
        <v>1102</v>
      </c>
    </row>
    <row r="25" spans="1:5" x14ac:dyDescent="0.25">
      <c r="A25" s="16" t="s">
        <v>8252</v>
      </c>
      <c r="B25" t="s">
        <v>8321</v>
      </c>
      <c r="C25">
        <v>3107</v>
      </c>
      <c r="D25">
        <v>2107</v>
      </c>
      <c r="E25">
        <v>1107</v>
      </c>
    </row>
    <row r="26" spans="1:5" x14ac:dyDescent="0.25">
      <c r="A26" s="16" t="s">
        <v>8252</v>
      </c>
      <c r="B26" t="s">
        <v>8322</v>
      </c>
      <c r="C26">
        <v>3101</v>
      </c>
      <c r="D26">
        <v>2101</v>
      </c>
      <c r="E26">
        <v>1101</v>
      </c>
    </row>
    <row r="27" spans="1:5" x14ac:dyDescent="0.25">
      <c r="A27" s="16" t="s">
        <v>8252</v>
      </c>
      <c r="B27" t="s">
        <v>8323</v>
      </c>
      <c r="C27">
        <v>3106</v>
      </c>
      <c r="D27">
        <v>2106</v>
      </c>
      <c r="E27">
        <v>1106</v>
      </c>
    </row>
    <row r="28" spans="1:5" x14ac:dyDescent="0.25">
      <c r="A28" s="16" t="s">
        <v>8252</v>
      </c>
      <c r="B28" t="s">
        <v>8324</v>
      </c>
      <c r="C28">
        <v>3104</v>
      </c>
      <c r="D28">
        <v>2104</v>
      </c>
      <c r="E28">
        <v>1104</v>
      </c>
    </row>
    <row r="29" spans="1:5" x14ac:dyDescent="0.25">
      <c r="A29" s="16" t="s">
        <v>8252</v>
      </c>
      <c r="B29" t="s">
        <v>8325</v>
      </c>
      <c r="C29">
        <v>3128</v>
      </c>
      <c r="D29">
        <v>2128</v>
      </c>
      <c r="E29">
        <v>1128</v>
      </c>
    </row>
    <row r="30" spans="1:5" x14ac:dyDescent="0.25">
      <c r="A30" s="16" t="s">
        <v>8252</v>
      </c>
      <c r="B30" t="s">
        <v>8326</v>
      </c>
      <c r="C30">
        <v>3126</v>
      </c>
      <c r="D30">
        <v>2126</v>
      </c>
      <c r="E30">
        <v>1126</v>
      </c>
    </row>
    <row r="31" spans="1:5" x14ac:dyDescent="0.25">
      <c r="A31" s="16" t="s">
        <v>8252</v>
      </c>
      <c r="B31" t="s">
        <v>8327</v>
      </c>
      <c r="C31">
        <v>3103</v>
      </c>
      <c r="D31">
        <v>2103</v>
      </c>
      <c r="E31">
        <v>1103</v>
      </c>
    </row>
    <row r="32" spans="1:5" x14ac:dyDescent="0.25">
      <c r="A32" s="16" t="s">
        <v>8252</v>
      </c>
      <c r="B32" t="s">
        <v>8328</v>
      </c>
      <c r="C32">
        <v>3122</v>
      </c>
      <c r="D32">
        <v>2122</v>
      </c>
      <c r="E32">
        <v>1122</v>
      </c>
    </row>
    <row r="33" spans="1:5" x14ac:dyDescent="0.25">
      <c r="A33" s="16" t="s">
        <v>640</v>
      </c>
      <c r="B33" t="s">
        <v>8329</v>
      </c>
      <c r="C33">
        <v>3127</v>
      </c>
      <c r="D33">
        <v>2127</v>
      </c>
      <c r="E33">
        <v>1127</v>
      </c>
    </row>
    <row r="34" spans="1:5" x14ac:dyDescent="0.25">
      <c r="A34" s="16" t="s">
        <v>640</v>
      </c>
      <c r="B34" t="s">
        <v>8330</v>
      </c>
      <c r="C34">
        <v>3124</v>
      </c>
      <c r="D34">
        <v>2124</v>
      </c>
      <c r="E34">
        <v>1124</v>
      </c>
    </row>
    <row r="35" spans="1:5" x14ac:dyDescent="0.25">
      <c r="A35" s="16" t="s">
        <v>640</v>
      </c>
      <c r="B35" t="s">
        <v>8331</v>
      </c>
      <c r="C35">
        <v>3121</v>
      </c>
      <c r="D35">
        <v>2121</v>
      </c>
      <c r="E35">
        <v>1121</v>
      </c>
    </row>
    <row r="36" spans="1:5" x14ac:dyDescent="0.25">
      <c r="A36" s="16" t="s">
        <v>8253</v>
      </c>
      <c r="B36" t="s">
        <v>8332</v>
      </c>
      <c r="C36">
        <v>3115</v>
      </c>
      <c r="D36">
        <v>2115</v>
      </c>
      <c r="E36">
        <v>1115</v>
      </c>
    </row>
    <row r="37" spans="1:5" x14ac:dyDescent="0.25">
      <c r="A37" s="16" t="s">
        <v>8253</v>
      </c>
      <c r="B37" t="s">
        <v>8333</v>
      </c>
      <c r="C37">
        <v>3114</v>
      </c>
      <c r="D37">
        <v>2114</v>
      </c>
      <c r="E37">
        <v>1114</v>
      </c>
    </row>
    <row r="38" spans="1:5" x14ac:dyDescent="0.25">
      <c r="A38" s="16" t="s">
        <v>8253</v>
      </c>
      <c r="B38" t="s">
        <v>8334</v>
      </c>
      <c r="C38">
        <v>3129</v>
      </c>
      <c r="D38">
        <v>2129</v>
      </c>
      <c r="E38">
        <v>1129</v>
      </c>
    </row>
    <row r="39" spans="1:5" x14ac:dyDescent="0.25">
      <c r="A39" s="16" t="s">
        <v>8253</v>
      </c>
      <c r="B39" t="s">
        <v>8335</v>
      </c>
      <c r="C39">
        <v>3125</v>
      </c>
      <c r="D39">
        <v>2125</v>
      </c>
      <c r="E39">
        <v>1125</v>
      </c>
    </row>
    <row r="40" spans="1:5" x14ac:dyDescent="0.25">
      <c r="A40" s="16" t="s">
        <v>8253</v>
      </c>
      <c r="B40" t="s">
        <v>8336</v>
      </c>
      <c r="C40">
        <v>3116</v>
      </c>
      <c r="D40">
        <v>2116</v>
      </c>
      <c r="E40">
        <v>1116</v>
      </c>
    </row>
    <row r="41" spans="1:5" x14ac:dyDescent="0.25">
      <c r="A41" s="16" t="s">
        <v>8253</v>
      </c>
      <c r="B41" t="s">
        <v>8337</v>
      </c>
      <c r="C41">
        <v>3117</v>
      </c>
      <c r="D41">
        <v>2117</v>
      </c>
      <c r="E41">
        <v>1117</v>
      </c>
    </row>
    <row r="42" spans="1:5" x14ac:dyDescent="0.25">
      <c r="A42" s="16" t="s">
        <v>8253</v>
      </c>
      <c r="B42" t="s">
        <v>8338</v>
      </c>
      <c r="C42">
        <v>3123</v>
      </c>
      <c r="D42">
        <v>2123</v>
      </c>
      <c r="E42">
        <v>1123</v>
      </c>
    </row>
    <row r="43" spans="1:5" x14ac:dyDescent="0.25">
      <c r="A43" s="16" t="s">
        <v>8253</v>
      </c>
      <c r="B43" t="s">
        <v>8339</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8281</v>
      </c>
      <c r="Y1" s="300"/>
      <c r="Z1" s="300"/>
      <c r="AB1" s="324"/>
      <c r="AC1" s="300" t="s">
        <v>8658</v>
      </c>
      <c r="AD1" s="325"/>
      <c r="AE1" s="325"/>
      <c r="AF1" s="325"/>
      <c r="AG1" s="325"/>
      <c r="AH1" s="325"/>
      <c r="AI1" s="300" t="s">
        <v>8659</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8660</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8729</v>
      </c>
    </row>
    <row r="34" spans="1:6" x14ac:dyDescent="0.25">
      <c r="A34"/>
      <c r="B34" s="9" t="s">
        <v>950</v>
      </c>
      <c r="C34" t="str">
        <f>INDEX($F$34:$F$37,COUNTA(Main!$H$125:$H$127)+1)</f>
        <v>"ally_instance_info": "[]",</v>
      </c>
      <c r="F34" t="s">
        <v>8733</v>
      </c>
    </row>
    <row r="35" spans="1:6" x14ac:dyDescent="0.25">
      <c r="A35"/>
      <c r="B35" s="250" t="s">
        <v>8730</v>
      </c>
      <c r="C35" t="str">
        <f>SUBSTITUTE(C34,"ally1",Main!H125)</f>
        <v>"ally_instance_info": "[]",</v>
      </c>
      <c r="F35" t="s">
        <v>8734</v>
      </c>
    </row>
    <row r="36" spans="1:6" x14ac:dyDescent="0.25">
      <c r="A36"/>
      <c r="B36" s="250" t="s">
        <v>8731</v>
      </c>
      <c r="C36" t="str">
        <f>SUBSTITUTE(C35,"ally2",Main!H126)</f>
        <v>"ally_instance_info": "[]",</v>
      </c>
      <c r="F36" t="s">
        <v>8735</v>
      </c>
    </row>
    <row r="37" spans="1:6" x14ac:dyDescent="0.25">
      <c r="A37"/>
      <c r="B37" s="250" t="s">
        <v>8732</v>
      </c>
      <c r="C37" t="str">
        <f>SUBSTITUTE(C36,"ally3",Main!H127)</f>
        <v>"ally_instance_info": "[]",</v>
      </c>
      <c r="F37" t="s">
        <v>8736</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8520</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8282</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8289</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33"/>
  <sheetViews>
    <sheetView topLeftCell="AM1" workbookViewId="0">
      <pane ySplit="1" topLeftCell="A243" activePane="bottomLeft" state="frozen"/>
      <selection activeCell="AG375" sqref="AG375:AG382"/>
      <selection pane="bottomLeft" activeCell="AG375" sqref="AG375:AG382"/>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8521</v>
      </c>
    </row>
    <row r="2" spans="1:73" x14ac:dyDescent="0.25">
      <c r="A2" s="9">
        <v>2</v>
      </c>
      <c r="B2" t="s">
        <v>3</v>
      </c>
      <c r="C2" s="9" t="s">
        <v>139</v>
      </c>
      <c r="D2" s="9" t="s">
        <v>74</v>
      </c>
      <c r="E2" s="9" t="s">
        <v>746</v>
      </c>
      <c r="F2" s="9" t="s">
        <v>1660</v>
      </c>
      <c r="G2" s="9" t="s">
        <v>263</v>
      </c>
      <c r="H2" s="9" t="s">
        <v>117</v>
      </c>
      <c r="I2" s="9" t="s">
        <v>751</v>
      </c>
      <c r="J2" s="9" t="s">
        <v>7117</v>
      </c>
      <c r="K2" s="9" t="s">
        <v>752</v>
      </c>
      <c r="L2" t="s">
        <v>1749</v>
      </c>
      <c r="M2" s="9" t="s">
        <v>1153</v>
      </c>
      <c r="N2" s="9" t="s">
        <v>801</v>
      </c>
      <c r="O2" t="s">
        <v>8775</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8807</v>
      </c>
      <c r="H3" s="9" t="s">
        <v>77</v>
      </c>
      <c r="I3" s="9" t="s">
        <v>1688</v>
      </c>
      <c r="J3" s="9" t="s">
        <v>1675</v>
      </c>
      <c r="K3" s="9" t="s">
        <v>1689</v>
      </c>
      <c r="L3" t="s">
        <v>7197</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s="9" t="s">
        <v>6879</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8664</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161</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Welrod MkIIMod</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152</v>
      </c>
      <c r="H6" s="9" t="s">
        <v>80</v>
      </c>
      <c r="I6" s="9" t="s">
        <v>1610</v>
      </c>
      <c r="J6" t="s">
        <v>8806</v>
      </c>
      <c r="K6" s="9" t="s">
        <v>1642</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1687</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196</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1629</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1622</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120</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1666</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200</v>
      </c>
      <c r="G12" s="9"/>
      <c r="I12" s="9" t="s">
        <v>1630</v>
      </c>
      <c r="J12" s="9" t="s">
        <v>715</v>
      </c>
      <c r="K12" t="s">
        <v>7208</v>
      </c>
      <c r="N12" s="9" t="s">
        <v>1650</v>
      </c>
      <c r="O12" s="9" t="s">
        <v>6488</v>
      </c>
      <c r="P12" s="9" t="s">
        <v>143</v>
      </c>
      <c r="S12" s="9" t="s">
        <v>182</v>
      </c>
      <c r="T12" s="9" t="s">
        <v>1656</v>
      </c>
      <c r="U12" s="9" t="s">
        <v>252</v>
      </c>
      <c r="Y12" t="s">
        <v>8671</v>
      </c>
      <c r="Z12" s="9" t="s">
        <v>205</v>
      </c>
      <c r="AD12" s="9" t="s">
        <v>928</v>
      </c>
      <c r="AE12" t="s">
        <v>4723</v>
      </c>
      <c r="AL12" s="37"/>
      <c r="AU12" t="s">
        <v>6935</v>
      </c>
      <c r="AV12" t="s">
        <v>920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1693</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919</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t="s">
        <v>7153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921</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s="9" t="s">
        <v>820</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916</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815</v>
      </c>
      <c r="G16" s="9"/>
      <c r="I16" s="9" t="s">
        <v>828</v>
      </c>
      <c r="J16" s="9" t="s">
        <v>6392</v>
      </c>
      <c r="K16" s="9" t="s">
        <v>1410</v>
      </c>
      <c r="N16" s="9" t="s">
        <v>130</v>
      </c>
      <c r="O16" t="s">
        <v>6661</v>
      </c>
      <c r="P16" s="9" t="s">
        <v>96</v>
      </c>
      <c r="S16" s="9" t="s">
        <v>167</v>
      </c>
      <c r="T16" s="9" t="s">
        <v>1676</v>
      </c>
      <c r="U16" s="9" t="s">
        <v>104</v>
      </c>
      <c r="Y16" s="9" t="s">
        <v>111</v>
      </c>
      <c r="Z16" s="9" t="s">
        <v>126</v>
      </c>
      <c r="AD16" s="9" t="s">
        <v>1640</v>
      </c>
      <c r="AE16" t="s">
        <v>6576</v>
      </c>
      <c r="AL16" s="37"/>
      <c r="AM16" s="37"/>
      <c r="AP16" s="37"/>
      <c r="AU16" t="s">
        <v>923</v>
      </c>
      <c r="AV16" t="s">
        <v>918</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t="s">
        <v>6643</v>
      </c>
      <c r="G17" s="9"/>
      <c r="I17" s="9" t="s">
        <v>1674</v>
      </c>
      <c r="J17" s="9" t="s">
        <v>2136</v>
      </c>
      <c r="K17" s="9" t="s">
        <v>82</v>
      </c>
      <c r="N17" s="9" t="s">
        <v>1614</v>
      </c>
      <c r="O17" s="9" t="s">
        <v>187</v>
      </c>
      <c r="P17" s="9" t="s">
        <v>7124</v>
      </c>
      <c r="S17" s="9" t="s">
        <v>239</v>
      </c>
      <c r="T17" s="9" t="s">
        <v>1163</v>
      </c>
      <c r="U17" t="s">
        <v>8089</v>
      </c>
      <c r="Y17" s="9" t="s">
        <v>808</v>
      </c>
      <c r="Z17" s="9" t="s">
        <v>154</v>
      </c>
      <c r="AD17" t="s">
        <v>6585</v>
      </c>
      <c r="AE17" s="9" t="s">
        <v>1635</v>
      </c>
      <c r="AU17" t="s">
        <v>924</v>
      </c>
      <c r="AV17" t="s">
        <v>917</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s="9" t="s">
        <v>121</v>
      </c>
      <c r="G18" s="9"/>
      <c r="I18" s="9" t="s">
        <v>181</v>
      </c>
      <c r="J18" t="s">
        <v>8082</v>
      </c>
      <c r="K18" s="9" t="s">
        <v>190</v>
      </c>
      <c r="N18" s="9" t="s">
        <v>1657</v>
      </c>
      <c r="O18" s="9" t="s">
        <v>87</v>
      </c>
      <c r="P18" s="9" t="s">
        <v>201</v>
      </c>
      <c r="S18" s="9" t="s">
        <v>797</v>
      </c>
      <c r="T18" s="9" t="s">
        <v>1428</v>
      </c>
      <c r="U18" t="s">
        <v>8781</v>
      </c>
      <c r="Y18" s="9" t="s">
        <v>787</v>
      </c>
      <c r="Z18" s="9" t="s">
        <v>786</v>
      </c>
      <c r="AD18" s="9" t="s">
        <v>1673</v>
      </c>
      <c r="AE18" s="249" t="s">
        <v>7024</v>
      </c>
      <c r="AU18" t="s">
        <v>913</v>
      </c>
      <c r="AV18" t="s">
        <v>7000</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s="9" t="s">
        <v>193</v>
      </c>
      <c r="G19" s="9"/>
      <c r="I19" s="9" t="s">
        <v>156</v>
      </c>
      <c r="J19" s="9" t="s">
        <v>1628</v>
      </c>
      <c r="K19" s="9" t="s">
        <v>1646</v>
      </c>
      <c r="N19" s="9" t="s">
        <v>222</v>
      </c>
      <c r="O19" s="9" t="s">
        <v>244</v>
      </c>
      <c r="P19" s="9" t="s">
        <v>185</v>
      </c>
      <c r="T19" s="9" t="s">
        <v>832</v>
      </c>
      <c r="U19" s="9" t="s">
        <v>124</v>
      </c>
      <c r="Y19" s="9" t="s">
        <v>1652</v>
      </c>
      <c r="Z19" s="9" t="s">
        <v>1663</v>
      </c>
      <c r="AE19" s="210" t="s">
        <v>3422</v>
      </c>
      <c r="AU19" t="s">
        <v>912</v>
      </c>
      <c r="AV19" t="s">
        <v>5746</v>
      </c>
      <c r="AZ19" s="1" t="str">
        <f t="shared" si="2"/>
        <v>EM2Mod</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s="9" t="s">
        <v>131</v>
      </c>
      <c r="G20" s="9"/>
      <c r="I20" s="9" t="s">
        <v>1623</v>
      </c>
      <c r="J20" s="9" t="s">
        <v>226</v>
      </c>
      <c r="K20" s="9" t="s">
        <v>1653</v>
      </c>
      <c r="N20" s="9" t="s">
        <v>1604</v>
      </c>
      <c r="O20" s="9" t="s">
        <v>833</v>
      </c>
      <c r="P20" s="9" t="s">
        <v>132</v>
      </c>
      <c r="T20" s="9" t="s">
        <v>98</v>
      </c>
      <c r="U20" s="9" t="s">
        <v>1187</v>
      </c>
      <c r="Z20" s="9" t="s">
        <v>1678</v>
      </c>
      <c r="AE20" s="210" t="s">
        <v>825</v>
      </c>
      <c r="AU20" t="s">
        <v>5670</v>
      </c>
      <c r="AV20" t="s">
        <v>708</v>
      </c>
      <c r="AZ20" s="1" t="str">
        <f t="shared" si="2"/>
        <v>FAL</v>
      </c>
      <c r="BA20" s="1" t="str">
        <f t="shared" si="3"/>
        <v>Noel</v>
      </c>
      <c r="BB20" s="1" t="str">
        <f t="shared" si="4"/>
        <v/>
      </c>
      <c r="BC20" s="1" t="str">
        <f t="shared" si="5"/>
        <v>Noel</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197</v>
      </c>
      <c r="G21" s="9"/>
      <c r="J21" s="9" t="s">
        <v>1612</v>
      </c>
      <c r="K21" s="9" t="s">
        <v>1685</v>
      </c>
      <c r="N21" s="9" t="s">
        <v>119</v>
      </c>
      <c r="O21" s="9" t="s">
        <v>1681</v>
      </c>
      <c r="P21" s="9" t="s">
        <v>821</v>
      </c>
      <c r="T21" s="9" t="s">
        <v>99</v>
      </c>
      <c r="U21" s="9" t="s">
        <v>1430</v>
      </c>
      <c r="Z21" s="9" t="s">
        <v>834</v>
      </c>
      <c r="AE21" t="s">
        <v>6566</v>
      </c>
      <c r="AU21" t="s">
        <v>5669</v>
      </c>
      <c r="AV21" t="s">
        <v>709</v>
      </c>
      <c r="AZ21" s="1" t="str">
        <f t="shared" si="2"/>
        <v>G11</v>
      </c>
      <c r="BA21" s="1" t="str">
        <f t="shared" si="3"/>
        <v>NZ75</v>
      </c>
      <c r="BB21" s="1" t="str">
        <f t="shared" si="4"/>
        <v/>
      </c>
      <c r="BC21" s="1" t="str">
        <f t="shared" si="5"/>
        <v>NZ75</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1654</v>
      </c>
      <c r="J22" s="9" t="s">
        <v>1677</v>
      </c>
      <c r="K22" s="9" t="s">
        <v>141</v>
      </c>
      <c r="N22" s="9" t="s">
        <v>3397</v>
      </c>
      <c r="O22" s="9" t="s">
        <v>92</v>
      </c>
      <c r="P22" s="9" t="s">
        <v>1680</v>
      </c>
      <c r="T22" s="9" t="s">
        <v>22</v>
      </c>
      <c r="U22" s="9" t="s">
        <v>735</v>
      </c>
      <c r="Z22" t="s">
        <v>1691</v>
      </c>
      <c r="AE22" t="s">
        <v>8679</v>
      </c>
      <c r="AU22" t="s">
        <v>6842</v>
      </c>
      <c r="AV22" t="s">
        <v>710</v>
      </c>
      <c r="AZ22" s="1" t="str">
        <f t="shared" si="2"/>
        <v>G36Mod</v>
      </c>
      <c r="BA22" s="1" t="str">
        <f t="shared" si="3"/>
        <v>P22</v>
      </c>
      <c r="BB22" s="1" t="str">
        <f t="shared" si="4"/>
        <v/>
      </c>
      <c r="BC22" s="1" t="str">
        <f t="shared" si="5"/>
        <v>P22</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186</v>
      </c>
      <c r="J23" s="9" t="s">
        <v>5775</v>
      </c>
      <c r="K23" s="9" t="s">
        <v>1703</v>
      </c>
      <c r="N23" s="9" t="s">
        <v>218</v>
      </c>
      <c r="O23" s="9" t="s">
        <v>1639</v>
      </c>
      <c r="P23" s="9" t="s">
        <v>1615</v>
      </c>
      <c r="T23" s="9" t="s">
        <v>796</v>
      </c>
      <c r="U23" s="9" t="s">
        <v>824</v>
      </c>
      <c r="Z23" s="9" t="s">
        <v>7016</v>
      </c>
      <c r="AE23" t="s">
        <v>8685</v>
      </c>
      <c r="AU23" t="s">
        <v>6936</v>
      </c>
      <c r="AV23" t="s">
        <v>231</v>
      </c>
      <c r="AZ23" s="1" t="str">
        <f t="shared" si="2"/>
        <v>G41</v>
      </c>
      <c r="BA23" s="1" t="str">
        <f t="shared" si="3"/>
        <v>PA15</v>
      </c>
      <c r="BB23" s="1" t="str">
        <f t="shared" si="4"/>
        <v/>
      </c>
      <c r="BC23" s="1" t="str">
        <f t="shared" si="5"/>
        <v>PA15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64</v>
      </c>
      <c r="J24" s="9" t="s">
        <v>799</v>
      </c>
      <c r="K24" s="9" t="s">
        <v>1729</v>
      </c>
      <c r="O24" s="9" t="s">
        <v>800</v>
      </c>
      <c r="P24" t="s">
        <v>1394</v>
      </c>
      <c r="T24" s="9" t="s">
        <v>7131</v>
      </c>
      <c r="U24" s="9" t="s">
        <v>223</v>
      </c>
      <c r="Z24" s="9" t="s">
        <v>1668</v>
      </c>
      <c r="AE24" t="s">
        <v>7233</v>
      </c>
      <c r="AQ24" s="9"/>
      <c r="AU24" t="s">
        <v>6937</v>
      </c>
      <c r="AV24" t="s">
        <v>738</v>
      </c>
      <c r="AZ24" s="1" t="str">
        <f t="shared" si="2"/>
        <v>Himeko</v>
      </c>
      <c r="BA24" s="1" t="str">
        <f t="shared" si="3"/>
        <v>Px4 Storm</v>
      </c>
      <c r="BB24" s="1" t="str">
        <f t="shared" si="4"/>
        <v/>
      </c>
      <c r="BC24" s="1" t="str">
        <f t="shared" si="5"/>
        <v>Px4 Storm</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t="s">
        <v>5674</v>
      </c>
      <c r="J25" s="9" t="s">
        <v>144</v>
      </c>
      <c r="K25" s="9" t="s">
        <v>1627</v>
      </c>
      <c r="O25" s="9" t="s">
        <v>5699</v>
      </c>
      <c r="P25" t="s">
        <v>8003</v>
      </c>
      <c r="T25" s="9" t="s">
        <v>229</v>
      </c>
      <c r="U25" t="s">
        <v>8022</v>
      </c>
      <c r="AE25" s="9" t="s">
        <v>250</v>
      </c>
      <c r="AQ25" s="9"/>
      <c r="AU25" t="s">
        <v>6938</v>
      </c>
      <c r="AV25" t="s">
        <v>162</v>
      </c>
      <c r="AZ25" s="1" t="str">
        <f t="shared" si="2"/>
        <v>HK416</v>
      </c>
      <c r="BA25" s="1" t="str">
        <f t="shared" si="3"/>
        <v>Python</v>
      </c>
      <c r="BB25" s="1" t="str">
        <f t="shared" si="4"/>
        <v/>
      </c>
      <c r="BC25" s="1" t="str">
        <f t="shared" si="5"/>
        <v>Python</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267</v>
      </c>
      <c r="J26" s="9" t="s">
        <v>829</v>
      </c>
      <c r="K26" s="9" t="s">
        <v>5691</v>
      </c>
      <c r="O26" s="9" t="s">
        <v>243</v>
      </c>
      <c r="P26" s="9" t="s">
        <v>1655</v>
      </c>
      <c r="T26" s="9" t="s">
        <v>1649</v>
      </c>
      <c r="U26" s="9" t="s">
        <v>7009</v>
      </c>
      <c r="AE26" s="210" t="s">
        <v>734</v>
      </c>
      <c r="AQ26" s="9"/>
      <c r="AV26" t="s">
        <v>5730</v>
      </c>
      <c r="AZ26" s="1" t="str">
        <f t="shared" si="2"/>
        <v>HK433</v>
      </c>
      <c r="BA26" s="1" t="str">
        <f t="shared" si="3"/>
        <v>Rhino</v>
      </c>
      <c r="BB26" s="1" t="str">
        <f t="shared" si="4"/>
        <v/>
      </c>
      <c r="BC26" s="1" t="str">
        <f t="shared" si="5"/>
        <v>Rhino</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s="9" t="s">
        <v>732</v>
      </c>
      <c r="J27" s="9" t="s">
        <v>741</v>
      </c>
      <c r="K27" s="9" t="s">
        <v>127</v>
      </c>
      <c r="O27" s="9" t="s">
        <v>830</v>
      </c>
      <c r="P27" s="9" t="s">
        <v>207</v>
      </c>
      <c r="T27" s="9" t="s">
        <v>1616</v>
      </c>
      <c r="U27" s="9" t="s">
        <v>188</v>
      </c>
      <c r="AQ27" s="9"/>
      <c r="AV27" t="s">
        <v>252</v>
      </c>
      <c r="AZ27" s="1" t="str">
        <f t="shared" si="2"/>
        <v>Junko</v>
      </c>
      <c r="BA27" s="1" t="str">
        <f t="shared" si="3"/>
        <v>SAAMod</v>
      </c>
      <c r="BB27" s="1" t="str">
        <f t="shared" si="4"/>
        <v/>
      </c>
      <c r="BC27" s="1" t="str">
        <f t="shared" si="5"/>
        <v>SAAMod</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s="9" t="s">
        <v>740</v>
      </c>
      <c r="J28" s="9" t="s">
        <v>24</v>
      </c>
      <c r="K28" s="9" t="s">
        <v>76</v>
      </c>
      <c r="O28" s="9" t="s">
        <v>839</v>
      </c>
      <c r="P28" s="9" t="s">
        <v>249</v>
      </c>
      <c r="T28" s="9" t="s">
        <v>831</v>
      </c>
      <c r="U28" s="9" t="s">
        <v>168</v>
      </c>
      <c r="AV28" t="s">
        <v>137</v>
      </c>
      <c r="AZ28" s="1" t="str">
        <f t="shared" si="2"/>
        <v>K11</v>
      </c>
      <c r="BA28" s="1" t="str">
        <f t="shared" si="3"/>
        <v>Sei</v>
      </c>
      <c r="BB28" s="1" t="str">
        <f t="shared" si="4"/>
        <v/>
      </c>
      <c r="BC28" s="1" t="str">
        <f t="shared" si="5"/>
        <v>Sei</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6975</v>
      </c>
      <c r="J29" s="9" t="s">
        <v>23</v>
      </c>
      <c r="K29" s="9" t="s">
        <v>224</v>
      </c>
      <c r="O29" s="9" t="s">
        <v>172</v>
      </c>
      <c r="P29" t="s">
        <v>236</v>
      </c>
      <c r="T29" s="9" t="s">
        <v>739</v>
      </c>
      <c r="U29" s="9" t="s">
        <v>1706</v>
      </c>
      <c r="AV29" t="s">
        <v>1626</v>
      </c>
      <c r="AZ29" s="1" t="str">
        <f t="shared" si="2"/>
        <v>K2</v>
      </c>
      <c r="BA29" s="1" t="str">
        <f t="shared" si="3"/>
        <v>StechkinMod</v>
      </c>
      <c r="BB29" s="1" t="str">
        <f t="shared" si="4"/>
        <v/>
      </c>
      <c r="BC29" s="1" t="str">
        <f t="shared" si="5"/>
        <v>StechkinMod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823</v>
      </c>
      <c r="J30" s="9" t="s">
        <v>123</v>
      </c>
      <c r="K30" s="9" t="s">
        <v>8102</v>
      </c>
      <c r="P30" s="9" t="s">
        <v>818</v>
      </c>
      <c r="T30" s="9" t="s">
        <v>6762</v>
      </c>
      <c r="U30" s="9" t="s">
        <v>257</v>
      </c>
      <c r="AV30" t="s">
        <v>101</v>
      </c>
      <c r="AZ30" s="1" t="str">
        <f t="shared" si="2"/>
        <v>KH2002</v>
      </c>
      <c r="BA30" s="1" t="str">
        <f t="shared" si="3"/>
        <v>Tae</v>
      </c>
      <c r="BB30" s="1" t="str">
        <f t="shared" si="4"/>
        <v/>
      </c>
      <c r="BC30" s="1" t="str">
        <f t="shared" si="5"/>
        <v>Tae</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793</v>
      </c>
      <c r="J31" t="s">
        <v>5479</v>
      </c>
      <c r="K31" s="9" t="s">
        <v>265</v>
      </c>
      <c r="P31" s="9" t="s">
        <v>6898</v>
      </c>
      <c r="T31" s="9" t="s">
        <v>180</v>
      </c>
      <c r="U31" s="9" t="s">
        <v>256</v>
      </c>
      <c r="AV31" t="s">
        <v>258</v>
      </c>
      <c r="AZ31" s="1" t="str">
        <f t="shared" si="2"/>
        <v>M4 SOPMOD IIMod</v>
      </c>
      <c r="BA31" s="1" t="str">
        <f t="shared" si="3"/>
        <v>Theresa</v>
      </c>
      <c r="BB31" s="1" t="str">
        <f t="shared" si="4"/>
        <v/>
      </c>
      <c r="BC31" s="1" t="str">
        <f t="shared" si="5"/>
        <v>Theresa</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836</v>
      </c>
      <c r="K32" s="9" t="s">
        <v>264</v>
      </c>
      <c r="P32" s="9" t="s">
        <v>795</v>
      </c>
      <c r="U32" s="9" t="s">
        <v>179</v>
      </c>
      <c r="AV32" t="s">
        <v>74</v>
      </c>
      <c r="AZ32" s="1" t="str">
        <f t="shared" si="2"/>
        <v>M4A1Mod</v>
      </c>
      <c r="BA32" s="1" t="str">
        <f t="shared" si="3"/>
        <v>Webley</v>
      </c>
      <c r="BB32" s="1" t="str">
        <f t="shared" si="4"/>
        <v/>
      </c>
      <c r="BC32" s="1" t="str">
        <f t="shared" si="5"/>
        <v>Webley</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K33" s="9" t="s">
        <v>79</v>
      </c>
      <c r="P33" s="9" t="s">
        <v>737</v>
      </c>
      <c r="U33" t="s">
        <v>1397</v>
      </c>
      <c r="AV33" t="s">
        <v>104</v>
      </c>
      <c r="AZ33" s="1" t="str">
        <f t="shared" si="2"/>
        <v>MDR</v>
      </c>
      <c r="BA33" s="1" t="str">
        <f t="shared" si="3"/>
        <v>Welrod MkII</v>
      </c>
      <c r="BB33" s="1" t="str">
        <f t="shared" si="4"/>
        <v/>
      </c>
      <c r="BC33" s="1" t="str">
        <f t="shared" si="5"/>
        <v>Welrod MkII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K34" s="9" t="s">
        <v>817</v>
      </c>
      <c r="P34" s="9" t="s">
        <v>814</v>
      </c>
      <c r="U34" s="9" t="s">
        <v>1625</v>
      </c>
      <c r="AV34" t="s">
        <v>744</v>
      </c>
      <c r="AZ34" s="1" t="str">
        <f t="shared" si="2"/>
        <v>Medusa</v>
      </c>
      <c r="BA34" s="1" t="str">
        <f t="shared" si="3"/>
        <v/>
      </c>
      <c r="BB34" s="1" t="str">
        <f t="shared" si="4"/>
        <v/>
      </c>
      <c r="BC34" s="1" t="str">
        <f t="shared" si="5"/>
        <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1238</v>
      </c>
      <c r="U35" t="s">
        <v>5708</v>
      </c>
      <c r="AV35" t="s">
        <v>3214</v>
      </c>
      <c r="AZ35" s="1" t="str">
        <f t="shared" si="2"/>
        <v>OTs14</v>
      </c>
      <c r="BA35" s="1" t="str">
        <f t="shared" si="3"/>
        <v/>
      </c>
      <c r="BB35" s="1" t="str">
        <f t="shared" si="4"/>
        <v/>
      </c>
      <c r="BC35" s="1" t="str">
        <f t="shared" si="5"/>
        <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1669</v>
      </c>
      <c r="U36" s="9" t="s">
        <v>791</v>
      </c>
      <c r="AV36" t="s">
        <v>72</v>
      </c>
      <c r="AZ36" s="1" t="str">
        <f t="shared" si="2"/>
        <v>QBZ191</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s="9" t="s">
        <v>230</v>
      </c>
      <c r="AV37" t="s">
        <v>746</v>
      </c>
      <c r="AZ37" s="1" t="str">
        <f t="shared" si="2"/>
        <v>R5</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t="s">
        <v>1755</v>
      </c>
      <c r="AV38" t="s">
        <v>794</v>
      </c>
      <c r="AZ38" s="1" t="str">
        <f t="shared" si="2"/>
        <v>RFB</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s="9" t="s">
        <v>1670</v>
      </c>
      <c r="AV39" t="s">
        <v>748</v>
      </c>
      <c r="AZ39" s="1" t="str">
        <f t="shared" si="2"/>
        <v>Ribeyrolles1918Mod</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6906</v>
      </c>
      <c r="AV40" t="s">
        <v>747</v>
      </c>
      <c r="AZ40" s="1" t="str">
        <f t="shared" si="2"/>
        <v>SACR</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6400</v>
      </c>
      <c r="AV41" t="s">
        <v>749</v>
      </c>
      <c r="AZ41" s="1" t="str">
        <f t="shared" si="2"/>
        <v>SCAR-L</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891</v>
      </c>
      <c r="AV42" t="s">
        <v>718</v>
      </c>
      <c r="AZ42" s="1" t="str">
        <f t="shared" si="2"/>
        <v>SCR</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246</v>
      </c>
      <c r="AV43" t="s">
        <v>1642</v>
      </c>
      <c r="AZ43" s="1" t="str">
        <f t="shared" si="2"/>
        <v>SIG MCX</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1683</v>
      </c>
      <c r="AV44" t="s">
        <v>161</v>
      </c>
      <c r="AZ44" s="1" t="str">
        <f t="shared" si="2"/>
        <v>SIG556</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160</v>
      </c>
      <c r="AV45" t="s">
        <v>152</v>
      </c>
      <c r="AZ45" s="1" t="str">
        <f t="shared" si="2"/>
        <v>ST AR15Mod</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t="s">
        <v>1679</v>
      </c>
      <c r="AV46" t="s">
        <v>736</v>
      </c>
      <c r="AZ46" s="1" t="str">
        <f t="shared" si="2"/>
        <v>T91</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6763</v>
      </c>
      <c r="AV47" t="s">
        <v>1605</v>
      </c>
      <c r="AZ47" s="1" t="str">
        <f t="shared" si="2"/>
        <v>TKB408</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s="9" t="s">
        <v>792</v>
      </c>
      <c r="AV48" t="s">
        <v>722</v>
      </c>
      <c r="AZ48" s="1" t="str">
        <f t="shared" si="2"/>
        <v>Type56-1mod</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133</v>
      </c>
      <c r="AV49" t="s">
        <v>7168</v>
      </c>
      <c r="AZ49" s="1" t="str">
        <f t="shared" si="2"/>
        <v>Type89</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134</v>
      </c>
      <c r="AV50" t="s">
        <v>109</v>
      </c>
      <c r="AZ50" s="1" t="str">
        <f t="shared" si="2"/>
        <v>Type95</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807</v>
      </c>
      <c r="AV51" t="s">
        <v>8781</v>
      </c>
      <c r="AZ51" s="1" t="str">
        <f t="shared" si="2"/>
        <v>Type97</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row>
    <row r="52" spans="1:73" x14ac:dyDescent="0.25">
      <c r="A52" s="9"/>
      <c r="C52" s="9"/>
      <c r="D52" s="9"/>
      <c r="U52" t="s">
        <v>7216</v>
      </c>
      <c r="AV52" t="s">
        <v>8806</v>
      </c>
      <c r="AZ52" s="1" t="str">
        <f t="shared" si="2"/>
        <v>VHS</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EM2Mod</v>
      </c>
      <c r="BP52" s="1" t="str">
        <f t="shared" si="18"/>
        <v/>
      </c>
      <c r="BQ52" s="1" t="str">
        <f t="shared" si="19"/>
        <v/>
      </c>
      <c r="BR52" s="1" t="str">
        <f t="shared" si="20"/>
        <v/>
      </c>
      <c r="BS52" s="1" t="str">
        <f t="shared" si="21"/>
        <v/>
      </c>
    </row>
    <row r="53" spans="1:73" x14ac:dyDescent="0.25">
      <c r="A53" s="9"/>
      <c r="C53" s="9"/>
      <c r="D53" s="9"/>
      <c r="U53" t="s">
        <v>5737</v>
      </c>
      <c r="AV53" t="s">
        <v>3179</v>
      </c>
      <c r="AZ53" s="1" t="str">
        <f t="shared" si="2"/>
        <v>VRB</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EVO 3Mod</v>
      </c>
      <c r="BP53" s="1" t="str">
        <f t="shared" si="18"/>
        <v/>
      </c>
      <c r="BQ53" s="1" t="str">
        <f t="shared" si="19"/>
        <v/>
      </c>
      <c r="BR53" s="1" t="str">
        <f t="shared" si="20"/>
        <v/>
      </c>
      <c r="BS53" s="1" t="str">
        <f t="shared" si="21"/>
        <v/>
      </c>
    </row>
    <row r="54" spans="1:73" x14ac:dyDescent="0.25">
      <c r="A54" s="9"/>
      <c r="C54" s="9"/>
      <c r="D54" s="9"/>
      <c r="U54" s="9" t="s">
        <v>169</v>
      </c>
      <c r="AV54" t="s">
        <v>827</v>
      </c>
      <c r="AZ54" s="1" t="str">
        <f t="shared" si="2"/>
        <v>XM8Mod</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EVO3</v>
      </c>
      <c r="BP54" s="1" t="str">
        <f t="shared" si="18"/>
        <v/>
      </c>
      <c r="BQ54" s="1" t="str">
        <f t="shared" si="19"/>
        <v/>
      </c>
      <c r="BR54" s="1" t="str">
        <f t="shared" si="20"/>
        <v/>
      </c>
      <c r="BS54" s="1" t="str">
        <f t="shared" si="21"/>
        <v/>
      </c>
    </row>
    <row r="55" spans="1:73" x14ac:dyDescent="0.25">
      <c r="A55" s="9"/>
      <c r="C55" s="9"/>
      <c r="D55" s="9"/>
      <c r="AV55" t="s">
        <v>1184</v>
      </c>
      <c r="AZ55" s="1" t="str">
        <f t="shared" si="2"/>
        <v>Zas M21</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F1Mod</v>
      </c>
      <c r="BP55" s="1" t="str">
        <f t="shared" si="18"/>
        <v/>
      </c>
      <c r="BQ55" s="1" t="str">
        <f t="shared" si="19"/>
        <v/>
      </c>
      <c r="BR55" s="1" t="str">
        <f t="shared" si="20"/>
        <v/>
      </c>
      <c r="BS55" s="1" t="str">
        <f t="shared" si="21"/>
        <v/>
      </c>
    </row>
    <row r="56" spans="1:73" x14ac:dyDescent="0.25">
      <c r="A56" s="9"/>
      <c r="C56" s="9"/>
      <c r="D56" s="9"/>
      <c r="AV56" t="s">
        <v>719</v>
      </c>
      <c r="AZ56" s="1" t="str">
        <f t="shared" si="2"/>
        <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F2000</v>
      </c>
      <c r="BP56" s="1" t="str">
        <f t="shared" si="18"/>
        <v/>
      </c>
      <c r="BQ56" s="1" t="str">
        <f t="shared" si="19"/>
        <v/>
      </c>
      <c r="BR56" s="1" t="str">
        <f t="shared" si="20"/>
        <v/>
      </c>
      <c r="BS56" s="1" t="str">
        <f t="shared" si="21"/>
        <v/>
      </c>
    </row>
    <row r="57" spans="1:73" x14ac:dyDescent="0.25">
      <c r="A57" s="9"/>
      <c r="C57" s="9"/>
      <c r="D57" s="9"/>
      <c r="AV57" t="s">
        <v>8775</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Fail</v>
      </c>
      <c r="BP57" s="1" t="str">
        <f t="shared" si="18"/>
        <v/>
      </c>
      <c r="BQ57" s="1" t="str">
        <f t="shared" si="19"/>
        <v/>
      </c>
      <c r="BR57" s="1" t="str">
        <f t="shared" si="20"/>
        <v/>
      </c>
      <c r="BS57" s="1" t="str">
        <f t="shared" si="21"/>
        <v/>
      </c>
    </row>
    <row r="58" spans="1:73" x14ac:dyDescent="0.25">
      <c r="A58" s="9"/>
      <c r="C58" s="9"/>
      <c r="D58" s="9"/>
      <c r="AV58" t="s">
        <v>711</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FalconMod</v>
      </c>
      <c r="BP58" s="1" t="str">
        <f t="shared" si="18"/>
        <v/>
      </c>
      <c r="BQ58" s="1" t="str">
        <f t="shared" si="19"/>
        <v/>
      </c>
      <c r="BR58" s="1" t="str">
        <f t="shared" si="20"/>
        <v/>
      </c>
      <c r="BS58" s="1" t="str">
        <f t="shared" si="21"/>
        <v/>
      </c>
    </row>
    <row r="59" spans="1:73" x14ac:dyDescent="0.25">
      <c r="A59" s="9"/>
      <c r="C59" s="9"/>
      <c r="D59" s="9"/>
      <c r="AV59" t="s">
        <v>125</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FAMAS</v>
      </c>
      <c r="BP59" s="1" t="str">
        <f t="shared" si="18"/>
        <v/>
      </c>
      <c r="BQ59" s="1" t="str">
        <f t="shared" si="19"/>
        <v/>
      </c>
      <c r="BR59" s="1" t="str">
        <f t="shared" si="20"/>
        <v/>
      </c>
      <c r="BS59" s="1" t="str">
        <f t="shared" si="21"/>
        <v/>
      </c>
    </row>
    <row r="60" spans="1:73" x14ac:dyDescent="0.25">
      <c r="A60" s="9"/>
      <c r="C60" s="9"/>
      <c r="D60" s="9"/>
      <c r="AV60" t="s">
        <v>1629</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FG42</v>
      </c>
      <c r="BP60" s="1" t="str">
        <f t="shared" si="18"/>
        <v/>
      </c>
      <c r="BQ60" s="1" t="str">
        <f t="shared" si="19"/>
        <v/>
      </c>
      <c r="BR60" s="1" t="str">
        <f t="shared" si="20"/>
        <v/>
      </c>
      <c r="BS60" s="1" t="str">
        <f t="shared" si="21"/>
        <v/>
      </c>
    </row>
    <row r="61" spans="1:73" x14ac:dyDescent="0.25">
      <c r="A61" s="9"/>
      <c r="C61" s="9"/>
      <c r="D61" s="9"/>
      <c r="AV61" t="s">
        <v>1418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Fiveseven</v>
      </c>
      <c r="BP61" s="1" t="str">
        <f t="shared" si="18"/>
        <v/>
      </c>
      <c r="BQ61" s="1" t="str">
        <f t="shared" si="19"/>
        <v/>
      </c>
      <c r="BR61" s="1" t="str">
        <f t="shared" si="20"/>
        <v/>
      </c>
      <c r="BS61" s="1" t="str">
        <f t="shared" si="21"/>
        <v/>
      </c>
    </row>
    <row r="62" spans="1:73" x14ac:dyDescent="0.25">
      <c r="A62" s="9"/>
      <c r="C62" s="9"/>
      <c r="D62" s="9"/>
      <c r="AV62" t="s">
        <v>1637</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FN49Mod</v>
      </c>
      <c r="BP62" s="1" t="str">
        <f t="shared" si="18"/>
        <v/>
      </c>
      <c r="BQ62" s="1" t="str">
        <f t="shared" si="19"/>
        <v/>
      </c>
      <c r="BR62" s="1" t="str">
        <f t="shared" si="20"/>
        <v/>
      </c>
      <c r="BS62" s="1" t="str">
        <f t="shared" si="21"/>
        <v/>
      </c>
    </row>
    <row r="63" spans="1:73" x14ac:dyDescent="0.25">
      <c r="A63" s="9"/>
      <c r="C63" s="9"/>
      <c r="D63" s="9"/>
      <c r="AV63" t="s">
        <v>1448</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FP6</v>
      </c>
      <c r="BP63" s="1" t="str">
        <f t="shared" si="18"/>
        <v/>
      </c>
      <c r="BQ63" s="1" t="str">
        <f t="shared" si="19"/>
        <v/>
      </c>
      <c r="BR63" s="1" t="str">
        <f t="shared" si="20"/>
        <v/>
      </c>
      <c r="BS63" s="1" t="str">
        <f t="shared" si="21"/>
        <v/>
      </c>
    </row>
    <row r="64" spans="1:73" x14ac:dyDescent="0.25">
      <c r="C64" s="9"/>
      <c r="D64" s="9"/>
      <c r="AV64" t="s">
        <v>75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G11Mod</v>
      </c>
      <c r="BP64" s="1" t="str">
        <f t="shared" si="18"/>
        <v/>
      </c>
      <c r="BQ64" s="1" t="str">
        <f t="shared" si="19"/>
        <v/>
      </c>
      <c r="BR64" s="1" t="str">
        <f t="shared" si="20"/>
        <v/>
      </c>
      <c r="BS64" s="1" t="str">
        <f t="shared" si="21"/>
        <v/>
      </c>
    </row>
    <row r="65" spans="3:71" x14ac:dyDescent="0.25">
      <c r="C65" s="9"/>
      <c r="D65" s="9"/>
      <c r="AV65" t="s">
        <v>1749</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G17</v>
      </c>
      <c r="BP65" s="1" t="str">
        <f t="shared" si="18"/>
        <v/>
      </c>
      <c r="BQ65" s="1" t="str">
        <f t="shared" si="19"/>
        <v/>
      </c>
      <c r="BR65" s="1" t="str">
        <f t="shared" si="20"/>
        <v/>
      </c>
      <c r="BS65" s="1" t="str">
        <f t="shared" si="21"/>
        <v/>
      </c>
    </row>
    <row r="66" spans="3:71" x14ac:dyDescent="0.25">
      <c r="C66" s="9"/>
      <c r="D66" s="9"/>
      <c r="AV66" t="s">
        <v>1430</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G36CMod</v>
      </c>
      <c r="BP66" s="1" t="str">
        <f t="shared" si="18"/>
        <v/>
      </c>
      <c r="BQ66" s="1" t="str">
        <f t="shared" si="19"/>
        <v/>
      </c>
      <c r="BR66" s="1" t="str">
        <f t="shared" si="20"/>
        <v/>
      </c>
      <c r="BS66" s="1" t="str">
        <f t="shared" si="21"/>
        <v/>
      </c>
    </row>
    <row r="67" spans="3:71" x14ac:dyDescent="0.25">
      <c r="C67" s="9"/>
      <c r="D67" s="9"/>
      <c r="AV67" t="s">
        <v>1428</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G36Mod</v>
      </c>
      <c r="BP67" s="1" t="str">
        <f t="shared" si="18"/>
        <v/>
      </c>
      <c r="BQ67" s="1" t="str">
        <f t="shared" si="19"/>
        <v/>
      </c>
      <c r="BR67" s="1" t="str">
        <f t="shared" si="20"/>
        <v/>
      </c>
      <c r="BS67" s="1" t="str">
        <f t="shared" si="21"/>
        <v/>
      </c>
    </row>
    <row r="68" spans="3:71" x14ac:dyDescent="0.25">
      <c r="D68" s="9"/>
      <c r="AV68" t="s">
        <v>8724</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G3Mod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735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G3ModGZ</v>
      </c>
      <c r="BP69" s="1" t="str">
        <f t="shared" si="38"/>
        <v/>
      </c>
      <c r="BQ69" s="1" t="str">
        <f t="shared" si="39"/>
        <v/>
      </c>
      <c r="BR69" s="1" t="str">
        <f t="shared" si="40"/>
        <v/>
      </c>
      <c r="BS69" s="1" t="str">
        <f t="shared" si="41"/>
        <v/>
      </c>
    </row>
    <row r="70" spans="3:71" x14ac:dyDescent="0.25">
      <c r="D70" s="9"/>
      <c r="AV70" t="s">
        <v>94</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G41</v>
      </c>
      <c r="BP70" s="1" t="str">
        <f t="shared" si="38"/>
        <v/>
      </c>
      <c r="BQ70" s="1" t="str">
        <f t="shared" si="39"/>
        <v/>
      </c>
      <c r="BR70" s="1" t="str">
        <f t="shared" si="40"/>
        <v/>
      </c>
      <c r="BS70" s="1" t="str">
        <f t="shared" si="41"/>
        <v/>
      </c>
    </row>
    <row r="71" spans="3:71" x14ac:dyDescent="0.25">
      <c r="AV71" t="s">
        <v>832</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G43</v>
      </c>
      <c r="BP71" s="1" t="str">
        <f t="shared" si="38"/>
        <v/>
      </c>
      <c r="BQ71" s="1" t="str">
        <f t="shared" si="39"/>
        <v/>
      </c>
      <c r="BR71" s="1" t="str">
        <f t="shared" si="40"/>
        <v/>
      </c>
      <c r="BS71" s="1" t="str">
        <f t="shared" si="41"/>
        <v/>
      </c>
    </row>
    <row r="72" spans="3:71" x14ac:dyDescent="0.25">
      <c r="AV72" t="s">
        <v>1756</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Galil Mod</v>
      </c>
      <c r="BP72" s="1" t="str">
        <f t="shared" si="38"/>
        <v/>
      </c>
      <c r="BQ72" s="1" t="str">
        <f t="shared" si="39"/>
        <v/>
      </c>
      <c r="BR72" s="1" t="str">
        <f t="shared" si="40"/>
        <v/>
      </c>
      <c r="BS72" s="1" t="str">
        <f t="shared" si="41"/>
        <v/>
      </c>
    </row>
    <row r="73" spans="3:71" x14ac:dyDescent="0.25">
      <c r="AV73" t="s">
        <v>120</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Gepard M1Mod</v>
      </c>
      <c r="BP73" s="1" t="str">
        <f t="shared" si="38"/>
        <v/>
      </c>
      <c r="BQ73" s="1" t="str">
        <f t="shared" si="39"/>
        <v/>
      </c>
      <c r="BR73" s="1" t="str">
        <f t="shared" si="40"/>
        <v/>
      </c>
      <c r="BS73" s="1" t="str">
        <f t="shared" si="41"/>
        <v/>
      </c>
    </row>
    <row r="74" spans="3:71" x14ac:dyDescent="0.25">
      <c r="AV74" t="s">
        <v>1686</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Grizzly</v>
      </c>
      <c r="BP74" s="1" t="str">
        <f t="shared" si="38"/>
        <v/>
      </c>
      <c r="BQ74" s="1" t="str">
        <f t="shared" si="39"/>
        <v/>
      </c>
      <c r="BR74" s="1" t="str">
        <f t="shared" si="40"/>
        <v/>
      </c>
      <c r="BS74" s="1" t="str">
        <f t="shared" si="41"/>
        <v/>
      </c>
    </row>
    <row r="75" spans="3:71" x14ac:dyDescent="0.25">
      <c r="AV75" t="s">
        <v>248</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GSh18Mod</v>
      </c>
      <c r="BP75" s="1" t="str">
        <f t="shared" si="38"/>
        <v/>
      </c>
      <c r="BQ75" s="1" t="str">
        <f t="shared" si="39"/>
        <v/>
      </c>
      <c r="BR75" s="1" t="str">
        <f t="shared" si="40"/>
        <v/>
      </c>
      <c r="BS75" s="1" t="str">
        <f t="shared" si="41"/>
        <v/>
      </c>
    </row>
    <row r="76" spans="3:71" x14ac:dyDescent="0.25">
      <c r="AV76" t="s">
        <v>223</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Henrietta</v>
      </c>
      <c r="BP76" s="1" t="str">
        <f t="shared" si="38"/>
        <v/>
      </c>
      <c r="BQ76" s="1" t="str">
        <f t="shared" si="39"/>
        <v/>
      </c>
      <c r="BR76" s="1" t="str">
        <f t="shared" si="40"/>
        <v/>
      </c>
      <c r="BS76" s="1" t="str">
        <f t="shared" si="41"/>
        <v/>
      </c>
    </row>
    <row r="77" spans="3:71" x14ac:dyDescent="0.25">
      <c r="AV77" t="s">
        <v>259</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HK416</v>
      </c>
      <c r="BP77" s="1" t="str">
        <f t="shared" si="38"/>
        <v/>
      </c>
      <c r="BQ77" s="1" t="str">
        <f t="shared" si="39"/>
        <v/>
      </c>
      <c r="BR77" s="1" t="str">
        <f t="shared" si="40"/>
        <v/>
      </c>
      <c r="BS77" s="1" t="str">
        <f t="shared" si="41"/>
        <v/>
      </c>
    </row>
    <row r="78" spans="3:71" x14ac:dyDescent="0.25">
      <c r="AV78" t="s">
        <v>8119</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HK416Mod</v>
      </c>
      <c r="BP78" s="1" t="str">
        <f t="shared" si="38"/>
        <v/>
      </c>
      <c r="BQ78" s="1" t="str">
        <f t="shared" si="39"/>
        <v/>
      </c>
      <c r="BR78" s="1" t="str">
        <f t="shared" si="40"/>
        <v/>
      </c>
      <c r="BS78" s="1" t="str">
        <f t="shared" si="41"/>
        <v/>
      </c>
    </row>
    <row r="79" spans="3:71" x14ac:dyDescent="0.25">
      <c r="AV79" t="s">
        <v>1720</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HK416ModGZ</v>
      </c>
      <c r="BP79" s="1" t="str">
        <f t="shared" si="38"/>
        <v/>
      </c>
      <c r="BQ79" s="1" t="str">
        <f t="shared" si="39"/>
        <v/>
      </c>
      <c r="BR79" s="1" t="str">
        <f t="shared" si="40"/>
        <v/>
      </c>
      <c r="BS79" s="1" t="str">
        <f t="shared" si="41"/>
        <v/>
      </c>
    </row>
    <row r="80" spans="3:71" x14ac:dyDescent="0.25">
      <c r="AV80" t="s">
        <v>262</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Honey Badger</v>
      </c>
      <c r="BP80" s="1" t="str">
        <f t="shared" si="38"/>
        <v/>
      </c>
      <c r="BQ80" s="1" t="str">
        <f t="shared" si="39"/>
        <v/>
      </c>
      <c r="BR80" s="1" t="str">
        <f t="shared" si="40"/>
        <v/>
      </c>
      <c r="BS80" s="1" t="str">
        <f t="shared" si="41"/>
        <v/>
      </c>
    </row>
    <row r="81" spans="48:71" x14ac:dyDescent="0.25">
      <c r="AV81" t="s">
        <v>78</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IDWMod</v>
      </c>
      <c r="BP81" s="1" t="str">
        <f t="shared" si="38"/>
        <v/>
      </c>
      <c r="BQ81" s="1" t="str">
        <f t="shared" si="39"/>
        <v/>
      </c>
      <c r="BR81" s="1" t="str">
        <f t="shared" si="40"/>
        <v/>
      </c>
      <c r="BS81" s="1" t="str">
        <f t="shared" si="41"/>
        <v/>
      </c>
    </row>
    <row r="82" spans="48:71" x14ac:dyDescent="0.25">
      <c r="AV82" t="s">
        <v>1692</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Ingram</v>
      </c>
      <c r="BP82" s="1" t="str">
        <f t="shared" si="38"/>
        <v/>
      </c>
      <c r="BQ82" s="1" t="str">
        <f t="shared" si="39"/>
        <v/>
      </c>
      <c r="BR82" s="1" t="str">
        <f t="shared" si="40"/>
        <v/>
      </c>
      <c r="BS82" s="1" t="str">
        <f t="shared" si="41"/>
        <v/>
      </c>
    </row>
    <row r="83" spans="48:71" x14ac:dyDescent="0.25">
      <c r="AV83" t="s">
        <v>192</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Jashin</v>
      </c>
      <c r="BP83" s="1" t="str">
        <f t="shared" si="38"/>
        <v/>
      </c>
      <c r="BQ83" s="1" t="str">
        <f t="shared" si="39"/>
        <v/>
      </c>
      <c r="BR83" s="1" t="str">
        <f t="shared" si="40"/>
        <v/>
      </c>
      <c r="BS83" s="1" t="str">
        <f t="shared" si="41"/>
        <v/>
      </c>
    </row>
    <row r="84" spans="48:71" x14ac:dyDescent="0.25">
      <c r="AV84" t="s">
        <v>756</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Jericho</v>
      </c>
      <c r="BP84" s="1" t="str">
        <f t="shared" si="38"/>
        <v/>
      </c>
      <c r="BQ84" s="1" t="str">
        <f t="shared" si="39"/>
        <v/>
      </c>
      <c r="BR84" s="1" t="str">
        <f t="shared" si="40"/>
        <v/>
      </c>
      <c r="BS84" s="1" t="str">
        <f t="shared" si="41"/>
        <v/>
      </c>
    </row>
    <row r="85" spans="48:71" x14ac:dyDescent="0.25">
      <c r="AV85" t="s">
        <v>759</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JillAdelhyde1</v>
      </c>
      <c r="BP85" s="1" t="str">
        <f t="shared" si="38"/>
        <v/>
      </c>
      <c r="BQ85" s="1" t="str">
        <f t="shared" si="39"/>
        <v/>
      </c>
      <c r="BR85" s="1" t="str">
        <f t="shared" si="40"/>
        <v/>
      </c>
      <c r="BS85" s="1" t="str">
        <f t="shared" si="41"/>
        <v/>
      </c>
    </row>
    <row r="86" spans="48:71" x14ac:dyDescent="0.25">
      <c r="AV86" t="s">
        <v>760</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JillAdelhyde2</v>
      </c>
      <c r="BP86" s="1" t="str">
        <f t="shared" si="38"/>
        <v/>
      </c>
      <c r="BQ86" s="1" t="str">
        <f t="shared" si="39"/>
        <v/>
      </c>
      <c r="BR86" s="1" t="str">
        <f t="shared" si="40"/>
        <v/>
      </c>
      <c r="BS86" s="1" t="str">
        <f t="shared" si="41"/>
        <v/>
      </c>
    </row>
    <row r="87" spans="48:71" x14ac:dyDescent="0.25">
      <c r="AV87" t="s">
        <v>757</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JillBronsonExtract</v>
      </c>
      <c r="BP87" s="1" t="str">
        <f t="shared" si="38"/>
        <v/>
      </c>
      <c r="BQ87" s="1" t="str">
        <f t="shared" si="39"/>
        <v/>
      </c>
      <c r="BR87" s="1" t="str">
        <f t="shared" si="40"/>
        <v/>
      </c>
      <c r="BS87" s="1" t="str">
        <f t="shared" si="41"/>
        <v/>
      </c>
    </row>
    <row r="88" spans="48:71" x14ac:dyDescent="0.25">
      <c r="AV88" t="s">
        <v>755</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JillFlanergide</v>
      </c>
      <c r="BP88" s="1" t="str">
        <f t="shared" si="38"/>
        <v/>
      </c>
      <c r="BQ88" s="1" t="str">
        <f t="shared" si="39"/>
        <v/>
      </c>
      <c r="BR88" s="1" t="str">
        <f t="shared" si="40"/>
        <v/>
      </c>
      <c r="BS88" s="1" t="str">
        <f t="shared" si="41"/>
        <v/>
      </c>
    </row>
    <row r="89" spans="48:71" x14ac:dyDescent="0.25">
      <c r="AV89" t="s">
        <v>758</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JillKarmotrine1</v>
      </c>
      <c r="BP89" s="1" t="str">
        <f t="shared" si="38"/>
        <v/>
      </c>
      <c r="BQ89" s="1" t="str">
        <f t="shared" si="39"/>
        <v/>
      </c>
      <c r="BR89" s="1" t="str">
        <f t="shared" si="40"/>
        <v/>
      </c>
      <c r="BS89" s="1" t="str">
        <f t="shared" si="41"/>
        <v/>
      </c>
    </row>
    <row r="90" spans="48:71" x14ac:dyDescent="0.25">
      <c r="AV90" t="s">
        <v>761</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JillKarmotrine2</v>
      </c>
      <c r="BP90" s="1" t="str">
        <f t="shared" si="38"/>
        <v/>
      </c>
      <c r="BQ90" s="1" t="str">
        <f t="shared" si="39"/>
        <v/>
      </c>
      <c r="BR90" s="1" t="str">
        <f t="shared" si="40"/>
        <v/>
      </c>
      <c r="BS90" s="1" t="str">
        <f t="shared" si="41"/>
        <v/>
      </c>
    </row>
    <row r="91" spans="48:71" x14ac:dyDescent="0.25">
      <c r="AV91" t="s">
        <v>842</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JillKarmotrine3</v>
      </c>
      <c r="BP91" s="1" t="str">
        <f t="shared" si="38"/>
        <v/>
      </c>
      <c r="BQ91" s="1" t="str">
        <f t="shared" si="39"/>
        <v/>
      </c>
      <c r="BR91" s="1" t="str">
        <f t="shared" si="40"/>
        <v/>
      </c>
      <c r="BS91" s="1" t="str">
        <f t="shared" si="41"/>
        <v/>
      </c>
    </row>
    <row r="92" spans="48:71" x14ac:dyDescent="0.25">
      <c r="AV92" t="s">
        <v>7009</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JillPowderedDelta</v>
      </c>
      <c r="BP92" s="1" t="str">
        <f t="shared" si="38"/>
        <v/>
      </c>
      <c r="BQ92" s="1" t="str">
        <f t="shared" si="39"/>
        <v/>
      </c>
      <c r="BR92" s="1" t="str">
        <f t="shared" si="40"/>
        <v/>
      </c>
      <c r="BS92" s="1" t="str">
        <f t="shared" si="41"/>
        <v/>
      </c>
    </row>
    <row r="93" spans="48:71" x14ac:dyDescent="0.25">
      <c r="AV93" t="s">
        <v>188</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Junko</v>
      </c>
      <c r="BP93" s="1" t="str">
        <f t="shared" si="38"/>
        <v/>
      </c>
      <c r="BQ93" s="1" t="str">
        <f t="shared" si="39"/>
        <v/>
      </c>
      <c r="BR93" s="1" t="str">
        <f t="shared" si="40"/>
        <v/>
      </c>
      <c r="BS93" s="1" t="str">
        <f t="shared" si="41"/>
        <v/>
      </c>
    </row>
    <row r="94" spans="48:71" x14ac:dyDescent="0.25">
      <c r="AV94" t="s">
        <v>168</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K11</v>
      </c>
      <c r="BP94" s="1" t="str">
        <f t="shared" si="38"/>
        <v/>
      </c>
      <c r="BQ94" s="1" t="str">
        <f t="shared" si="39"/>
        <v/>
      </c>
      <c r="BR94" s="1" t="str">
        <f t="shared" si="40"/>
        <v/>
      </c>
      <c r="BS94" s="1" t="str">
        <f t="shared" si="41"/>
        <v/>
      </c>
    </row>
    <row r="95" spans="48:71" x14ac:dyDescent="0.25">
      <c r="AV95" t="s">
        <v>191</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K2</v>
      </c>
      <c r="BP95" s="1" t="str">
        <f t="shared" si="38"/>
        <v/>
      </c>
      <c r="BQ95" s="1" t="str">
        <f t="shared" si="39"/>
        <v/>
      </c>
      <c r="BR95" s="1" t="str">
        <f t="shared" si="40"/>
        <v/>
      </c>
      <c r="BS95" s="1" t="str">
        <f t="shared" si="41"/>
        <v/>
      </c>
    </row>
    <row r="96" spans="48:71" x14ac:dyDescent="0.25">
      <c r="AV96" t="s">
        <v>7153</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K31</v>
      </c>
      <c r="BP96" s="1" t="str">
        <f t="shared" si="38"/>
        <v/>
      </c>
      <c r="BQ96" s="1" t="str">
        <f t="shared" si="39"/>
        <v/>
      </c>
      <c r="BR96" s="1" t="str">
        <f t="shared" si="40"/>
        <v/>
      </c>
      <c r="BS96" s="1" t="str">
        <f t="shared" si="41"/>
        <v/>
      </c>
    </row>
    <row r="97" spans="48:71" x14ac:dyDescent="0.25">
      <c r="AV97" t="s">
        <v>93</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K5Mod</v>
      </c>
      <c r="BP97" s="1" t="str">
        <f t="shared" si="38"/>
        <v/>
      </c>
      <c r="BQ97" s="1" t="str">
        <f t="shared" si="39"/>
        <v/>
      </c>
      <c r="BR97" s="1" t="str">
        <f t="shared" si="40"/>
        <v/>
      </c>
      <c r="BS97" s="1" t="str">
        <f t="shared" si="41"/>
        <v/>
      </c>
    </row>
    <row r="98" spans="48:71" x14ac:dyDescent="0.25">
      <c r="AV98" t="s">
        <v>6760</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Kar98k</v>
      </c>
      <c r="BP98" s="1" t="str">
        <f t="shared" si="38"/>
        <v/>
      </c>
      <c r="BQ98" s="1" t="str">
        <f t="shared" si="39"/>
        <v/>
      </c>
      <c r="BR98" s="1" t="str">
        <f t="shared" si="40"/>
        <v/>
      </c>
      <c r="BS98" s="1" t="str">
        <f t="shared" si="41"/>
        <v/>
      </c>
    </row>
    <row r="99" spans="48:71" x14ac:dyDescent="0.25">
      <c r="AV99" t="s">
        <v>723</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Kar98kmod</v>
      </c>
      <c r="BP99" s="1" t="str">
        <f t="shared" si="38"/>
        <v/>
      </c>
      <c r="BQ99" s="1" t="str">
        <f t="shared" si="39"/>
        <v/>
      </c>
      <c r="BR99" s="1" t="str">
        <f t="shared" si="40"/>
        <v/>
      </c>
      <c r="BS99" s="1" t="str">
        <f t="shared" si="41"/>
        <v/>
      </c>
    </row>
    <row r="100" spans="48:71" x14ac:dyDescent="0.25">
      <c r="AV100" t="s">
        <v>266</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KS23</v>
      </c>
      <c r="BP100" s="1" t="str">
        <f t="shared" si="38"/>
        <v/>
      </c>
      <c r="BQ100" s="1" t="str">
        <f t="shared" si="39"/>
        <v/>
      </c>
      <c r="BR100" s="1" t="str">
        <f t="shared" si="40"/>
        <v/>
      </c>
      <c r="BS100" s="1" t="str">
        <f t="shared" si="41"/>
        <v/>
      </c>
    </row>
    <row r="101" spans="48:71" x14ac:dyDescent="0.25">
      <c r="AV101" t="s">
        <v>103</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KSVKMod</v>
      </c>
      <c r="BP101" s="1" t="str">
        <f t="shared" si="38"/>
        <v/>
      </c>
      <c r="BQ101" s="1" t="str">
        <f t="shared" si="39"/>
        <v/>
      </c>
      <c r="BR101" s="1" t="str">
        <f t="shared" si="40"/>
        <v/>
      </c>
      <c r="BS101" s="1" t="str">
        <f t="shared" si="41"/>
        <v/>
      </c>
    </row>
    <row r="102" spans="48:71" x14ac:dyDescent="0.25">
      <c r="AV102" t="s">
        <v>96</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L85A1</v>
      </c>
      <c r="BP102" s="1" t="str">
        <f t="shared" si="38"/>
        <v/>
      </c>
      <c r="BQ102" s="1" t="str">
        <f t="shared" si="39"/>
        <v/>
      </c>
      <c r="BR102" s="1" t="str">
        <f t="shared" si="40"/>
        <v/>
      </c>
      <c r="BS102" s="1" t="str">
        <f t="shared" si="41"/>
        <v/>
      </c>
    </row>
    <row r="103" spans="48:71" x14ac:dyDescent="0.25">
      <c r="AV103" t="s">
        <v>6761</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Lee Enfield</v>
      </c>
      <c r="BP103" s="1" t="str">
        <f t="shared" si="38"/>
        <v/>
      </c>
      <c r="BQ103" s="1" t="str">
        <f t="shared" si="39"/>
        <v/>
      </c>
      <c r="BR103" s="1" t="str">
        <f t="shared" si="40"/>
        <v/>
      </c>
      <c r="BS103" s="1" t="str">
        <f t="shared" si="41"/>
        <v/>
      </c>
    </row>
    <row r="104" spans="48:71" x14ac:dyDescent="0.25">
      <c r="AV104" t="s">
        <v>217</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Lee Enfieldmod</v>
      </c>
      <c r="BP104" s="1" t="str">
        <f t="shared" si="38"/>
        <v/>
      </c>
      <c r="BQ104" s="1" t="str">
        <f t="shared" si="39"/>
        <v/>
      </c>
      <c r="BR104" s="1" t="str">
        <f t="shared" si="40"/>
        <v/>
      </c>
      <c r="BS104" s="1" t="str">
        <f t="shared" si="41"/>
        <v/>
      </c>
    </row>
    <row r="105" spans="48:71" x14ac:dyDescent="0.25">
      <c r="AV105" t="s">
        <v>6985</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Liberator</v>
      </c>
      <c r="BP105" s="1" t="str">
        <f t="shared" si="38"/>
        <v/>
      </c>
      <c r="BQ105" s="1" t="str">
        <f t="shared" si="39"/>
        <v/>
      </c>
      <c r="BR105" s="1" t="str">
        <f t="shared" si="40"/>
        <v/>
      </c>
      <c r="BS105" s="1" t="str">
        <f t="shared" si="41"/>
        <v/>
      </c>
    </row>
    <row r="106" spans="48:71" x14ac:dyDescent="0.25">
      <c r="AV106" t="s">
        <v>261</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Lily</v>
      </c>
      <c r="BP106" s="1" t="str">
        <f t="shared" si="38"/>
        <v/>
      </c>
      <c r="BQ106" s="1" t="str">
        <f t="shared" si="39"/>
        <v/>
      </c>
      <c r="BR106" s="1" t="str">
        <f t="shared" si="40"/>
        <v/>
      </c>
      <c r="BS106" s="1" t="str">
        <f t="shared" si="41"/>
        <v/>
      </c>
    </row>
    <row r="107" spans="48:71" x14ac:dyDescent="0.25">
      <c r="AV107" t="s">
        <v>86</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LWMMGMod</v>
      </c>
      <c r="BP107" s="1" t="str">
        <f t="shared" si="38"/>
        <v/>
      </c>
      <c r="BQ107" s="1" t="str">
        <f t="shared" si="39"/>
        <v/>
      </c>
      <c r="BR107" s="1" t="str">
        <f t="shared" si="40"/>
        <v/>
      </c>
      <c r="BS107" s="1" t="str">
        <f t="shared" si="41"/>
        <v/>
      </c>
    </row>
    <row r="108" spans="48:71" x14ac:dyDescent="0.25">
      <c r="AV108" t="s">
        <v>255</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M1 Garand</v>
      </c>
      <c r="BP108" s="1" t="str">
        <f t="shared" si="38"/>
        <v/>
      </c>
      <c r="BQ108" s="1" t="str">
        <f t="shared" si="39"/>
        <v/>
      </c>
      <c r="BR108" s="1" t="str">
        <f t="shared" si="40"/>
        <v/>
      </c>
      <c r="BS108" s="1" t="str">
        <f t="shared" si="41"/>
        <v/>
      </c>
    </row>
    <row r="109" spans="48:71" x14ac:dyDescent="0.25">
      <c r="AV109" t="s">
        <v>98</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M14Mod</v>
      </c>
      <c r="BP109" s="1" t="str">
        <f t="shared" si="38"/>
        <v/>
      </c>
      <c r="BQ109" s="1" t="str">
        <f t="shared" si="39"/>
        <v/>
      </c>
      <c r="BR109" s="1" t="str">
        <f t="shared" si="40"/>
        <v/>
      </c>
      <c r="BS109" s="1" t="str">
        <f t="shared" si="41"/>
        <v/>
      </c>
    </row>
    <row r="110" spans="48:71" x14ac:dyDescent="0.25">
      <c r="AV110" t="s">
        <v>145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M16A1</v>
      </c>
      <c r="BP110" s="1" t="str">
        <f t="shared" si="38"/>
        <v/>
      </c>
      <c r="BQ110" s="1" t="str">
        <f t="shared" si="39"/>
        <v/>
      </c>
      <c r="BR110" s="1" t="str">
        <f t="shared" si="40"/>
        <v/>
      </c>
      <c r="BS110" s="1" t="str">
        <f t="shared" si="41"/>
        <v/>
      </c>
    </row>
    <row r="111" spans="48:71" x14ac:dyDescent="0.25">
      <c r="AV111" t="s">
        <v>785</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M1887</v>
      </c>
      <c r="BP111" s="1" t="str">
        <f t="shared" si="38"/>
        <v/>
      </c>
      <c r="BQ111" s="1" t="str">
        <f t="shared" si="39"/>
        <v/>
      </c>
      <c r="BR111" s="1" t="str">
        <f t="shared" si="40"/>
        <v/>
      </c>
      <c r="BS111" s="1" t="str">
        <f t="shared" si="41"/>
        <v/>
      </c>
    </row>
    <row r="112" spans="48:71" x14ac:dyDescent="0.25">
      <c r="AV112" t="s">
        <v>725</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M1895Mod</v>
      </c>
      <c r="BP112" s="1" t="str">
        <f t="shared" si="38"/>
        <v/>
      </c>
      <c r="BQ112" s="1" t="str">
        <f t="shared" si="39"/>
        <v/>
      </c>
      <c r="BR112" s="1" t="str">
        <f t="shared" si="40"/>
        <v/>
      </c>
      <c r="BS112" s="1" t="str">
        <f t="shared" si="41"/>
        <v/>
      </c>
    </row>
    <row r="113" spans="48:71" x14ac:dyDescent="0.25">
      <c r="AV113" t="s">
        <v>253</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M1897Mod</v>
      </c>
      <c r="BP113" s="1" t="str">
        <f t="shared" si="38"/>
        <v/>
      </c>
      <c r="BQ113" s="1" t="str">
        <f t="shared" si="39"/>
        <v/>
      </c>
      <c r="BR113" s="1" t="str">
        <f t="shared" si="40"/>
        <v/>
      </c>
      <c r="BS113" s="1" t="str">
        <f t="shared" si="41"/>
        <v/>
      </c>
    </row>
    <row r="114" spans="48:71" x14ac:dyDescent="0.25">
      <c r="AV114" t="s">
        <v>8725</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M1911Mod</v>
      </c>
      <c r="BP114" s="1" t="str">
        <f t="shared" si="38"/>
        <v/>
      </c>
      <c r="BQ114" s="1" t="str">
        <f t="shared" si="39"/>
        <v/>
      </c>
      <c r="BR114" s="1" t="str">
        <f t="shared" si="40"/>
        <v/>
      </c>
      <c r="BS114" s="1" t="str">
        <f t="shared" si="41"/>
        <v/>
      </c>
    </row>
    <row r="115" spans="48:71" x14ac:dyDescent="0.25">
      <c r="AV115" t="s">
        <v>105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M1911ModGZ</v>
      </c>
      <c r="BP115" s="1" t="str">
        <f t="shared" si="38"/>
        <v/>
      </c>
      <c r="BQ115" s="1" t="str">
        <f t="shared" si="39"/>
        <v/>
      </c>
      <c r="BR115" s="1" t="str">
        <f t="shared" si="40"/>
        <v/>
      </c>
      <c r="BS115" s="1" t="str">
        <f t="shared" si="41"/>
        <v/>
      </c>
    </row>
    <row r="116" spans="48:71" x14ac:dyDescent="0.25">
      <c r="AV116" t="s">
        <v>260</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M1918</v>
      </c>
      <c r="BP116" s="1" t="str">
        <f t="shared" si="38"/>
        <v/>
      </c>
      <c r="BQ116" s="1" t="str">
        <f t="shared" si="39"/>
        <v/>
      </c>
      <c r="BR116" s="1" t="str">
        <f t="shared" si="40"/>
        <v/>
      </c>
      <c r="BS116" s="1" t="str">
        <f t="shared" si="41"/>
        <v/>
      </c>
    </row>
    <row r="117" spans="48:71" x14ac:dyDescent="0.25">
      <c r="AV117" t="s">
        <v>7307</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M1918Mod</v>
      </c>
      <c r="BP117" s="1" t="str">
        <f t="shared" si="38"/>
        <v/>
      </c>
      <c r="BQ117" s="1" t="str">
        <f t="shared" si="39"/>
        <v/>
      </c>
      <c r="BR117" s="1" t="str">
        <f t="shared" si="40"/>
        <v/>
      </c>
      <c r="BS117" s="1" t="str">
        <f t="shared" si="41"/>
        <v/>
      </c>
    </row>
    <row r="118" spans="48:71" x14ac:dyDescent="0.25">
      <c r="AV118" t="s">
        <v>107</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M1918Ranking</v>
      </c>
      <c r="BP118" s="1" t="str">
        <f t="shared" si="38"/>
        <v/>
      </c>
      <c r="BQ118" s="1" t="str">
        <f t="shared" si="39"/>
        <v/>
      </c>
      <c r="BR118" s="1" t="str">
        <f t="shared" si="40"/>
        <v/>
      </c>
      <c r="BS118" s="1" t="str">
        <f t="shared" si="41"/>
        <v/>
      </c>
    </row>
    <row r="119" spans="48:71" x14ac:dyDescent="0.25">
      <c r="AV119" t="s">
        <v>7146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M1919A4</v>
      </c>
      <c r="BP119" s="1" t="str">
        <f t="shared" si="38"/>
        <v/>
      </c>
      <c r="BQ119" s="1" t="str">
        <f t="shared" si="39"/>
        <v/>
      </c>
      <c r="BR119" s="1" t="str">
        <f t="shared" si="40"/>
        <v/>
      </c>
      <c r="BS119" s="1" t="str">
        <f t="shared" si="41"/>
        <v/>
      </c>
    </row>
    <row r="120" spans="48:71" x14ac:dyDescent="0.25">
      <c r="AV120" t="s">
        <v>8340</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M1919A4Mod</v>
      </c>
      <c r="BP120" s="1" t="str">
        <f t="shared" si="38"/>
        <v/>
      </c>
      <c r="BQ120" s="1" t="str">
        <f t="shared" si="39"/>
        <v/>
      </c>
      <c r="BR120" s="1" t="str">
        <f t="shared" si="40"/>
        <v/>
      </c>
      <c r="BS120" s="1" t="str">
        <f t="shared" si="41"/>
        <v/>
      </c>
    </row>
    <row r="121" spans="48:71" x14ac:dyDescent="0.25">
      <c r="AV121" t="s">
        <v>789</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M1919A4ModGZ</v>
      </c>
      <c r="BP121" s="1" t="str">
        <f t="shared" si="38"/>
        <v/>
      </c>
      <c r="BQ121" s="1" t="str">
        <f t="shared" si="39"/>
        <v/>
      </c>
      <c r="BR121" s="1" t="str">
        <f t="shared" si="40"/>
        <v/>
      </c>
      <c r="BS121" s="1" t="str">
        <f t="shared" si="41"/>
        <v/>
      </c>
    </row>
    <row r="122" spans="48:71" x14ac:dyDescent="0.25">
      <c r="AV122" t="s">
        <v>89</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M1A1</v>
      </c>
      <c r="BP122" s="1" t="str">
        <f t="shared" si="38"/>
        <v/>
      </c>
      <c r="BQ122" s="1" t="str">
        <f t="shared" si="39"/>
        <v/>
      </c>
      <c r="BR122" s="1" t="str">
        <f t="shared" si="40"/>
        <v/>
      </c>
      <c r="BS122" s="1" t="str">
        <f t="shared" si="41"/>
        <v/>
      </c>
    </row>
    <row r="123" spans="48:71" x14ac:dyDescent="0.25">
      <c r="AV123" t="s">
        <v>1172</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M21</v>
      </c>
      <c r="BP123" s="1" t="str">
        <f t="shared" si="38"/>
        <v/>
      </c>
      <c r="BQ123" s="1" t="str">
        <f t="shared" si="39"/>
        <v/>
      </c>
      <c r="BR123" s="1" t="str">
        <f t="shared" si="40"/>
        <v/>
      </c>
      <c r="BS123" s="1" t="str">
        <f t="shared" si="41"/>
        <v/>
      </c>
    </row>
    <row r="124" spans="48:71" x14ac:dyDescent="0.25">
      <c r="AV124" t="s">
        <v>77</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M249SAW</v>
      </c>
      <c r="BP124" s="1" t="str">
        <f t="shared" si="38"/>
        <v/>
      </c>
      <c r="BQ124" s="1" t="str">
        <f t="shared" si="39"/>
        <v/>
      </c>
      <c r="BR124" s="1" t="str">
        <f t="shared" si="40"/>
        <v/>
      </c>
      <c r="BS124" s="1" t="str">
        <f t="shared" si="41"/>
        <v/>
      </c>
    </row>
    <row r="125" spans="48:71" x14ac:dyDescent="0.25">
      <c r="AV125" t="s">
        <v>147</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M3</v>
      </c>
      <c r="BP125" s="1" t="str">
        <f t="shared" si="38"/>
        <v/>
      </c>
      <c r="BQ125" s="1" t="str">
        <f t="shared" si="39"/>
        <v/>
      </c>
      <c r="BR125" s="1" t="str">
        <f t="shared" si="40"/>
        <v/>
      </c>
      <c r="BS125" s="1" t="str">
        <f t="shared" si="41"/>
        <v/>
      </c>
    </row>
    <row r="126" spans="48:71" x14ac:dyDescent="0.25">
      <c r="AV126" t="s">
        <v>715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M37</v>
      </c>
      <c r="BP126" s="1" t="str">
        <f t="shared" si="38"/>
        <v/>
      </c>
      <c r="BQ126" s="1" t="str">
        <f t="shared" si="39"/>
        <v/>
      </c>
      <c r="BR126" s="1" t="str">
        <f t="shared" si="40"/>
        <v/>
      </c>
      <c r="BS126" s="1" t="str">
        <f t="shared" si="41"/>
        <v/>
      </c>
    </row>
    <row r="127" spans="48:71" x14ac:dyDescent="0.25">
      <c r="AV127" t="s">
        <v>257</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M38Mod</v>
      </c>
      <c r="BP127" s="1" t="str">
        <f t="shared" si="38"/>
        <v/>
      </c>
      <c r="BQ127" s="1" t="str">
        <f t="shared" si="39"/>
        <v/>
      </c>
      <c r="BR127" s="1" t="str">
        <f t="shared" si="40"/>
        <v/>
      </c>
      <c r="BS127" s="1" t="str">
        <f t="shared" si="41"/>
        <v/>
      </c>
    </row>
    <row r="128" spans="48:71" x14ac:dyDescent="0.25">
      <c r="AV128" t="s">
        <v>256</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M4 SOPMOD IIMod</v>
      </c>
      <c r="BP128" s="1" t="str">
        <f t="shared" si="38"/>
        <v/>
      </c>
      <c r="BQ128" s="1" t="str">
        <f t="shared" si="39"/>
        <v/>
      </c>
      <c r="BR128" s="1" t="str">
        <f t="shared" si="40"/>
        <v/>
      </c>
      <c r="BS128" s="1" t="str">
        <f t="shared" si="41"/>
        <v/>
      </c>
    </row>
    <row r="129" spans="48:71" x14ac:dyDescent="0.25">
      <c r="AV129" t="s">
        <v>716</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M4A1Mod</v>
      </c>
      <c r="BP129" s="1" t="str">
        <f t="shared" si="38"/>
        <v/>
      </c>
      <c r="BQ129" s="1" t="str">
        <f t="shared" si="39"/>
        <v/>
      </c>
      <c r="BR129" s="1" t="str">
        <f t="shared" si="40"/>
        <v/>
      </c>
      <c r="BS129" s="1" t="str">
        <f t="shared" si="41"/>
        <v/>
      </c>
    </row>
    <row r="130" spans="48:71" x14ac:dyDescent="0.25">
      <c r="AV130" t="s">
        <v>812</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M500Mod</v>
      </c>
      <c r="BP130" s="1" t="str">
        <f t="shared" si="38"/>
        <v/>
      </c>
      <c r="BQ130" s="1" t="str">
        <f t="shared" si="39"/>
        <v/>
      </c>
      <c r="BR130" s="1" t="str">
        <f t="shared" si="40"/>
        <v/>
      </c>
      <c r="BS130" s="1" t="str">
        <f t="shared" si="41"/>
        <v/>
      </c>
    </row>
    <row r="131" spans="48:71" x14ac:dyDescent="0.25">
      <c r="AV131" t="s">
        <v>185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M6 ASW</v>
      </c>
      <c r="BP131" s="1" t="str">
        <f t="shared" si="38"/>
        <v/>
      </c>
      <c r="BQ131" s="1" t="str">
        <f t="shared" si="39"/>
        <v/>
      </c>
      <c r="BR131" s="1" t="str">
        <f t="shared" si="40"/>
        <v/>
      </c>
      <c r="BS131" s="1" t="str">
        <f t="shared" si="41"/>
        <v/>
      </c>
    </row>
    <row r="132" spans="48:71" x14ac:dyDescent="0.25">
      <c r="AV132" t="s">
        <v>5633</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M82A1</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63</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M870</v>
      </c>
      <c r="BP133" s="1" t="str">
        <f t="shared" si="58"/>
        <v/>
      </c>
      <c r="BQ133" s="1" t="str">
        <f t="shared" si="59"/>
        <v/>
      </c>
      <c r="BR133" s="1" t="str">
        <f t="shared" si="60"/>
        <v/>
      </c>
      <c r="BS133" s="1" t="str">
        <f t="shared" si="61"/>
        <v/>
      </c>
    </row>
    <row r="134" spans="48:71" x14ac:dyDescent="0.25">
      <c r="AV134" t="s">
        <v>263</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M9</v>
      </c>
      <c r="BP134" s="1" t="str">
        <f t="shared" si="58"/>
        <v/>
      </c>
      <c r="BQ134" s="1" t="str">
        <f t="shared" si="59"/>
        <v/>
      </c>
      <c r="BR134" s="1" t="str">
        <f t="shared" si="60"/>
        <v/>
      </c>
      <c r="BS134" s="1" t="str">
        <f t="shared" si="61"/>
        <v/>
      </c>
    </row>
    <row r="135" spans="48:71" x14ac:dyDescent="0.25">
      <c r="AV135" t="s">
        <v>68</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M950AMod</v>
      </c>
      <c r="BP135" s="1" t="str">
        <f t="shared" si="58"/>
        <v/>
      </c>
      <c r="BQ135" s="1" t="str">
        <f t="shared" si="59"/>
        <v/>
      </c>
      <c r="BR135" s="1" t="str">
        <f t="shared" si="60"/>
        <v/>
      </c>
      <c r="BS135" s="1" t="str">
        <f t="shared" si="61"/>
        <v/>
      </c>
    </row>
    <row r="136" spans="48:71" x14ac:dyDescent="0.25">
      <c r="AV136" t="s">
        <v>938</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Makarov</v>
      </c>
      <c r="BP136" s="1" t="str">
        <f t="shared" si="58"/>
        <v/>
      </c>
      <c r="BQ136" s="1" t="str">
        <f t="shared" si="59"/>
        <v/>
      </c>
      <c r="BR136" s="1" t="str">
        <f t="shared" si="60"/>
        <v/>
      </c>
      <c r="BS136" s="1" t="str">
        <f t="shared" si="61"/>
        <v/>
      </c>
    </row>
    <row r="137" spans="48:71" x14ac:dyDescent="0.25">
      <c r="AV137" t="s">
        <v>8128</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MakarovMod</v>
      </c>
      <c r="BP137" s="1" t="str">
        <f t="shared" si="58"/>
        <v/>
      </c>
      <c r="BQ137" s="1" t="str">
        <f t="shared" si="59"/>
        <v/>
      </c>
      <c r="BR137" s="1" t="str">
        <f t="shared" si="60"/>
        <v/>
      </c>
      <c r="BS137" s="1" t="str">
        <f t="shared" si="61"/>
        <v/>
      </c>
    </row>
    <row r="138" spans="48:71" x14ac:dyDescent="0.25">
      <c r="AV138" t="s">
        <v>179</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MakarovModGZ</v>
      </c>
      <c r="BP138" s="1" t="str">
        <f t="shared" si="58"/>
        <v/>
      </c>
      <c r="BQ138" s="1" t="str">
        <f t="shared" si="59"/>
        <v/>
      </c>
      <c r="BR138" s="1" t="str">
        <f t="shared" si="60"/>
        <v/>
      </c>
      <c r="BS138" s="1" t="str">
        <f t="shared" si="61"/>
        <v/>
      </c>
    </row>
    <row r="139" spans="48:71" x14ac:dyDescent="0.25">
      <c r="AV139" t="s">
        <v>1397</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MDR</v>
      </c>
      <c r="BP139" s="1" t="str">
        <f t="shared" si="58"/>
        <v/>
      </c>
      <c r="BQ139" s="1" t="str">
        <f t="shared" si="59"/>
        <v/>
      </c>
      <c r="BR139" s="1" t="str">
        <f t="shared" si="60"/>
        <v/>
      </c>
      <c r="BS139" s="1" t="str">
        <f t="shared" si="61"/>
        <v/>
      </c>
    </row>
    <row r="140" spans="48:71" x14ac:dyDescent="0.25">
      <c r="AV140" t="s">
        <v>114</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Medusa</v>
      </c>
      <c r="BP140" s="1" t="str">
        <f t="shared" si="58"/>
        <v/>
      </c>
      <c r="BQ140" s="1" t="str">
        <f t="shared" si="59"/>
        <v/>
      </c>
      <c r="BR140" s="1" t="str">
        <f t="shared" si="60"/>
        <v/>
      </c>
      <c r="BS140" s="1" t="str">
        <f t="shared" si="61"/>
        <v/>
      </c>
    </row>
    <row r="141" spans="48:71" x14ac:dyDescent="0.25">
      <c r="AV141" t="s">
        <v>6475</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MG3</v>
      </c>
      <c r="BP141" s="1" t="str">
        <f t="shared" si="58"/>
        <v/>
      </c>
      <c r="BQ141" s="1" t="str">
        <f t="shared" si="59"/>
        <v/>
      </c>
      <c r="BR141" s="1" t="str">
        <f t="shared" si="60"/>
        <v/>
      </c>
      <c r="BS141" s="1" t="str">
        <f t="shared" si="61"/>
        <v/>
      </c>
    </row>
    <row r="142" spans="48:71" x14ac:dyDescent="0.25">
      <c r="AV142" t="s">
        <v>8532</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MG3Mod</v>
      </c>
      <c r="BP142" s="1" t="str">
        <f t="shared" si="58"/>
        <v/>
      </c>
      <c r="BQ142" s="1" t="str">
        <f t="shared" si="59"/>
        <v/>
      </c>
      <c r="BR142" s="1" t="str">
        <f t="shared" si="60"/>
        <v/>
      </c>
      <c r="BS142" s="1" t="str">
        <f t="shared" si="61"/>
        <v/>
      </c>
    </row>
    <row r="143" spans="48:71" x14ac:dyDescent="0.25">
      <c r="AV143" t="s">
        <v>300</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MG3ModGZ</v>
      </c>
      <c r="BP143" s="1" t="str">
        <f t="shared" si="58"/>
        <v/>
      </c>
      <c r="BQ143" s="1" t="str">
        <f t="shared" si="59"/>
        <v/>
      </c>
      <c r="BR143" s="1" t="str">
        <f t="shared" si="60"/>
        <v/>
      </c>
      <c r="BS143" s="1" t="str">
        <f t="shared" si="61"/>
        <v/>
      </c>
    </row>
    <row r="144" spans="48:71" x14ac:dyDescent="0.25">
      <c r="AV144" t="s">
        <v>112</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MG4</v>
      </c>
      <c r="BP144" s="1" t="str">
        <f t="shared" si="58"/>
        <v/>
      </c>
      <c r="BQ144" s="1" t="str">
        <f t="shared" si="59"/>
        <v/>
      </c>
      <c r="BR144" s="1" t="str">
        <f t="shared" si="60"/>
        <v/>
      </c>
      <c r="BS144" s="1" t="str">
        <f t="shared" si="61"/>
        <v/>
      </c>
    </row>
    <row r="145" spans="48:71" x14ac:dyDescent="0.25">
      <c r="AV145" t="s">
        <v>927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MG42</v>
      </c>
      <c r="BP145" s="1" t="str">
        <f t="shared" si="58"/>
        <v/>
      </c>
      <c r="BQ145" s="1" t="str">
        <f t="shared" si="59"/>
        <v/>
      </c>
      <c r="BR145" s="1" t="str">
        <f t="shared" si="60"/>
        <v/>
      </c>
      <c r="BS145" s="1" t="str">
        <f t="shared" si="61"/>
        <v/>
      </c>
    </row>
    <row r="146" spans="48:71" x14ac:dyDescent="0.25">
      <c r="AV146" t="s">
        <v>8127</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MG4Mod</v>
      </c>
      <c r="BP146" s="1" t="str">
        <f t="shared" si="58"/>
        <v/>
      </c>
      <c r="BQ146" s="1" t="str">
        <f t="shared" si="59"/>
        <v/>
      </c>
      <c r="BR146" s="1" t="str">
        <f t="shared" si="60"/>
        <v/>
      </c>
      <c r="BS146" s="1" t="str">
        <f t="shared" si="61"/>
        <v/>
      </c>
    </row>
    <row r="147" spans="48:71" x14ac:dyDescent="0.25">
      <c r="AV147" t="s">
        <v>254</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MG4ModGZ</v>
      </c>
      <c r="BP147" s="1" t="str">
        <f t="shared" si="58"/>
        <v/>
      </c>
      <c r="BQ147" s="1" t="str">
        <f t="shared" si="59"/>
        <v/>
      </c>
      <c r="BR147" s="1" t="str">
        <f t="shared" si="60"/>
        <v/>
      </c>
      <c r="BS147" s="1" t="str">
        <f t="shared" si="61"/>
        <v/>
      </c>
    </row>
    <row r="148" spans="48:71" x14ac:dyDescent="0.25">
      <c r="AV148" t="s">
        <v>1401</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Micro UziMod</v>
      </c>
      <c r="BP148" s="1" t="str">
        <f t="shared" si="58"/>
        <v/>
      </c>
      <c r="BQ148" s="1" t="str">
        <f t="shared" si="59"/>
        <v/>
      </c>
      <c r="BR148" s="1" t="str">
        <f t="shared" si="60"/>
        <v/>
      </c>
      <c r="BS148" s="1" t="str">
        <f t="shared" si="61"/>
        <v/>
      </c>
    </row>
    <row r="149" spans="48:71" x14ac:dyDescent="0.25">
      <c r="AV149" t="s">
        <v>1179</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Minos</v>
      </c>
      <c r="BP149" s="1" t="str">
        <f t="shared" si="58"/>
        <v/>
      </c>
      <c r="BQ149" s="1" t="str">
        <f t="shared" si="59"/>
        <v/>
      </c>
      <c r="BR149" s="1" t="str">
        <f t="shared" si="60"/>
        <v/>
      </c>
      <c r="BS149" s="1" t="str">
        <f t="shared" si="61"/>
        <v/>
      </c>
    </row>
    <row r="150" spans="48:71" x14ac:dyDescent="0.25">
      <c r="AV150" t="s">
        <v>806</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Mk23</v>
      </c>
      <c r="BP150" s="1" t="str">
        <f t="shared" si="58"/>
        <v/>
      </c>
      <c r="BQ150" s="1" t="str">
        <f t="shared" si="59"/>
        <v/>
      </c>
      <c r="BR150" s="1" t="str">
        <f t="shared" si="60"/>
        <v/>
      </c>
      <c r="BS150" s="1" t="str">
        <f t="shared" si="61"/>
        <v/>
      </c>
    </row>
    <row r="151" spans="48:71" x14ac:dyDescent="0.25">
      <c r="AV151" t="s">
        <v>729</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MondragonM1908</v>
      </c>
      <c r="BP151" s="1" t="str">
        <f t="shared" si="58"/>
        <v/>
      </c>
      <c r="BQ151" s="1" t="str">
        <f t="shared" si="59"/>
        <v/>
      </c>
      <c r="BR151" s="1" t="str">
        <f t="shared" si="60"/>
        <v/>
      </c>
      <c r="BS151" s="1" t="str">
        <f t="shared" si="61"/>
        <v/>
      </c>
    </row>
    <row r="152" spans="48:71" x14ac:dyDescent="0.25">
      <c r="AV152" t="s">
        <v>1680</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MosinNagant</v>
      </c>
      <c r="BP152" s="1" t="str">
        <f t="shared" si="58"/>
        <v/>
      </c>
      <c r="BQ152" s="1" t="str">
        <f t="shared" si="59"/>
        <v/>
      </c>
      <c r="BR152" s="1" t="str">
        <f t="shared" si="60"/>
        <v/>
      </c>
      <c r="BS152" s="1" t="str">
        <f t="shared" si="61"/>
        <v/>
      </c>
    </row>
    <row r="153" spans="48:71" x14ac:dyDescent="0.25">
      <c r="AV153" t="s">
        <v>8122</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MosinNagantMod</v>
      </c>
      <c r="BP153" s="1" t="str">
        <f t="shared" si="58"/>
        <v/>
      </c>
      <c r="BQ153" s="1" t="str">
        <f t="shared" si="59"/>
        <v/>
      </c>
      <c r="BR153" s="1" t="str">
        <f t="shared" si="60"/>
        <v/>
      </c>
      <c r="BS153" s="1" t="str">
        <f t="shared" si="61"/>
        <v/>
      </c>
    </row>
    <row r="154" spans="48:71" x14ac:dyDescent="0.25">
      <c r="AV154" t="s">
        <v>1754</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MosinNagantModGZ</v>
      </c>
      <c r="BP154" s="1" t="str">
        <f t="shared" si="58"/>
        <v/>
      </c>
      <c r="BQ154" s="1" t="str">
        <f t="shared" si="59"/>
        <v/>
      </c>
      <c r="BR154" s="1" t="str">
        <f t="shared" si="60"/>
        <v/>
      </c>
      <c r="BS154" s="1" t="str">
        <f t="shared" si="61"/>
        <v/>
      </c>
    </row>
    <row r="155" spans="48:71" x14ac:dyDescent="0.25">
      <c r="AV155" t="s">
        <v>1684</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MP443Mod</v>
      </c>
      <c r="BP155" s="1" t="str">
        <f t="shared" si="58"/>
        <v/>
      </c>
      <c r="BQ155" s="1" t="str">
        <f t="shared" si="59"/>
        <v/>
      </c>
      <c r="BR155" s="1" t="str">
        <f t="shared" si="60"/>
        <v/>
      </c>
      <c r="BS155" s="1" t="str">
        <f t="shared" si="61"/>
        <v/>
      </c>
    </row>
    <row r="156" spans="48:71" x14ac:dyDescent="0.25">
      <c r="AV156" t="s">
        <v>730</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MP446Mod</v>
      </c>
      <c r="BP156" s="1" t="str">
        <f t="shared" si="58"/>
        <v/>
      </c>
      <c r="BQ156" s="1" t="str">
        <f t="shared" si="59"/>
        <v/>
      </c>
      <c r="BR156" s="1" t="str">
        <f t="shared" si="60"/>
        <v/>
      </c>
      <c r="BS156" s="1" t="str">
        <f t="shared" si="61"/>
        <v/>
      </c>
    </row>
    <row r="157" spans="48:71" x14ac:dyDescent="0.25">
      <c r="AV157" t="s">
        <v>1410</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MP5</v>
      </c>
      <c r="BP157" s="1" t="str">
        <f t="shared" si="58"/>
        <v/>
      </c>
      <c r="BQ157" s="1" t="str">
        <f t="shared" si="59"/>
        <v/>
      </c>
      <c r="BR157" s="1" t="str">
        <f t="shared" si="60"/>
        <v/>
      </c>
      <c r="BS157" s="1" t="str">
        <f t="shared" si="61"/>
        <v/>
      </c>
    </row>
    <row r="158" spans="48:71" x14ac:dyDescent="0.25">
      <c r="AV158" t="s">
        <v>8126</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MP5Mod</v>
      </c>
      <c r="BP158" s="1" t="str">
        <f t="shared" si="58"/>
        <v/>
      </c>
      <c r="BQ158" s="1" t="str">
        <f t="shared" si="59"/>
        <v/>
      </c>
      <c r="BR158" s="1" t="str">
        <f t="shared" si="60"/>
        <v/>
      </c>
      <c r="BS158" s="1" t="str">
        <f t="shared" si="61"/>
        <v/>
      </c>
    </row>
    <row r="159" spans="48:71" x14ac:dyDescent="0.25">
      <c r="AV159" t="s">
        <v>1682</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MP5ModGZ</v>
      </c>
      <c r="BP159" s="1" t="str">
        <f t="shared" si="58"/>
        <v/>
      </c>
      <c r="BQ159" s="1" t="str">
        <f t="shared" si="59"/>
        <v/>
      </c>
      <c r="BR159" s="1" t="str">
        <f t="shared" si="60"/>
        <v/>
      </c>
      <c r="BS159" s="1" t="str">
        <f t="shared" si="61"/>
        <v/>
      </c>
    </row>
    <row r="160" spans="48:71" x14ac:dyDescent="0.25">
      <c r="AV160" t="s">
        <v>8708</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NTW20Mod</v>
      </c>
      <c r="BP160" s="1" t="str">
        <f t="shared" si="58"/>
        <v/>
      </c>
      <c r="BQ160" s="1" t="str">
        <f t="shared" si="59"/>
        <v/>
      </c>
      <c r="BR160" s="1" t="str">
        <f t="shared" si="60"/>
        <v/>
      </c>
      <c r="BS160" s="1" t="str">
        <f t="shared" si="61"/>
        <v/>
      </c>
    </row>
    <row r="161" spans="48:71" x14ac:dyDescent="0.25">
      <c r="AV161" t="s">
        <v>131</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NTW20ModGZ</v>
      </c>
      <c r="BP161" s="1" t="str">
        <f t="shared" si="58"/>
        <v/>
      </c>
      <c r="BQ161" s="1" t="str">
        <f t="shared" si="59"/>
        <v/>
      </c>
      <c r="BR161" s="1" t="str">
        <f t="shared" si="60"/>
        <v/>
      </c>
      <c r="BS161" s="1" t="str">
        <f t="shared" si="61"/>
        <v/>
      </c>
    </row>
    <row r="162" spans="48:71" x14ac:dyDescent="0.25">
      <c r="AV162" t="s">
        <v>6488</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NZ75</v>
      </c>
      <c r="BP162" s="1" t="str">
        <f t="shared" si="58"/>
        <v/>
      </c>
      <c r="BQ162" s="1" t="str">
        <f t="shared" si="59"/>
        <v/>
      </c>
      <c r="BR162" s="1" t="str">
        <f t="shared" si="60"/>
        <v/>
      </c>
      <c r="BS162" s="1" t="str">
        <f t="shared" si="61"/>
        <v/>
      </c>
    </row>
    <row r="163" spans="48:71" x14ac:dyDescent="0.25">
      <c r="AV163" t="s">
        <v>1694</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OBRMod</v>
      </c>
      <c r="BP163" s="1" t="str">
        <f t="shared" si="58"/>
        <v/>
      </c>
      <c r="BQ163" s="1" t="str">
        <f t="shared" si="59"/>
        <v/>
      </c>
      <c r="BR163" s="1" t="str">
        <f t="shared" si="60"/>
        <v/>
      </c>
      <c r="BS163" s="1" t="str">
        <f t="shared" si="61"/>
        <v/>
      </c>
    </row>
    <row r="164" spans="48:71" x14ac:dyDescent="0.25">
      <c r="AV164" t="s">
        <v>1695</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Ots12</v>
      </c>
      <c r="BP164" s="1" t="str">
        <f t="shared" si="58"/>
        <v/>
      </c>
      <c r="BQ164" s="1" t="str">
        <f t="shared" si="59"/>
        <v/>
      </c>
      <c r="BR164" s="1" t="str">
        <f t="shared" si="60"/>
        <v/>
      </c>
      <c r="BS164" s="1" t="str">
        <f t="shared" si="61"/>
        <v/>
      </c>
    </row>
    <row r="165" spans="48:71" x14ac:dyDescent="0.25">
      <c r="AV165" t="s">
        <v>71</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Ots44</v>
      </c>
      <c r="BP165" s="1" t="str">
        <f t="shared" si="58"/>
        <v/>
      </c>
      <c r="BQ165" s="1" t="str">
        <f t="shared" si="59"/>
        <v/>
      </c>
      <c r="BR165" s="1" t="str">
        <f t="shared" si="60"/>
        <v/>
      </c>
      <c r="BS165" s="1" t="str">
        <f t="shared" si="61"/>
        <v/>
      </c>
    </row>
    <row r="166" spans="48:71" x14ac:dyDescent="0.25">
      <c r="AV166" t="s">
        <v>197</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P08</v>
      </c>
      <c r="BP166" s="1" t="str">
        <f t="shared" si="58"/>
        <v/>
      </c>
      <c r="BQ166" s="1" t="str">
        <f t="shared" si="59"/>
        <v/>
      </c>
      <c r="BR166" s="1" t="str">
        <f t="shared" si="60"/>
        <v/>
      </c>
      <c r="BS166" s="1" t="str">
        <f t="shared" si="61"/>
        <v/>
      </c>
    </row>
    <row r="167" spans="48:71" x14ac:dyDescent="0.25">
      <c r="AV167" t="s">
        <v>69</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P22</v>
      </c>
      <c r="BP167" s="1" t="str">
        <f t="shared" si="58"/>
        <v/>
      </c>
      <c r="BQ167" s="1" t="str">
        <f t="shared" si="59"/>
        <v/>
      </c>
      <c r="BR167" s="1" t="str">
        <f t="shared" si="60"/>
        <v/>
      </c>
      <c r="BS167" s="1" t="str">
        <f t="shared" si="61"/>
        <v/>
      </c>
    </row>
    <row r="168" spans="48:71" x14ac:dyDescent="0.25">
      <c r="AV168" t="s">
        <v>122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P38</v>
      </c>
      <c r="BP168" s="1" t="str">
        <f t="shared" si="58"/>
        <v/>
      </c>
      <c r="BQ168" s="1" t="str">
        <f t="shared" si="59"/>
        <v/>
      </c>
      <c r="BR168" s="1" t="str">
        <f t="shared" si="60"/>
        <v/>
      </c>
      <c r="BS168" s="1" t="str">
        <f t="shared" si="61"/>
        <v/>
      </c>
    </row>
    <row r="169" spans="48:71" x14ac:dyDescent="0.25">
      <c r="AV169" t="s">
        <v>190</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P7</v>
      </c>
      <c r="BP169" s="1" t="str">
        <f t="shared" si="58"/>
        <v/>
      </c>
      <c r="BQ169" s="1" t="str">
        <f t="shared" si="59"/>
        <v/>
      </c>
      <c r="BR169" s="1" t="str">
        <f t="shared" si="60"/>
        <v/>
      </c>
      <c r="BS169" s="1" t="str">
        <f t="shared" si="61"/>
        <v/>
      </c>
    </row>
    <row r="170" spans="48:71" x14ac:dyDescent="0.25">
      <c r="AV170" t="s">
        <v>129</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P90</v>
      </c>
      <c r="BP170" s="1" t="str">
        <f t="shared" si="58"/>
        <v/>
      </c>
      <c r="BQ170" s="1" t="str">
        <f t="shared" si="59"/>
        <v/>
      </c>
      <c r="BR170" s="1" t="str">
        <f t="shared" si="60"/>
        <v/>
      </c>
      <c r="BS170" s="1" t="str">
        <f t="shared" si="61"/>
        <v/>
      </c>
    </row>
    <row r="171" spans="48:71" x14ac:dyDescent="0.25">
      <c r="AV171" t="s">
        <v>1394</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P99</v>
      </c>
      <c r="BP171" s="1" t="str">
        <f t="shared" si="58"/>
        <v/>
      </c>
      <c r="BQ171" s="1" t="str">
        <f t="shared" si="59"/>
        <v/>
      </c>
      <c r="BR171" s="1" t="str">
        <f t="shared" si="60"/>
        <v/>
      </c>
      <c r="BS171" s="1" t="str">
        <f t="shared" si="61"/>
        <v/>
      </c>
    </row>
    <row r="172" spans="48:71" x14ac:dyDescent="0.25">
      <c r="AV172" t="s">
        <v>111</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Pekola</v>
      </c>
      <c r="BP172" s="1" t="str">
        <f t="shared" si="58"/>
        <v/>
      </c>
      <c r="BQ172" s="1" t="str">
        <f t="shared" si="59"/>
        <v/>
      </c>
      <c r="BR172" s="1" t="str">
        <f t="shared" si="60"/>
        <v/>
      </c>
      <c r="BS172" s="1" t="str">
        <f t="shared" si="61"/>
        <v/>
      </c>
    </row>
    <row r="173" spans="48:71" x14ac:dyDescent="0.25">
      <c r="AV173" t="s">
        <v>154</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PK</v>
      </c>
      <c r="BP173" s="1" t="str">
        <f t="shared" si="58"/>
        <v/>
      </c>
      <c r="BQ173" s="1" t="str">
        <f t="shared" si="59"/>
        <v/>
      </c>
      <c r="BR173" s="1" t="str">
        <f t="shared" si="60"/>
        <v/>
      </c>
      <c r="BS173" s="1" t="str">
        <f t="shared" si="61"/>
        <v/>
      </c>
    </row>
    <row r="174" spans="48:71" x14ac:dyDescent="0.25">
      <c r="AV174" t="s">
        <v>1685</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PKP</v>
      </c>
      <c r="BP174" s="1" t="str">
        <f t="shared" si="58"/>
        <v/>
      </c>
      <c r="BQ174" s="1" t="str">
        <f t="shared" si="59"/>
        <v/>
      </c>
      <c r="BR174" s="1" t="str">
        <f t="shared" si="60"/>
        <v/>
      </c>
      <c r="BS174" s="1" t="str">
        <f t="shared" si="61"/>
        <v/>
      </c>
    </row>
    <row r="175" spans="48:71" x14ac:dyDescent="0.25">
      <c r="AV175" t="s">
        <v>1134</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PP19Mod</v>
      </c>
      <c r="BP175" s="1" t="str">
        <f t="shared" si="58"/>
        <v/>
      </c>
      <c r="BQ175" s="1" t="str">
        <f t="shared" si="59"/>
        <v/>
      </c>
      <c r="BR175" s="1" t="str">
        <f t="shared" si="60"/>
        <v/>
      </c>
      <c r="BS175" s="1" t="str">
        <f t="shared" si="61"/>
        <v/>
      </c>
    </row>
    <row r="176" spans="48:71" x14ac:dyDescent="0.25">
      <c r="AV176" t="s">
        <v>70</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PP2000</v>
      </c>
      <c r="BP176" s="1" t="str">
        <f t="shared" si="58"/>
        <v/>
      </c>
      <c r="BQ176" s="1" t="str">
        <f t="shared" si="59"/>
        <v/>
      </c>
      <c r="BR176" s="1" t="str">
        <f t="shared" si="60"/>
        <v/>
      </c>
      <c r="BS176" s="1" t="str">
        <f t="shared" si="61"/>
        <v/>
      </c>
    </row>
    <row r="177" spans="48:71" x14ac:dyDescent="0.25">
      <c r="AV177" t="s">
        <v>6467</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PPK</v>
      </c>
      <c r="BP177" s="1" t="str">
        <f t="shared" si="58"/>
        <v/>
      </c>
      <c r="BQ177" s="1" t="str">
        <f t="shared" si="59"/>
        <v/>
      </c>
      <c r="BR177" s="1" t="str">
        <f t="shared" si="60"/>
        <v/>
      </c>
      <c r="BS177" s="1" t="str">
        <f t="shared" si="61"/>
        <v/>
      </c>
    </row>
    <row r="178" spans="48:71" x14ac:dyDescent="0.25">
      <c r="AV178" t="s">
        <v>8120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PPKMod</v>
      </c>
      <c r="BP178" s="1" t="str">
        <f t="shared" si="58"/>
        <v/>
      </c>
      <c r="BQ178" s="1" t="str">
        <f t="shared" si="59"/>
        <v/>
      </c>
      <c r="BR178" s="1" t="str">
        <f t="shared" si="60"/>
        <v/>
      </c>
      <c r="BS178" s="1" t="str">
        <f t="shared" si="61"/>
        <v/>
      </c>
    </row>
    <row r="179" spans="48:71" x14ac:dyDescent="0.25">
      <c r="AV179" t="s">
        <v>905</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PPKModGZ</v>
      </c>
      <c r="BP179" s="1" t="str">
        <f t="shared" si="58"/>
        <v/>
      </c>
      <c r="BQ179" s="1" t="str">
        <f t="shared" si="59"/>
        <v/>
      </c>
      <c r="BR179" s="1" t="str">
        <f t="shared" si="60"/>
        <v/>
      </c>
      <c r="BS179" s="1" t="str">
        <f t="shared" si="61"/>
        <v/>
      </c>
    </row>
    <row r="180" spans="48:71" x14ac:dyDescent="0.25">
      <c r="AV180" t="s">
        <v>5722</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PPSh41</v>
      </c>
      <c r="BP180" s="1" t="str">
        <f t="shared" si="58"/>
        <v/>
      </c>
      <c r="BQ180" s="1" t="str">
        <f t="shared" si="59"/>
        <v/>
      </c>
      <c r="BR180" s="1" t="str">
        <f t="shared" si="60"/>
        <v/>
      </c>
      <c r="BS180" s="1" t="str">
        <f t="shared" si="61"/>
        <v/>
      </c>
    </row>
    <row r="181" spans="48:71" x14ac:dyDescent="0.25">
      <c r="AV181" t="s">
        <v>8121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PPsh41Mod</v>
      </c>
      <c r="BP181" s="1" t="str">
        <f t="shared" si="58"/>
        <v/>
      </c>
      <c r="BQ181" s="1" t="str">
        <f t="shared" si="59"/>
        <v/>
      </c>
      <c r="BR181" s="1" t="str">
        <f t="shared" si="60"/>
        <v/>
      </c>
      <c r="BS181" s="1" t="str">
        <f t="shared" si="61"/>
        <v/>
      </c>
    </row>
    <row r="182" spans="48:71" x14ac:dyDescent="0.25">
      <c r="AV182" t="s">
        <v>91</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PPSh41ModGZ</v>
      </c>
      <c r="BP182" s="1" t="str">
        <f t="shared" si="58"/>
        <v/>
      </c>
      <c r="BQ182" s="1" t="str">
        <f t="shared" si="59"/>
        <v/>
      </c>
      <c r="BR182" s="1" t="str">
        <f t="shared" si="60"/>
        <v/>
      </c>
      <c r="BS182" s="1" t="str">
        <f t="shared" si="61"/>
        <v/>
      </c>
    </row>
    <row r="183" spans="48:71" x14ac:dyDescent="0.25">
      <c r="AV183" t="s">
        <v>186</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PTRD</v>
      </c>
      <c r="BP183" s="1" t="str">
        <f t="shared" si="58"/>
        <v/>
      </c>
      <c r="BQ183" s="1" t="str">
        <f t="shared" si="59"/>
        <v/>
      </c>
      <c r="BR183" s="1" t="str">
        <f t="shared" si="60"/>
        <v/>
      </c>
      <c r="BS183" s="1" t="str">
        <f t="shared" si="61"/>
        <v/>
      </c>
    </row>
    <row r="184" spans="48:71" x14ac:dyDescent="0.25">
      <c r="AV184" t="s">
        <v>8807</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Px4 Storm</v>
      </c>
      <c r="BP184" s="1" t="str">
        <f t="shared" si="58"/>
        <v/>
      </c>
      <c r="BQ184" s="1" t="str">
        <f t="shared" si="59"/>
        <v/>
      </c>
      <c r="BR184" s="1" t="str">
        <f t="shared" si="60"/>
        <v/>
      </c>
      <c r="BS184" s="1" t="str">
        <f t="shared" si="61"/>
        <v/>
      </c>
    </row>
    <row r="185" spans="48:71" x14ac:dyDescent="0.25">
      <c r="AV185" t="s">
        <v>64</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Px4 StormMod</v>
      </c>
      <c r="BP185" s="1" t="str">
        <f t="shared" si="58"/>
        <v/>
      </c>
      <c r="BQ185" s="1" t="str">
        <f t="shared" si="59"/>
        <v/>
      </c>
      <c r="BR185" s="1" t="str">
        <f t="shared" si="60"/>
        <v/>
      </c>
      <c r="BS185" s="1" t="str">
        <f t="shared" si="61"/>
        <v/>
      </c>
    </row>
    <row r="186" spans="48:71" x14ac:dyDescent="0.25">
      <c r="AV186" t="s">
        <v>159</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Python</v>
      </c>
      <c r="BP186" s="1" t="str">
        <f t="shared" si="58"/>
        <v/>
      </c>
      <c r="BQ186" s="1" t="str">
        <f t="shared" si="59"/>
        <v/>
      </c>
      <c r="BR186" s="1" t="str">
        <f t="shared" si="60"/>
        <v/>
      </c>
      <c r="BS186" s="1" t="str">
        <f t="shared" si="61"/>
        <v/>
      </c>
    </row>
    <row r="187" spans="48:71" x14ac:dyDescent="0.25">
      <c r="AV187" t="s">
        <v>1655</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PzB39</v>
      </c>
      <c r="BP187" s="1" t="str">
        <f t="shared" si="58"/>
        <v/>
      </c>
      <c r="BQ187" s="1" t="str">
        <f t="shared" si="59"/>
        <v/>
      </c>
      <c r="BR187" s="1" t="str">
        <f t="shared" si="60"/>
        <v/>
      </c>
      <c r="BS187" s="1" t="str">
        <f t="shared" si="61"/>
        <v/>
      </c>
    </row>
    <row r="188" spans="48:71" x14ac:dyDescent="0.25">
      <c r="AV188" t="s">
        <v>230</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QBU88</v>
      </c>
      <c r="BP188" s="1" t="str">
        <f t="shared" si="58"/>
        <v/>
      </c>
      <c r="BQ188" s="1" t="str">
        <f t="shared" si="59"/>
        <v/>
      </c>
      <c r="BR188" s="1" t="str">
        <f t="shared" si="60"/>
        <v/>
      </c>
      <c r="BS188" s="1" t="str">
        <f t="shared" si="61"/>
        <v/>
      </c>
    </row>
    <row r="189" spans="48:71" x14ac:dyDescent="0.25">
      <c r="AV189" t="s">
        <v>1755</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RFB</v>
      </c>
      <c r="BP189" s="1" t="str">
        <f t="shared" si="58"/>
        <v/>
      </c>
      <c r="BQ189" s="1" t="str">
        <f t="shared" si="59"/>
        <v/>
      </c>
      <c r="BR189" s="1" t="str">
        <f t="shared" si="60"/>
        <v/>
      </c>
      <c r="BS189" s="1" t="str">
        <f t="shared" si="61"/>
        <v/>
      </c>
    </row>
    <row r="190" spans="48:71" x14ac:dyDescent="0.25">
      <c r="AV190" t="s">
        <v>249</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Ribeyrolles1918Mod</v>
      </c>
      <c r="BP190" s="1" t="str">
        <f t="shared" si="58"/>
        <v/>
      </c>
      <c r="BQ190" s="1" t="str">
        <f t="shared" si="59"/>
        <v/>
      </c>
      <c r="BR190" s="1" t="str">
        <f t="shared" si="60"/>
        <v/>
      </c>
      <c r="BS190" s="1" t="str">
        <f t="shared" si="61"/>
        <v/>
      </c>
    </row>
    <row r="191" spans="48:71" x14ac:dyDescent="0.25">
      <c r="AV191" t="s">
        <v>928</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Rico</v>
      </c>
      <c r="BP191" s="1" t="str">
        <f t="shared" si="58"/>
        <v/>
      </c>
      <c r="BQ191" s="1" t="str">
        <f t="shared" si="59"/>
        <v/>
      </c>
      <c r="BR191" s="1" t="str">
        <f t="shared" si="60"/>
        <v/>
      </c>
      <c r="BS191" s="1" t="str">
        <f t="shared" si="61"/>
        <v/>
      </c>
    </row>
    <row r="192" spans="48:71" x14ac:dyDescent="0.25">
      <c r="AV192" t="s">
        <v>826</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RMB93Mod</v>
      </c>
      <c r="BP192" s="1" t="str">
        <f t="shared" si="58"/>
        <v/>
      </c>
      <c r="BQ192" s="1" t="str">
        <f t="shared" si="59"/>
        <v/>
      </c>
      <c r="BR192" s="1" t="str">
        <f t="shared" si="60"/>
        <v/>
      </c>
      <c r="BS192" s="1" t="str">
        <f t="shared" si="61"/>
        <v/>
      </c>
    </row>
    <row r="193" spans="48:71" x14ac:dyDescent="0.25">
      <c r="AV193" t="s">
        <v>110</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RO635Mod</v>
      </c>
      <c r="BP193" s="1" t="str">
        <f t="shared" si="58"/>
        <v/>
      </c>
      <c r="BQ193" s="1" t="str">
        <f t="shared" si="59"/>
        <v/>
      </c>
      <c r="BR193" s="1" t="str">
        <f t="shared" si="60"/>
        <v/>
      </c>
      <c r="BS193" s="1" t="str">
        <f t="shared" si="61"/>
        <v/>
      </c>
    </row>
    <row r="194" spans="48:71" x14ac:dyDescent="0.25">
      <c r="AV194" t="s">
        <v>267</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RPD</v>
      </c>
      <c r="BP194" s="1" t="str">
        <f t="shared" si="58"/>
        <v/>
      </c>
      <c r="BQ194" s="1" t="str">
        <f t="shared" si="59"/>
        <v/>
      </c>
      <c r="BR194" s="1" t="str">
        <f t="shared" si="60"/>
        <v/>
      </c>
      <c r="BS194" s="1" t="str">
        <f t="shared" si="61"/>
        <v/>
      </c>
    </row>
    <row r="195" spans="48:71" x14ac:dyDescent="0.25">
      <c r="AV195" t="s">
        <v>1635</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SAAMod</v>
      </c>
      <c r="BP195" s="1" t="str">
        <f t="shared" si="58"/>
        <v/>
      </c>
      <c r="BQ195" s="1" t="str">
        <f t="shared" si="59"/>
        <v/>
      </c>
      <c r="BR195" s="1" t="str">
        <f t="shared" si="60"/>
        <v/>
      </c>
      <c r="BS195" s="1" t="str">
        <f t="shared" si="61"/>
        <v/>
      </c>
    </row>
    <row r="196" spans="48:71" x14ac:dyDescent="0.25">
      <c r="AV196" t="s">
        <v>7024</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Saiga12</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236</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Saki</v>
      </c>
      <c r="BP197" s="1" t="str">
        <f t="shared" si="78"/>
        <v/>
      </c>
      <c r="BQ197" s="1" t="str">
        <f t="shared" si="79"/>
        <v/>
      </c>
      <c r="BR197" s="1" t="str">
        <f t="shared" si="80"/>
        <v/>
      </c>
      <c r="BS197" s="1" t="str">
        <f t="shared" si="81"/>
        <v/>
      </c>
    </row>
    <row r="198" spans="48:71" x14ac:dyDescent="0.25">
      <c r="AV198" t="s">
        <v>6898</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Sakura</v>
      </c>
      <c r="BP198" s="1" t="str">
        <f t="shared" si="78"/>
        <v/>
      </c>
      <c r="BQ198" s="1" t="str">
        <f t="shared" si="79"/>
        <v/>
      </c>
      <c r="BR198" s="1" t="str">
        <f t="shared" si="80"/>
        <v/>
      </c>
      <c r="BS198" s="1" t="str">
        <f t="shared" si="81"/>
        <v/>
      </c>
    </row>
    <row r="199" spans="48:71" x14ac:dyDescent="0.25">
      <c r="AV199" t="s">
        <v>6906</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SCAR-H</v>
      </c>
      <c r="BP199" s="1" t="str">
        <f t="shared" si="78"/>
        <v/>
      </c>
      <c r="BQ199" s="1" t="str">
        <f t="shared" si="79"/>
        <v/>
      </c>
      <c r="BR199" s="1" t="str">
        <f t="shared" si="80"/>
        <v/>
      </c>
      <c r="BS199" s="1" t="str">
        <f t="shared" si="81"/>
        <v/>
      </c>
    </row>
    <row r="200" spans="48:71" x14ac:dyDescent="0.25">
      <c r="AV200" t="s">
        <v>751</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SCAR-L</v>
      </c>
      <c r="BP200" s="1" t="str">
        <f t="shared" si="78"/>
        <v/>
      </c>
      <c r="BQ200" s="1" t="str">
        <f t="shared" si="79"/>
        <v/>
      </c>
      <c r="BR200" s="1" t="str">
        <f t="shared" si="80"/>
        <v/>
      </c>
      <c r="BS200" s="1" t="str">
        <f t="shared" si="81"/>
        <v/>
      </c>
    </row>
    <row r="201" spans="48:71" x14ac:dyDescent="0.25">
      <c r="AV201" t="s">
        <v>732</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SCW</v>
      </c>
      <c r="BP201" s="1" t="str">
        <f t="shared" si="78"/>
        <v/>
      </c>
      <c r="BQ201" s="1" t="str">
        <f t="shared" si="79"/>
        <v/>
      </c>
      <c r="BR201" s="1" t="str">
        <f t="shared" si="80"/>
        <v/>
      </c>
      <c r="BS201" s="1" t="str">
        <f t="shared" si="81"/>
        <v/>
      </c>
    </row>
    <row r="202" spans="48:71" x14ac:dyDescent="0.25">
      <c r="AV202" t="s">
        <v>750</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Sei</v>
      </c>
      <c r="BP202" s="1" t="str">
        <f t="shared" si="78"/>
        <v/>
      </c>
      <c r="BQ202" s="1" t="str">
        <f t="shared" si="79"/>
        <v/>
      </c>
      <c r="BR202" s="1" t="str">
        <f t="shared" si="80"/>
        <v/>
      </c>
      <c r="BS202" s="1" t="str">
        <f t="shared" si="81"/>
        <v/>
      </c>
    </row>
    <row r="203" spans="48:71" x14ac:dyDescent="0.25">
      <c r="AV203" t="s">
        <v>745</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Serdyukov</v>
      </c>
      <c r="BP203" s="1" t="str">
        <f t="shared" si="78"/>
        <v/>
      </c>
      <c r="BQ203" s="1" t="str">
        <f t="shared" si="79"/>
        <v/>
      </c>
      <c r="BR203" s="1" t="str">
        <f t="shared" si="80"/>
        <v/>
      </c>
      <c r="BS203" s="1" t="str">
        <f t="shared" si="81"/>
        <v/>
      </c>
    </row>
    <row r="204" spans="48:71" x14ac:dyDescent="0.25">
      <c r="AV204" t="s">
        <v>81</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SIG510</v>
      </c>
      <c r="BP204" s="1" t="str">
        <f t="shared" si="78"/>
        <v/>
      </c>
      <c r="BQ204" s="1" t="str">
        <f t="shared" si="79"/>
        <v/>
      </c>
      <c r="BR204" s="1" t="str">
        <f t="shared" si="80"/>
        <v/>
      </c>
      <c r="BS204" s="1" t="str">
        <f t="shared" si="81"/>
        <v/>
      </c>
    </row>
    <row r="205" spans="48:71" x14ac:dyDescent="0.25">
      <c r="AV205" t="s">
        <v>795</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Skorpion</v>
      </c>
      <c r="BP205" s="1" t="str">
        <f t="shared" si="78"/>
        <v/>
      </c>
      <c r="BQ205" s="1" t="str">
        <f t="shared" si="79"/>
        <v/>
      </c>
      <c r="BR205" s="1" t="str">
        <f t="shared" si="80"/>
        <v/>
      </c>
      <c r="BS205" s="1" t="str">
        <f t="shared" si="81"/>
        <v/>
      </c>
    </row>
    <row r="206" spans="48:71" x14ac:dyDescent="0.25">
      <c r="AV206" t="s">
        <v>116</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SL8</v>
      </c>
      <c r="BP206" s="1" t="str">
        <f t="shared" si="78"/>
        <v/>
      </c>
      <c r="BQ206" s="1" t="str">
        <f t="shared" si="79"/>
        <v/>
      </c>
      <c r="BR206" s="1" t="str">
        <f t="shared" si="80"/>
        <v/>
      </c>
      <c r="BS206" s="1" t="str">
        <f t="shared" si="81"/>
        <v/>
      </c>
    </row>
    <row r="207" spans="48:71" x14ac:dyDescent="0.25">
      <c r="AV207" t="s">
        <v>87</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Spectre M4</v>
      </c>
      <c r="BP207" s="1" t="str">
        <f t="shared" si="78"/>
        <v/>
      </c>
      <c r="BQ207" s="1" t="str">
        <f t="shared" si="79"/>
        <v/>
      </c>
      <c r="BR207" s="1" t="str">
        <f t="shared" si="80"/>
        <v/>
      </c>
      <c r="BS207" s="1" t="str">
        <f t="shared" si="81"/>
        <v/>
      </c>
    </row>
    <row r="208" spans="48:71" x14ac:dyDescent="0.25">
      <c r="AV208" t="s">
        <v>1627</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Springfield</v>
      </c>
      <c r="BP208" s="1" t="str">
        <f t="shared" si="78"/>
        <v/>
      </c>
      <c r="BQ208" s="1" t="str">
        <f t="shared" si="79"/>
        <v/>
      </c>
      <c r="BR208" s="1" t="str">
        <f t="shared" si="80"/>
        <v/>
      </c>
      <c r="BS208" s="1" t="str">
        <f t="shared" si="81"/>
        <v/>
      </c>
    </row>
    <row r="209" spans="48:71" x14ac:dyDescent="0.25">
      <c r="AV209" t="s">
        <v>100</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SR3MP</v>
      </c>
      <c r="BP209" s="1" t="str">
        <f t="shared" si="78"/>
        <v/>
      </c>
      <c r="BQ209" s="1" t="str">
        <f t="shared" si="79"/>
        <v/>
      </c>
      <c r="BR209" s="1" t="str">
        <f t="shared" si="80"/>
        <v/>
      </c>
      <c r="BS209" s="1" t="str">
        <f t="shared" si="81"/>
        <v/>
      </c>
    </row>
    <row r="210" spans="48:71" x14ac:dyDescent="0.25">
      <c r="AV210" t="s">
        <v>1683</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ST AR-15</v>
      </c>
      <c r="BP210" s="1" t="str">
        <f t="shared" si="78"/>
        <v/>
      </c>
      <c r="BQ210" s="1" t="str">
        <f t="shared" si="79"/>
        <v/>
      </c>
      <c r="BR210" s="1" t="str">
        <f t="shared" si="80"/>
        <v/>
      </c>
      <c r="BS210" s="1" t="str">
        <f t="shared" si="81"/>
        <v/>
      </c>
    </row>
    <row r="211" spans="48:71" x14ac:dyDescent="0.25">
      <c r="AV211" t="s">
        <v>8123</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ST AR15Mod</v>
      </c>
      <c r="BP211" s="1" t="str">
        <f t="shared" si="78"/>
        <v/>
      </c>
      <c r="BQ211" s="1" t="str">
        <f t="shared" si="79"/>
        <v/>
      </c>
      <c r="BR211" s="1" t="str">
        <f t="shared" si="80"/>
        <v/>
      </c>
      <c r="BS211" s="1" t="str">
        <f t="shared" si="81"/>
        <v/>
      </c>
    </row>
    <row r="212" spans="48:71" x14ac:dyDescent="0.25">
      <c r="AV212" t="s">
        <v>67</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ST AR15ModGZ</v>
      </c>
      <c r="BP212" s="1" t="str">
        <f t="shared" si="78"/>
        <v/>
      </c>
      <c r="BQ212" s="1" t="str">
        <f t="shared" si="79"/>
        <v/>
      </c>
      <c r="BR212" s="1" t="str">
        <f t="shared" si="80"/>
        <v/>
      </c>
      <c r="BS212" s="1" t="str">
        <f t="shared" si="81"/>
        <v/>
      </c>
    </row>
    <row r="213" spans="48:71" x14ac:dyDescent="0.25">
      <c r="AV213" t="s">
        <v>740</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Stechkin</v>
      </c>
      <c r="BP213" s="1" t="str">
        <f t="shared" si="78"/>
        <v/>
      </c>
      <c r="BQ213" s="1" t="str">
        <f t="shared" si="79"/>
        <v/>
      </c>
      <c r="BR213" s="1" t="str">
        <f t="shared" si="80"/>
        <v/>
      </c>
      <c r="BS213" s="1" t="str">
        <f t="shared" si="81"/>
        <v/>
      </c>
    </row>
    <row r="214" spans="48:71" x14ac:dyDescent="0.25">
      <c r="AV214" t="s">
        <v>8124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StechkinMod</v>
      </c>
      <c r="BP214" s="1" t="str">
        <f t="shared" si="78"/>
        <v/>
      </c>
      <c r="BQ214" s="1" t="str">
        <f t="shared" si="79"/>
        <v/>
      </c>
      <c r="BR214" s="1" t="str">
        <f t="shared" si="80"/>
        <v/>
      </c>
      <c r="BS214" s="1" t="str">
        <f t="shared" si="81"/>
        <v/>
      </c>
    </row>
    <row r="215" spans="48:71" x14ac:dyDescent="0.25">
      <c r="AV215" t="s">
        <v>737</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StechkinModGZ</v>
      </c>
      <c r="BP215" s="1" t="str">
        <f t="shared" si="78"/>
        <v/>
      </c>
      <c r="BQ215" s="1" t="str">
        <f t="shared" si="79"/>
        <v/>
      </c>
      <c r="BR215" s="1" t="str">
        <f t="shared" si="80"/>
        <v/>
      </c>
      <c r="BS215" s="1" t="str">
        <f t="shared" si="81"/>
        <v/>
      </c>
    </row>
    <row r="216" spans="48:71" x14ac:dyDescent="0.25">
      <c r="AV216" t="s">
        <v>829</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Stella</v>
      </c>
      <c r="BP216" s="1" t="str">
        <f t="shared" si="78"/>
        <v/>
      </c>
      <c r="BQ216" s="1" t="str">
        <f t="shared" si="79"/>
        <v/>
      </c>
      <c r="BR216" s="1" t="str">
        <f t="shared" si="80"/>
        <v/>
      </c>
      <c r="BS216" s="1" t="str">
        <f t="shared" si="81"/>
        <v/>
      </c>
    </row>
    <row r="217" spans="48:71" x14ac:dyDescent="0.25">
      <c r="AV217" t="s">
        <v>726</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STEN MkIIMod</v>
      </c>
      <c r="BP217" s="1" t="str">
        <f t="shared" si="78"/>
        <v/>
      </c>
      <c r="BQ217" s="1" t="str">
        <f t="shared" si="79"/>
        <v/>
      </c>
      <c r="BR217" s="1" t="str">
        <f t="shared" si="80"/>
        <v/>
      </c>
      <c r="BS217" s="1" t="str">
        <f t="shared" si="81"/>
        <v/>
      </c>
    </row>
    <row r="218" spans="48:71" x14ac:dyDescent="0.25">
      <c r="AV218" t="s">
        <v>127</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Stg44Mod</v>
      </c>
      <c r="BP218" s="1" t="str">
        <f t="shared" si="78"/>
        <v/>
      </c>
      <c r="BQ218" s="1" t="str">
        <f t="shared" si="79"/>
        <v/>
      </c>
      <c r="BR218" s="1" t="str">
        <f t="shared" si="80"/>
        <v/>
      </c>
      <c r="BS218" s="1" t="str">
        <f t="shared" si="81"/>
        <v/>
      </c>
    </row>
    <row r="219" spans="48:71" x14ac:dyDescent="0.25">
      <c r="AV219" t="s">
        <v>6513</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Suomi</v>
      </c>
      <c r="BP219" s="1" t="str">
        <f t="shared" si="78"/>
        <v/>
      </c>
      <c r="BQ219" s="1" t="str">
        <f t="shared" si="79"/>
        <v/>
      </c>
      <c r="BR219" s="1" t="str">
        <f t="shared" si="80"/>
        <v/>
      </c>
      <c r="BS219" s="1" t="str">
        <f t="shared" si="81"/>
        <v/>
      </c>
    </row>
    <row r="220" spans="48:71" x14ac:dyDescent="0.25">
      <c r="AV220" t="s">
        <v>833</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SuomiMod</v>
      </c>
      <c r="BP220" s="1" t="str">
        <f t="shared" si="78"/>
        <v/>
      </c>
      <c r="BQ220" s="1" t="str">
        <f t="shared" si="79"/>
        <v/>
      </c>
      <c r="BR220" s="1" t="str">
        <f t="shared" si="80"/>
        <v/>
      </c>
      <c r="BS220" s="1" t="str">
        <f t="shared" si="81"/>
        <v/>
      </c>
    </row>
    <row r="221" spans="48:71" x14ac:dyDescent="0.25">
      <c r="AV221" t="s">
        <v>1681</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Super SASSMod</v>
      </c>
      <c r="BP221" s="1" t="str">
        <f t="shared" si="78"/>
        <v/>
      </c>
      <c r="BQ221" s="1" t="str">
        <f t="shared" si="79"/>
        <v/>
      </c>
      <c r="BR221" s="1" t="str">
        <f t="shared" si="80"/>
        <v/>
      </c>
      <c r="BS221" s="1" t="str">
        <f t="shared" si="81"/>
        <v/>
      </c>
    </row>
    <row r="222" spans="48:71" x14ac:dyDescent="0.25">
      <c r="AV222" t="s">
        <v>92</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SV98Mod</v>
      </c>
      <c r="BP222" s="1" t="str">
        <f t="shared" si="78"/>
        <v/>
      </c>
      <c r="BQ222" s="1" t="str">
        <f t="shared" si="79"/>
        <v/>
      </c>
      <c r="BR222" s="1" t="str">
        <f t="shared" si="80"/>
        <v/>
      </c>
      <c r="BS222" s="1" t="str">
        <f t="shared" si="81"/>
        <v/>
      </c>
    </row>
    <row r="223" spans="48:71" x14ac:dyDescent="0.25">
      <c r="AV223" t="s">
        <v>1613</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SVD</v>
      </c>
      <c r="BP223" s="1" t="str">
        <f t="shared" si="78"/>
        <v/>
      </c>
      <c r="BQ223" s="1" t="str">
        <f t="shared" si="79"/>
        <v/>
      </c>
      <c r="BR223" s="1" t="str">
        <f t="shared" si="80"/>
        <v/>
      </c>
      <c r="BS223" s="1" t="str">
        <f t="shared" si="81"/>
        <v/>
      </c>
    </row>
    <row r="224" spans="48:71" x14ac:dyDescent="0.25">
      <c r="AV224" t="s">
        <v>181</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SVT38</v>
      </c>
      <c r="BP224" s="1" t="str">
        <f t="shared" si="78"/>
        <v/>
      </c>
      <c r="BQ224" s="1" t="str">
        <f t="shared" si="79"/>
        <v/>
      </c>
      <c r="BR224" s="1" t="str">
        <f t="shared" si="80"/>
        <v/>
      </c>
      <c r="BS224" s="1" t="str">
        <f t="shared" si="81"/>
        <v/>
      </c>
    </row>
    <row r="225" spans="48:71" x14ac:dyDescent="0.25">
      <c r="AV225" t="s">
        <v>1238</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T77</v>
      </c>
      <c r="BP225" s="1" t="str">
        <f t="shared" si="78"/>
        <v/>
      </c>
      <c r="BQ225" s="1" t="str">
        <f t="shared" si="79"/>
        <v/>
      </c>
      <c r="BR225" s="1" t="str">
        <f t="shared" si="80"/>
        <v/>
      </c>
      <c r="BS225" s="1" t="str">
        <f t="shared" si="81"/>
        <v/>
      </c>
    </row>
    <row r="226" spans="48:71" x14ac:dyDescent="0.25">
      <c r="AV226" t="s">
        <v>6975</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TAC50</v>
      </c>
      <c r="BP226" s="1" t="str">
        <f t="shared" si="78"/>
        <v/>
      </c>
      <c r="BQ226" s="1" t="str">
        <f t="shared" si="79"/>
        <v/>
      </c>
      <c r="BR226" s="1" t="str">
        <f t="shared" si="80"/>
        <v/>
      </c>
      <c r="BS226" s="1" t="str">
        <f t="shared" si="81"/>
        <v/>
      </c>
    </row>
    <row r="227" spans="48:71" x14ac:dyDescent="0.25">
      <c r="AV227" t="s">
        <v>739</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Tae</v>
      </c>
      <c r="BP227" s="1" t="str">
        <f t="shared" si="78"/>
        <v/>
      </c>
      <c r="BQ227" s="1" t="str">
        <f t="shared" si="79"/>
        <v/>
      </c>
      <c r="BR227" s="1" t="str">
        <f t="shared" si="80"/>
        <v/>
      </c>
      <c r="BS227" s="1" t="str">
        <f t="shared" si="81"/>
        <v/>
      </c>
    </row>
    <row r="228" spans="48:71" x14ac:dyDescent="0.25">
      <c r="AV228" t="s">
        <v>76</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TAR21</v>
      </c>
      <c r="BP228" s="1" t="str">
        <f t="shared" si="78"/>
        <v/>
      </c>
      <c r="BQ228" s="1" t="str">
        <f t="shared" si="79"/>
        <v/>
      </c>
      <c r="BR228" s="1" t="str">
        <f t="shared" si="80"/>
        <v/>
      </c>
      <c r="BS228" s="1" t="str">
        <f t="shared" si="81"/>
        <v/>
      </c>
    </row>
    <row r="229" spans="48:71" x14ac:dyDescent="0.25">
      <c r="AV229" t="s">
        <v>156</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Thompson</v>
      </c>
      <c r="BP229" s="1" t="str">
        <f t="shared" si="78"/>
        <v/>
      </c>
      <c r="BQ229" s="1" t="str">
        <f t="shared" si="79"/>
        <v/>
      </c>
      <c r="BR229" s="1" t="str">
        <f t="shared" si="80"/>
        <v/>
      </c>
      <c r="BS229" s="1" t="str">
        <f t="shared" si="81"/>
        <v/>
      </c>
    </row>
    <row r="230" spans="48:71" x14ac:dyDescent="0.25">
      <c r="AV230" t="s">
        <v>66</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TMP</v>
      </c>
      <c r="BP230" s="1" t="str">
        <f t="shared" si="78"/>
        <v/>
      </c>
      <c r="BQ230" s="1" t="str">
        <f t="shared" si="79"/>
        <v/>
      </c>
      <c r="BR230" s="1" t="str">
        <f t="shared" si="80"/>
        <v/>
      </c>
      <c r="BS230" s="1" t="str">
        <f t="shared" si="81"/>
        <v/>
      </c>
    </row>
    <row r="231" spans="48:71" x14ac:dyDescent="0.25">
      <c r="AV231" t="s">
        <v>250</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Tokarev</v>
      </c>
      <c r="BP231" s="1" t="str">
        <f t="shared" si="78"/>
        <v/>
      </c>
      <c r="BQ231" s="1" t="str">
        <f t="shared" si="79"/>
        <v/>
      </c>
      <c r="BR231" s="1" t="str">
        <f t="shared" si="80"/>
        <v/>
      </c>
      <c r="BS231" s="1" t="str">
        <f t="shared" si="81"/>
        <v/>
      </c>
    </row>
    <row r="232" spans="48:71" x14ac:dyDescent="0.25">
      <c r="AV232" t="s">
        <v>243</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Triela</v>
      </c>
      <c r="BP232" s="1" t="str">
        <f t="shared" si="78"/>
        <v/>
      </c>
      <c r="BQ232" s="1" t="str">
        <f t="shared" si="79"/>
        <v/>
      </c>
      <c r="BR232" s="1" t="str">
        <f t="shared" si="80"/>
        <v/>
      </c>
      <c r="BS232" s="1" t="str">
        <f t="shared" si="81"/>
        <v/>
      </c>
    </row>
    <row r="233" spans="48:71" x14ac:dyDescent="0.25">
      <c r="AV233" t="s">
        <v>830</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Type 4</v>
      </c>
      <c r="BP233" s="1" t="str">
        <f t="shared" si="78"/>
        <v/>
      </c>
      <c r="BQ233" s="1" t="str">
        <f t="shared" si="79"/>
        <v/>
      </c>
      <c r="BR233" s="1" t="str">
        <f t="shared" si="80"/>
        <v/>
      </c>
      <c r="BS233" s="1" t="str">
        <f t="shared" si="81"/>
        <v/>
      </c>
    </row>
    <row r="234" spans="48:71" x14ac:dyDescent="0.25">
      <c r="AV234" t="s">
        <v>224</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Type 56 RMod</v>
      </c>
      <c r="BP234" s="1" t="str">
        <f t="shared" si="78"/>
        <v/>
      </c>
      <c r="BQ234" s="1" t="str">
        <f t="shared" si="79"/>
        <v/>
      </c>
      <c r="BR234" s="1" t="str">
        <f t="shared" si="80"/>
        <v/>
      </c>
      <c r="BS234" s="1" t="str">
        <f t="shared" si="81"/>
        <v/>
      </c>
    </row>
    <row r="235" spans="48:71" x14ac:dyDescent="0.25">
      <c r="AV235" t="s">
        <v>239</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Type 79</v>
      </c>
      <c r="BP235" s="1" t="str">
        <f t="shared" si="78"/>
        <v/>
      </c>
      <c r="BQ235" s="1" t="str">
        <f t="shared" si="79"/>
        <v/>
      </c>
      <c r="BR235" s="1" t="str">
        <f t="shared" si="80"/>
        <v/>
      </c>
      <c r="BS235" s="1" t="str">
        <f t="shared" si="81"/>
        <v/>
      </c>
    </row>
    <row r="236" spans="48:71" x14ac:dyDescent="0.25">
      <c r="AV236" t="s">
        <v>6763</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Type03</v>
      </c>
      <c r="BP236" s="1" t="str">
        <f t="shared" si="78"/>
        <v/>
      </c>
      <c r="BQ236" s="1" t="str">
        <f t="shared" si="79"/>
        <v/>
      </c>
      <c r="BR236" s="1" t="str">
        <f t="shared" si="80"/>
        <v/>
      </c>
      <c r="BS236" s="1" t="str">
        <f t="shared" si="81"/>
        <v/>
      </c>
    </row>
    <row r="237" spans="48:71" x14ac:dyDescent="0.25">
      <c r="AV237" t="s">
        <v>8533</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Type56-1mod</v>
      </c>
      <c r="BP237" s="1" t="str">
        <f t="shared" si="78"/>
        <v/>
      </c>
      <c r="BQ237" s="1" t="str">
        <f t="shared" si="79"/>
        <v/>
      </c>
      <c r="BR237" s="1" t="str">
        <f t="shared" si="80"/>
        <v/>
      </c>
      <c r="BS237" s="1" t="str">
        <f t="shared" si="81"/>
        <v/>
      </c>
    </row>
    <row r="238" spans="48:71" x14ac:dyDescent="0.25">
      <c r="AV238" t="s">
        <v>136</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Type56-1modGZ</v>
      </c>
      <c r="BP238" s="1" t="str">
        <f t="shared" si="78"/>
        <v/>
      </c>
      <c r="BQ238" s="1" t="str">
        <f t="shared" si="79"/>
        <v/>
      </c>
      <c r="BR238" s="1" t="str">
        <f t="shared" si="80"/>
        <v/>
      </c>
      <c r="BS238" s="1" t="str">
        <f t="shared" si="81"/>
        <v/>
      </c>
    </row>
    <row r="239" spans="48:71" x14ac:dyDescent="0.25">
      <c r="AV239" t="s">
        <v>118</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Type63</v>
      </c>
      <c r="BP239" s="1" t="str">
        <f t="shared" si="78"/>
        <v/>
      </c>
      <c r="BQ239" s="1" t="str">
        <f t="shared" si="79"/>
        <v/>
      </c>
      <c r="BR239" s="1" t="str">
        <f t="shared" si="80"/>
        <v/>
      </c>
      <c r="BS239" s="1" t="str">
        <f t="shared" si="81"/>
        <v/>
      </c>
    </row>
    <row r="240" spans="48:71" x14ac:dyDescent="0.25">
      <c r="AV240" t="s">
        <v>741</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Type64</v>
      </c>
      <c r="BP240" s="1" t="str">
        <f t="shared" si="78"/>
        <v/>
      </c>
      <c r="BQ240" s="1" t="str">
        <f t="shared" si="79"/>
        <v/>
      </c>
      <c r="BR240" s="1" t="str">
        <f t="shared" si="80"/>
        <v/>
      </c>
      <c r="BS240" s="1" t="str">
        <f t="shared" si="81"/>
        <v/>
      </c>
    </row>
    <row r="241" spans="48:71" x14ac:dyDescent="0.25">
      <c r="AV241" t="s">
        <v>8125</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Type64Mod</v>
      </c>
      <c r="BP241" s="1" t="str">
        <f t="shared" si="78"/>
        <v/>
      </c>
      <c r="BQ241" s="1" t="str">
        <f t="shared" si="79"/>
        <v/>
      </c>
      <c r="BR241" s="1" t="str">
        <f t="shared" si="80"/>
        <v/>
      </c>
      <c r="BS241" s="1" t="str">
        <f t="shared" si="81"/>
        <v/>
      </c>
    </row>
    <row r="242" spans="48:71" x14ac:dyDescent="0.25">
      <c r="AV242" t="s">
        <v>834</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Type64ModGZ</v>
      </c>
      <c r="BP242" s="1" t="str">
        <f t="shared" si="78"/>
        <v/>
      </c>
      <c r="BQ242" s="1" t="str">
        <f t="shared" si="79"/>
        <v/>
      </c>
      <c r="BR242" s="1" t="str">
        <f t="shared" si="80"/>
        <v/>
      </c>
      <c r="BS242" s="1" t="str">
        <f t="shared" si="81"/>
        <v/>
      </c>
    </row>
    <row r="243" spans="48:71" x14ac:dyDescent="0.25">
      <c r="AV243" t="s">
        <v>119</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Type80Mod</v>
      </c>
      <c r="BP243" s="1" t="str">
        <f t="shared" si="78"/>
        <v/>
      </c>
      <c r="BQ243" s="1" t="str">
        <f t="shared" si="79"/>
        <v/>
      </c>
      <c r="BR243" s="1" t="str">
        <f t="shared" si="80"/>
        <v/>
      </c>
      <c r="BS243" s="1" t="str">
        <f t="shared" si="81"/>
        <v/>
      </c>
    </row>
    <row r="244" spans="48:71" x14ac:dyDescent="0.25">
      <c r="AV244" t="s">
        <v>839</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Type88</v>
      </c>
      <c r="BP244" s="1" t="str">
        <f t="shared" si="78"/>
        <v/>
      </c>
      <c r="BQ244" s="1" t="str">
        <f t="shared" si="79"/>
        <v/>
      </c>
      <c r="BR244" s="1" t="str">
        <f t="shared" si="80"/>
        <v/>
      </c>
      <c r="BS244" s="1" t="str">
        <f t="shared" si="81"/>
        <v/>
      </c>
    </row>
    <row r="245" spans="48:71" x14ac:dyDescent="0.25">
      <c r="AV245" t="s">
        <v>8341</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Type88Mod</v>
      </c>
      <c r="BP245" s="1" t="str">
        <f t="shared" si="78"/>
        <v/>
      </c>
      <c r="BQ245" s="1" t="str">
        <f t="shared" si="79"/>
        <v/>
      </c>
      <c r="BR245" s="1" t="str">
        <f t="shared" si="80"/>
        <v/>
      </c>
      <c r="BS245" s="1" t="str">
        <f t="shared" si="81"/>
        <v/>
      </c>
    </row>
    <row r="246" spans="48:71" x14ac:dyDescent="0.25">
      <c r="AV246" t="s">
        <v>6759</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Type88ModGZ</v>
      </c>
      <c r="BP246" s="1" t="str">
        <f t="shared" si="78"/>
        <v/>
      </c>
      <c r="BQ246" s="1" t="str">
        <f t="shared" si="79"/>
        <v/>
      </c>
      <c r="BR246" s="1" t="str">
        <f t="shared" si="80"/>
        <v/>
      </c>
      <c r="BS246" s="1" t="str">
        <f t="shared" si="81"/>
        <v/>
      </c>
    </row>
    <row r="247" spans="48:71" x14ac:dyDescent="0.25">
      <c r="AV247" t="s">
        <v>712</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Type92mod</v>
      </c>
      <c r="BP247" s="1" t="str">
        <f t="shared" si="78"/>
        <v/>
      </c>
      <c r="BQ247" s="1" t="str">
        <f t="shared" si="79"/>
        <v/>
      </c>
      <c r="BR247" s="1" t="str">
        <f t="shared" si="80"/>
        <v/>
      </c>
      <c r="BS247" s="1" t="str">
        <f t="shared" si="81"/>
        <v/>
      </c>
    </row>
    <row r="248" spans="48:71" x14ac:dyDescent="0.25">
      <c r="AV248" t="s">
        <v>734</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Type95/97</v>
      </c>
      <c r="BP248" s="1" t="str">
        <f t="shared" si="78"/>
        <v/>
      </c>
      <c r="BQ248" s="1" t="str">
        <f t="shared" si="79"/>
        <v/>
      </c>
      <c r="BR248" s="1" t="str">
        <f t="shared" si="80"/>
        <v/>
      </c>
      <c r="BS248" s="1" t="str">
        <f t="shared" si="81"/>
        <v/>
      </c>
    </row>
    <row r="249" spans="48:71" x14ac:dyDescent="0.25">
      <c r="AV249" t="s">
        <v>8709</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Type97SMod</v>
      </c>
      <c r="BP249" s="1" t="str">
        <f t="shared" si="78"/>
        <v/>
      </c>
      <c r="BQ249" s="1" t="str">
        <f t="shared" si="79"/>
        <v/>
      </c>
      <c r="BR249" s="1" t="str">
        <f t="shared" si="80"/>
        <v/>
      </c>
      <c r="BS249" s="1" t="str">
        <f t="shared" si="81"/>
        <v/>
      </c>
    </row>
    <row r="250" spans="48:71" x14ac:dyDescent="0.25">
      <c r="AV250" t="s">
        <v>1652</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Type97SModGZ</v>
      </c>
      <c r="BP250" s="1" t="str">
        <f t="shared" si="78"/>
        <v/>
      </c>
      <c r="BQ250" s="1" t="str">
        <f t="shared" si="79"/>
        <v/>
      </c>
      <c r="BR250" s="1" t="str">
        <f t="shared" si="80"/>
        <v/>
      </c>
      <c r="BS250" s="1" t="str">
        <f t="shared" si="81"/>
        <v/>
      </c>
    </row>
    <row r="251" spans="48:71" x14ac:dyDescent="0.25">
      <c r="AV251" t="s">
        <v>731</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UKM2000</v>
      </c>
      <c r="BP251" s="1" t="str">
        <f t="shared" si="78"/>
        <v/>
      </c>
      <c r="BQ251" s="1" t="str">
        <f t="shared" si="79"/>
        <v/>
      </c>
      <c r="BR251" s="1" t="str">
        <f t="shared" si="80"/>
        <v/>
      </c>
      <c r="BS251" s="1" t="str">
        <f t="shared" si="81"/>
        <v/>
      </c>
    </row>
    <row r="252" spans="48:71" x14ac:dyDescent="0.25">
      <c r="AV252" t="s">
        <v>265</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UMP</v>
      </c>
      <c r="BP252" s="1" t="str">
        <f t="shared" si="78"/>
        <v/>
      </c>
      <c r="BQ252" s="1" t="str">
        <f t="shared" si="79"/>
        <v/>
      </c>
      <c r="BR252" s="1" t="str">
        <f t="shared" si="80"/>
        <v/>
      </c>
      <c r="BS252" s="1" t="str">
        <f t="shared" si="81"/>
        <v/>
      </c>
    </row>
    <row r="253" spans="48:71" x14ac:dyDescent="0.25">
      <c r="AV253" t="s">
        <v>8164</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UMP45Mod</v>
      </c>
      <c r="BP253" s="1" t="str">
        <f t="shared" si="78"/>
        <v/>
      </c>
      <c r="BQ253" s="1" t="str">
        <f t="shared" si="79"/>
        <v/>
      </c>
      <c r="BR253" s="1" t="str">
        <f t="shared" si="80"/>
        <v/>
      </c>
      <c r="BS253" s="1" t="str">
        <f t="shared" si="81"/>
        <v/>
      </c>
    </row>
    <row r="254" spans="48:71" x14ac:dyDescent="0.25">
      <c r="AV254" t="s">
        <v>264</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UMP45ModGZ</v>
      </c>
      <c r="BP254" s="1" t="str">
        <f t="shared" si="78"/>
        <v/>
      </c>
      <c r="BQ254" s="1" t="str">
        <f t="shared" si="79"/>
        <v/>
      </c>
      <c r="BR254" s="1" t="str">
        <f t="shared" si="80"/>
        <v/>
      </c>
      <c r="BS254" s="1" t="str">
        <f t="shared" si="81"/>
        <v/>
      </c>
    </row>
    <row r="255" spans="48:71" x14ac:dyDescent="0.25">
      <c r="AV255" t="s">
        <v>8165</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UMP9Mod</v>
      </c>
      <c r="BP255" s="1" t="str">
        <f t="shared" si="78"/>
        <v/>
      </c>
      <c r="BQ255" s="1" t="str">
        <f t="shared" si="79"/>
        <v/>
      </c>
      <c r="BR255" s="1" t="str">
        <f t="shared" si="80"/>
        <v/>
      </c>
      <c r="BS255" s="1" t="str">
        <f t="shared" si="81"/>
        <v/>
      </c>
    </row>
    <row r="256" spans="48:71" x14ac:dyDescent="0.25">
      <c r="AV256" t="s">
        <v>97</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UMP9ModGZ</v>
      </c>
      <c r="BP256" s="1" t="str">
        <f t="shared" si="78"/>
        <v/>
      </c>
      <c r="BQ256" s="1" t="str">
        <f t="shared" si="79"/>
        <v/>
      </c>
      <c r="BR256" s="1" t="str">
        <f t="shared" si="80"/>
        <v/>
      </c>
      <c r="BS256" s="1" t="str">
        <f t="shared" si="81"/>
        <v/>
      </c>
    </row>
    <row r="257" spans="48:71" x14ac:dyDescent="0.25">
      <c r="AV257" t="s">
        <v>1669</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VM59</v>
      </c>
      <c r="BP257" s="1" t="str">
        <f t="shared" si="78"/>
        <v/>
      </c>
      <c r="BQ257" s="1" t="str">
        <f t="shared" si="79"/>
        <v/>
      </c>
      <c r="BR257" s="1" t="str">
        <f t="shared" si="80"/>
        <v/>
      </c>
      <c r="BS257" s="1" t="str">
        <f t="shared" si="81"/>
        <v/>
      </c>
    </row>
    <row r="258" spans="48:71" x14ac:dyDescent="0.25">
      <c r="AV258" t="s">
        <v>95</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VSK94</v>
      </c>
      <c r="BP258" s="1" t="str">
        <f t="shared" si="78"/>
        <v/>
      </c>
      <c r="BQ258" s="1" t="str">
        <f t="shared" si="79"/>
        <v/>
      </c>
      <c r="BR258" s="1" t="str">
        <f t="shared" si="80"/>
        <v/>
      </c>
      <c r="BS258" s="1" t="str">
        <f t="shared" si="81"/>
        <v/>
      </c>
    </row>
    <row r="259" spans="48:71" x14ac:dyDescent="0.25">
      <c r="AV259" t="s">
        <v>835</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WA2000</v>
      </c>
      <c r="BP259" s="1" t="str">
        <f t="shared" si="78"/>
        <v/>
      </c>
      <c r="BQ259" s="1" t="str">
        <f t="shared" si="79"/>
        <v/>
      </c>
      <c r="BR259" s="1" t="str">
        <f t="shared" si="80"/>
        <v/>
      </c>
      <c r="BS259" s="1" t="str">
        <f t="shared" si="81"/>
        <v/>
      </c>
    </row>
    <row r="260" spans="48:71" x14ac:dyDescent="0.25">
      <c r="AV260" t="s">
        <v>929</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Welrod MkIIMod</v>
      </c>
      <c r="BP260" s="1" t="str">
        <f t="shared" si="83"/>
        <v/>
      </c>
      <c r="BQ260" s="1" t="str">
        <f t="shared" si="83"/>
        <v/>
      </c>
      <c r="BR260" s="1" t="str">
        <f t="shared" si="83"/>
        <v/>
      </c>
      <c r="BS260" s="1" t="str">
        <f t="shared" si="83"/>
        <v/>
      </c>
    </row>
    <row r="261" spans="48:71" x14ac:dyDescent="0.25">
      <c r="AV261" t="s">
        <v>5737</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XM3Mod</v>
      </c>
      <c r="BP261" s="1" t="str">
        <f t="shared" si="83"/>
        <v/>
      </c>
      <c r="BQ261" s="1" t="str">
        <f t="shared" si="83"/>
        <v/>
      </c>
      <c r="BR261" s="1" t="str">
        <f t="shared" si="83"/>
        <v/>
      </c>
      <c r="BS261" s="1" t="str">
        <f t="shared" si="83"/>
        <v/>
      </c>
    </row>
    <row r="262" spans="48:71" x14ac:dyDescent="0.25">
      <c r="AV262" t="s">
        <v>1691</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XM8Mod</v>
      </c>
      <c r="BP262" s="1" t="str">
        <f t="shared" si="83"/>
        <v/>
      </c>
      <c r="BQ262" s="1" t="str">
        <f t="shared" si="83"/>
        <v/>
      </c>
      <c r="BR262" s="1" t="str">
        <f t="shared" si="83"/>
        <v/>
      </c>
      <c r="BS262" s="1" t="str">
        <f t="shared" si="83"/>
        <v/>
      </c>
    </row>
    <row r="263" spans="48:71" x14ac:dyDescent="0.25">
      <c r="AV263" t="s">
        <v>7016</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Yurine</v>
      </c>
      <c r="BP263" s="1" t="str">
        <f t="shared" si="83"/>
        <v/>
      </c>
      <c r="BQ263" s="1" t="str">
        <f t="shared" si="83"/>
        <v/>
      </c>
      <c r="BR263" s="1" t="str">
        <f t="shared" si="83"/>
        <v/>
      </c>
      <c r="BS263" s="1" t="str">
        <f t="shared" si="83"/>
        <v/>
      </c>
    </row>
    <row r="264" spans="48:71" x14ac:dyDescent="0.25">
      <c r="AV264" t="s">
        <v>1623</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Yuugiri</v>
      </c>
      <c r="BP264" s="1" t="str">
        <f t="shared" si="83"/>
        <v/>
      </c>
      <c r="BQ264" s="1" t="str">
        <f t="shared" si="83"/>
        <v/>
      </c>
      <c r="BR264" s="1" t="str">
        <f t="shared" si="83"/>
        <v/>
      </c>
      <c r="BS264" s="1" t="str">
        <f t="shared" si="83"/>
        <v/>
      </c>
    </row>
    <row r="265" spans="48:71" x14ac:dyDescent="0.25">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Z62</v>
      </c>
      <c r="BP265" s="1" t="str">
        <f t="shared" si="83"/>
        <v/>
      </c>
      <c r="BQ265" s="1" t="str">
        <f t="shared" si="83"/>
        <v/>
      </c>
      <c r="BR265" s="1" t="str">
        <f t="shared" si="83"/>
        <v/>
      </c>
      <c r="BS265" s="1" t="str">
        <f t="shared" si="83"/>
        <v/>
      </c>
    </row>
    <row r="266" spans="48:71" x14ac:dyDescent="0.25">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
      </c>
      <c r="BP266" s="1" t="str">
        <f t="shared" si="83"/>
        <v/>
      </c>
      <c r="BQ266" s="1" t="str">
        <f t="shared" si="83"/>
        <v/>
      </c>
      <c r="BR266" s="1" t="str">
        <f t="shared" si="83"/>
        <v/>
      </c>
      <c r="BS266" s="1" t="str">
        <f t="shared" si="83"/>
        <v/>
      </c>
    </row>
    <row r="267" spans="48:71" x14ac:dyDescent="0.25">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
      </c>
      <c r="BP267" s="1" t="str">
        <f t="shared" si="83"/>
        <v/>
      </c>
      <c r="BQ267" s="1" t="str">
        <f t="shared" si="83"/>
        <v/>
      </c>
      <c r="BR267" s="1" t="str">
        <f t="shared" si="83"/>
        <v/>
      </c>
      <c r="BS267" s="1" t="str">
        <f t="shared" si="83"/>
        <v/>
      </c>
    </row>
    <row r="268" spans="48:71" x14ac:dyDescent="0.25">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
      </c>
      <c r="BP268" s="1" t="str">
        <f t="shared" si="83"/>
        <v/>
      </c>
      <c r="BQ268" s="1" t="str">
        <f t="shared" si="83"/>
        <v/>
      </c>
      <c r="BR268" s="1" t="str">
        <f t="shared" si="83"/>
        <v/>
      </c>
      <c r="BS268" s="1" t="str">
        <f t="shared" si="83"/>
        <v/>
      </c>
    </row>
    <row r="269" spans="48:71" x14ac:dyDescent="0.25">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
      </c>
      <c r="BP269" s="1" t="str">
        <f t="shared" si="83"/>
        <v/>
      </c>
      <c r="BQ269" s="1" t="str">
        <f t="shared" si="83"/>
        <v/>
      </c>
      <c r="BR269" s="1" t="str">
        <f t="shared" si="83"/>
        <v/>
      </c>
      <c r="BS269" s="1" t="str">
        <f t="shared" si="83"/>
        <v/>
      </c>
    </row>
    <row r="270" spans="48:71" x14ac:dyDescent="0.25">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
      </c>
      <c r="BP270" s="1" t="str">
        <f t="shared" si="83"/>
        <v/>
      </c>
      <c r="BQ270" s="1" t="str">
        <f t="shared" si="83"/>
        <v/>
      </c>
      <c r="BR270" s="1" t="str">
        <f t="shared" si="83"/>
        <v/>
      </c>
      <c r="BS270" s="1" t="str">
        <f t="shared" si="83"/>
        <v/>
      </c>
    </row>
    <row r="271" spans="48: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
      </c>
      <c r="BP271" s="1" t="str">
        <f t="shared" si="83"/>
        <v/>
      </c>
      <c r="BQ271" s="1" t="str">
        <f t="shared" si="83"/>
        <v/>
      </c>
      <c r="BR271" s="1" t="str">
        <f t="shared" si="83"/>
        <v/>
      </c>
      <c r="BS271" s="1" t="str">
        <f t="shared" si="83"/>
        <v/>
      </c>
    </row>
    <row r="272" spans="48: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AV2:AV264">
    <sortCondition ref="AV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1691289-C135-4543-84C9-4A5B5E7E31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HOC Chip Data</vt:lpstr>
      <vt:lpstr>SF Resolution</vt:lpstr>
      <vt:lpstr>Vehicle Tree</vt:lpstr>
      <vt:lpstr>Vehicle Comp</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2024-02-04T17:08:30Z</dcterms:modified>
</cp:coreProperties>
</file>