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6F2214DC-14F7-4BCC-A014-B548105298C0}"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<sst xmlns="http://schemas.openxmlformats.org/spreadsheetml/2006/main" count="29144" uniqueCount="9230">
  <si>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</si>
  <si>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</si>
  <si>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</si>
  <si>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</si>
  <si>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</si>
  <si>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</si>
  <si>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</si>
  <si>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</si>
  <si>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</si>
  <si>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</si>
  <si>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</si>
  <si>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</si>
  <si>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</si>
  <si>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</si>
  <si>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</si>
  <si>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</si>
  <si>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</si>
  <si>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</si>
  <si>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</si>
  <si>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</si>
  <si>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</si>
  <si>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</si>
  <si>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</si>
  <si>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</si>
  <si>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</si>
  <si>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</si>
  <si>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</si>
  <si>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</si>
  <si>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</si>
  <si>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</si>
  <si>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</si>
  <si>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</si>
  <si>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</si>
  <si>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</si>
  <si>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</si>
  <si>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</si>
  <si>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</si>
  <si>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</si>
  <si>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</si>
  <si>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</si>
  <si>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</si>
  <si>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</si>
  <si>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</si>
  <si>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</si>
  <si>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</si>
  <si>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</si>
  <si>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</si>
  <si>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</si>
  <si>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</si>
  <si>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</si>
  <si>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</si>
  <si>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</si>
  <si>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</si>
  <si>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</si>
  <si>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</si>
  <si>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</si>
  <si>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</si>
  <si>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</si>
  <si>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</si>
  <si>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</si>
  <si>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</si>
  <si>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</si>
  <si>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</si>
  <si>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</si>
  <si>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</si>
  <si>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</si>
  <si>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</si>
  <si>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</si>
  <si>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</si>
  <si>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</si>
  <si>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</si>
  <si>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</si>
  <si>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</si>
  <si>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</si>
  <si>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</si>
  <si>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</si>
  <si>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</si>
  <si>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</si>
  <si>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</si>
  <si>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</si>
  <si>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</si>
  <si>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</si>
  <si>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</si>
  <si>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</si>
  <si>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</si>
  <si>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</si>
  <si>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</si>
  <si>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</si>
  <si>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</si>
  <si>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</si>
  <si>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</si>
  <si>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</si>
  <si>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</si>
  <si>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</si>
  <si>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</si>
  <si>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</si>
  <si>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</si>
  <si>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</si>
  <si>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</si>
  <si>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</si>
  <si>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</si>
  <si>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</si>
  <si>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</si>
  <si>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</si>
  <si>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</si>
  <si>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</si>
  <si>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</si>
  <si>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</si>
  <si>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</si>
  <si>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</si>
  <si>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</si>
  <si>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</si>
  <si>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</si>
  <si>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</si>
  <si>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</si>
  <si>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</si>
  <si>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</si>
  <si>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</si>
  <si>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</si>
  <si>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</si>
  <si>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</si>
  <si>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</si>
  <si>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</si>
  <si>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</si>
  <si>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</si>
  <si>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</si>
  <si>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</si>
  <si>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</si>
  <si>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</si>
  <si>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</si>
  <si>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</si>
  <si>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</si>
  <si>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</si>
  <si>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</si>
  <si>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</si>
  <si>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</si>
  <si>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</si>
  <si>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</si>
  <si>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</si>
  <si>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</si>
  <si>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</si>
  <si>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</si>
  <si>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</si>
  <si>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</si>
  <si>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</si>
  <si>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</si>
  <si>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</si>
  <si>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</si>
  <si>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</si>
  <si>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</si>
  <si>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</si>
  <si>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</si>
  <si>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</si>
  <si>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</si>
  <si>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</si>
  <si>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</si>
  <si>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</si>
  <si>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</si>
  <si>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</si>
  <si>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</si>
  <si>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</si>
  <si>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</si>
  <si>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</si>
  <si>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</si>
  <si>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</si>
  <si>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</si>
  <si>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</si>
  <si>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</si>
  <si>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</si>
  <si>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</si>
  <si>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</si>
  <si>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</si>
  <si>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</si>
  <si>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</si>
  <si>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</si>
  <si>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</si>
  <si>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</si>
  <si>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</si>
  <si>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</si>
  <si>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</si>
  <si>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</si>
  <si>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</si>
  <si>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</si>
  <si>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</si>
  <si>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</si>
  <si>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</si>
  <si>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</si>
  <si>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</si>
  <si>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</si>
  <si>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</si>
  <si>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</si>
  <si>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</si>
  <si>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</si>
  <si>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</si>
  <si>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</si>
  <si>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</si>
  <si>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</si>
  <si>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</si>
  <si>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</si>
  <si>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</si>
  <si>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</si>
  <si>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</si>
  <si>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</si>
  <si>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</si>
  <si>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</si>
  <si>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</si>
  <si>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</si>
  <si>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</si>
  <si>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</si>
  <si>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</si>
  <si>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</si>
  <si>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</si>
  <si>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</si>
  <si>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</si>
  <si>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</si>
  <si>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</si>
  <si>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</si>
  <si>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</si>
  <si>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</si>
  <si>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</si>
  <si>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</si>
  <si>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</si>
  <si>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</si>
  <si>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</si>
  <si>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</si>
  <si>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</si>
  <si>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</si>
  <si>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</si>
  <si>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</si>
  <si>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</si>
  <si>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</si>
  <si>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</si>
  <si>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</si>
  <si>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</si>
  <si>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</si>
  <si>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</si>
  <si>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</si>
  <si>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</si>
  <si>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</si>
  <si>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</si>
  <si>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</si>
  <si>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</si>
  <si>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</si>
  <si>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</si>
  <si>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</si>
  <si>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</si>
  <si>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</si>
  <si>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</si>
  <si>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</si>
  <si>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</si>
  <si>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</si>
  <si>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</si>
  <si>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</si>
  <si>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</si>
  <si>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</si>
  <si>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</si>
  <si>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</si>
  <si>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</si>
  <si>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</si>
  <si>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</si>
  <si>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</si>
  <si>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</si>
  <si>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</si>
  <si>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</si>
  <si>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</si>
  <si>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</si>
  <si>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</si>
  <si>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</si>
  <si>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</si>
  <si>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</si>
  <si>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</si>
  <si>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</si>
  <si>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</si>
  <si>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</si>
  <si>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</si>
  <si>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</si>
  <si>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</si>
  <si>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</si>
  <si>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</si>
  <si>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</si>
  <si>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</si>
  <si>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</si>
  <si>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</si>
  <si>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</si>
  <si>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</si>
  <si>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</si>
  <si>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</si>
  <si>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</si>
  <si>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</si>
  <si>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</si>
  <si>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</si>
  <si>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</si>
  <si>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</si>
  <si>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</si>
  <si>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</si>
  <si>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</si>
  <si>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</si>
  <si>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</si>
  <si>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</si>
  <si>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</si>
  <si>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</si>
  <si>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</si>
  <si>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</si>
  <si>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</si>
  <si>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</si>
  <si>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</si>
  <si>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</si>
  <si>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</si>
  <si>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</si>
  <si>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</si>
  <si>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</si>
  <si>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</si>
  <si>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</si>
  <si>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</si>
  <si>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</si>
  <si>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</si>
  <si>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</si>
  <si>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</si>
  <si>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</si>
  <si>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</si>
  <si>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</si>
  <si>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</si>
  <si>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</si>
  <si>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</si>
  <si>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</si>
  <si>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</si>
  <si>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</si>
  <si>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</si>
  <si>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</si>
  <si>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</si>
  <si>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</si>
  <si>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</si>
  <si>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</si>
  <si>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</si>
  <si>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</si>
  <si>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</si>
  <si>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</si>
  <si>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</si>
  <si>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</si>
  <si>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</si>
  <si>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</si>
  <si>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</si>
  <si>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</si>
  <si>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</si>
  <si>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</si>
  <si>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</si>
  <si>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</si>
  <si>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</si>
  <si>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</si>
  <si>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</si>
  <si>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</si>
  <si>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</si>
  <si>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</si>
  <si>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</si>
  <si>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</si>
  <si>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</si>
  <si>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</si>
  <si>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</si>
  <si>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</si>
  <si>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</si>
  <si>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</si>
  <si>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</si>
  <si>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</si>
  <si>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</si>
  <si>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</si>
  <si>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</si>
  <si>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</si>
  <si>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</si>
  <si>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</si>
  <si>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</si>
  <si>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</si>
  <si>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</si>
  <si>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</si>
  <si>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</si>
  <si>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</si>
  <si>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</si>
  <si>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</si>
  <si>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</si>
  <si>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</si>
  <si>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</si>
  <si>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</si>
  <si>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</si>
  <si>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</si>
  <si>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</si>
  <si>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</si>
  <si>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</si>
  <si>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</si>
  <si>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</si>
  <si>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</si>
  <si>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</si>
  <si>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</si>
  <si>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</si>
  <si>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</si>
  <si>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</si>
  <si>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</si>
  <si>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</si>
  <si>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</si>
  <si>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</si>
  <si>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</si>
  <si>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</si>
  <si>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</si>
  <si>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</si>
  <si>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</si>
  <si>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</si>
  <si>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</si>
  <si>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</si>
  <si>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</si>
  <si>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</si>
  <si>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</si>
  <si>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</si>
  <si>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</si>
  <si>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</si>
  <si>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</si>
  <si>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</si>
  <si>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</si>
  <si>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</si>
  <si>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</si>
  <si>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</si>
  <si>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</si>
  <si>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</si>
  <si>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</si>
  <si>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</si>
  <si>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</si>
  <si>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</si>
  <si>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</si>
  <si>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</si>
  <si>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</si>
  <si>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</si>
  <si>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</si>
  <si>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</si>
  <si>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</si>
  <si>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</si>
  <si>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</si>
  <si>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</si>
  <si>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</si>
  <si>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</si>
  <si>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</si>
  <si>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</si>
  <si>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</si>
  <si>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</si>
  <si>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</si>
  <si>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</si>
  <si>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</si>
  <si>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</si>
  <si>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</si>
  <si>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</si>
  <si>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</si>
  <si>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</si>
  <si>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</si>
  <si>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</si>
  <si>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</si>
  <si>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</si>
  <si>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</si>
  <si>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</si>
  <si>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</si>
  <si>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</si>
  <si>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</si>
  <si>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</si>
  <si>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</si>
  <si>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</si>
  <si>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</si>
  <si>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</si>
  <si>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</si>
  <si>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</si>
  <si>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</si>
  <si>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</si>
  <si>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</si>
  <si>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</si>
  <si>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</si>
  <si>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</si>
  <si>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</si>
  <si>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</si>
  <si>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</si>
  <si>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</si>
  <si>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</si>
  <si>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</si>
  <si>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</si>
  <si>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</si>
  <si>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</si>
  <si>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</si>
  <si>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</si>
  <si>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</si>
  <si>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</si>
  <si>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</si>
  <si>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</si>
  <si>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</si>
  <si>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</si>
  <si>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</si>
  <si>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</si>
  <si>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</si>
  <si>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</si>
  <si>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</si>
  <si>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</si>
  <si>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</si>
  <si>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</si>
  <si>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</si>
  <si>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</si>
  <si>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</si>
  <si>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</si>
  <si>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</si>
  <si>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</si>
  <si>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</si>
  <si>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</si>
  <si>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</si>
  <si>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</si>
  <si>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</si>
  <si>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</si>
  <si>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</si>
  <si>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</si>
  <si>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</si>
  <si>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</si>
  <si>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</si>
  <si>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</si>
  <si>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</si>
  <si>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</si>
  <si>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</si>
  <si>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</si>
  <si>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</si>
  <si>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</si>
  <si>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</si>
  <si>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</si>
  <si>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</si>
  <si>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</si>
  <si>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</si>
  <si>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</si>
  <si>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</si>
  <si>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</si>
  <si>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</si>
  <si>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</si>
  <si>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</si>
  <si>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</si>
  <si>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</si>
  <si>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</si>
  <si>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</si>
  <si>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</si>
  <si>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</si>
  <si>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</si>
  <si>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</si>
  <si>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</si>
  <si>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</si>
  <si>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</si>
  <si>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</si>
  <si>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</si>
  <si>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</si>
  <si>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</si>
  <si>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</si>
  <si>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</si>
  <si>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</si>
  <si>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</si>
  <si>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</si>
  <si>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</si>
  <si>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</si>
  <si>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</si>
  <si>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</si>
  <si>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</si>
  <si>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</si>
  <si>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</si>
  <si>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</si>
  <si>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</si>
  <si>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</si>
  <si>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</si>
  <si>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</si>
  <si>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</si>
  <si>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</si>
  <si>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</si>
  <si>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</si>
  <si>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</si>
  <si>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</si>
  <si>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</si>
  <si>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</si>
  <si>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</si>
  <si>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</si>
  <si>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</si>
  <si>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</si>
  <si>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</si>
  <si>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</si>
  <si>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</si>
  <si>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</si>
  <si>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</si>
  <si>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</si>
  <si>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</si>
  <si>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</si>
  <si>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</si>
  <si>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</si>
  <si>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</si>
  <si>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</si>
  <si>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</si>
  <si>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</si>
  <si>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</si>
  <si>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</si>
  <si>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</si>
  <si>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</si>
  <si>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</si>
  <si>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</si>
  <si>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</si>
  <si>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</si>
  <si>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</si>
  <si>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</si>
  <si>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</si>
  <si>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</si>
  <si>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</si>
  <si>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</si>
  <si>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</si>
  <si>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</si>
  <si>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</si>
  <si>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</si>
  <si>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</si>
  <si>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</si>
  <si>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</si>
  <si>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</si>
  <si>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</si>
  <si>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</si>
  <si>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</si>
  <si>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</si>
  <si>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</si>
  <si>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</si>
  <si>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</si>
  <si>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</si>
  <si>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</si>
  <si>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</si>
  <si>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</si>
  <si>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</si>
  <si>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</si>
  <si>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</si>
  <si>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</si>
  <si>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</si>
  <si>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</si>
  <si>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</si>
  <si>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</si>
  <si>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</si>
  <si>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</si>
  <si>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</si>
  <si>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</si>
  <si>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</si>
  <si>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</si>
  <si>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</si>
  <si>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</si>
  <si>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</si>
  <si>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</si>
  <si>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</si>
  <si>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</si>
  <si>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</si>
  <si>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</si>
  <si>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</si>
  <si>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</si>
  <si>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</si>
  <si>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</si>
  <si>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</si>
  <si>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</si>
  <si>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</si>
  <si>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</si>
  <si>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</si>
  <si>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</si>
  <si>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</si>
  <si>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</si>
  <si>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</si>
  <si>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</si>
  <si>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</si>
  <si>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</si>
  <si>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</si>
  <si>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</si>
  <si>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</si>
  <si>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</si>
  <si>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</si>
  <si>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</si>
  <si>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</si>
  <si>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</si>
  <si>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</si>
  <si>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</si>
  <si>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</si>
  <si>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</si>
  <si>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</si>
  <si>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</si>
  <si>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</si>
  <si>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</si>
  <si>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</si>
  <si>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</si>
  <si>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</si>
  <si>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</si>
  <si>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</si>
  <si>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</si>
  <si>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</si>
  <si>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</si>
  <si>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</si>
  <si>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</si>
  <si>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</si>
  <si>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</si>
  <si>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</si>
  <si>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</si>
  <si>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</si>
  <si>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</si>
  <si>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</si>
  <si>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</si>
  <si>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</si>
  <si>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</si>
  <si>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</si>
  <si>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</si>
  <si>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</si>
  <si>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</si>
  <si>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</si>
  <si>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</si>
  <si>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</si>
  <si>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</si>
  <si>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</si>
  <si>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</si>
  <si>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</si>
  <si>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</si>
  <si>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</si>
  <si>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</si>
  <si>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</si>
  <si>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</si>
  <si>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</si>
  <si>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</si>
  <si>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</si>
  <si>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</si>
  <si>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</si>
  <si>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</si>
  <si>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</si>
  <si>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</si>
  <si>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</si>
  <si>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</si>
  <si>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</si>
  <si>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</si>
  <si>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</si>
  <si>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</si>
  <si>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</si>
  <si>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</si>
  <si>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</si>
  <si>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</si>
  <si>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</si>
  <si>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</si>
  <si>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</si>
  <si>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</si>
  <si>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</si>
  <si>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</si>
  <si>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</si>
  <si>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</si>
  <si>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</si>
  <si>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</si>
  <si>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</si>
  <si>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</si>
  <si>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</si>
  <si>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</si>
  <si>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</si>
  <si>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</si>
  <si>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</si>
  <si>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</si>
  <si>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</si>
  <si>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</si>
  <si>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</si>
  <si>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</si>
  <si>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</si>
  <si>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</si>
  <si>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</si>
  <si>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</si>
  <si>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</si>
  <si>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</si>
  <si>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</si>
  <si>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</si>
  <si>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</si>
  <si>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</si>
  <si>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</si>
  <si>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</si>
  <si>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</si>
  <si>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</si>
  <si>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</si>
  <si>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</si>
  <si>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</si>
  <si>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</si>
  <si>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</si>
  <si>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</si>
  <si>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</si>
  <si>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</si>
  <si>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</si>
  <si>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</si>
  <si>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</si>
  <si>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</si>
  <si>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</si>
  <si>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</si>
  <si>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</si>
  <si>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</si>
  <si>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</si>
  <si>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</si>
  <si>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</si>
  <si>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</si>
  <si>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</si>
  <si>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</si>
  <si>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</si>
  <si>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</si>
  <si>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</si>
  <si>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</si>
  <si>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</si>
  <si>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</si>
  <si>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</si>
  <si>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</si>
  <si>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</si>
  <si>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</si>
  <si>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</si>
  <si>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</si>
  <si>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</si>
  <si>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</si>
  <si>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</si>
  <si>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</si>
  <si>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</si>
  <si>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</si>
  <si>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</si>
  <si>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</si>
  <si>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</si>
  <si>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</si>
  <si>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</si>
  <si>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</si>
  <si>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</si>
  <si>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</si>
  <si>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</si>
  <si>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</si>
  <si>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</si>
  <si>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</si>
  <si>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</si>
  <si>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</si>
  <si>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</si>
  <si>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</si>
  <si>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</si>
  <si>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</si>
  <si>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</si>
  <si>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</si>
  <si>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</si>
  <si>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</si>
  <si>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</si>
  <si>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</si>
  <si>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</si>
  <si>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</si>
  <si>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</si>
  <si>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</si>
  <si>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</si>
  <si>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</si>
  <si>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</si>
  <si>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</si>
  <si>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</si>
  <si>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</si>
  <si>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</si>
  <si>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</si>
  <si>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</si>
  <si>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</si>
  <si>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</si>
  <si>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</si>
  <si>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</si>
  <si>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</si>
  <si>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</si>
  <si>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</si>
  <si>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</si>
  <si>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</si>
  <si>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</si>
  <si>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</si>
  <si>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</si>
  <si>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</si>
  <si>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</si>
  <si>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</si>
  <si>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</si>
  <si>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</si>
  <si>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</si>
  <si>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</si>
  <si>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</si>
  <si>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</si>
  <si>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</si>
  <si>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</si>
  <si>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</si>
  <si>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</si>
  <si>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</si>
  <si>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</si>
  <si>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</si>
  <si>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</si>
  <si>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</si>
  <si>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</si>
  <si>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</si>
  <si>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</si>
  <si>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</si>
  <si>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</si>
  <si>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</si>
  <si>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</si>
  <si>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</si>
  <si>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</si>
  <si>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</si>
  <si>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</si>
  <si>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</si>
  <si>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</si>
  <si>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</si>
  <si>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</si>
  <si>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</si>
  <si>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</si>
  <si>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</si>
  <si>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</si>
  <si>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</si>
  <si>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</si>
  <si>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</si>
  <si>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</si>
  <si>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</si>
  <si>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</si>
  <si>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</si>
  <si>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</si>
  <si>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</si>
  <si>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</si>
  <si>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</si>
  <si>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</si>
  <si>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</si>
  <si>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</si>
  <si>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</si>
  <si>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</si>
  <si>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</si>
  <si>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</si>
  <si>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</si>
  <si>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</si>
  <si>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</si>
  <si>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</si>
  <si>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</si>
  <si>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</si>
  <si>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</si>
  <si>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</si>
  <si>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</si>
  <si>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</si>
  <si>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</si>
  <si>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</si>
  <si>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</si>
  <si>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</si>
  <si>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</si>
  <si>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</si>
  <si>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</si>
  <si>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</si>
  <si>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</si>
  <si>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</si>
  <si>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</si>
  <si>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</si>
  <si>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</si>
  <si>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</si>
  <si>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</si>
  <si>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</si>
  <si>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</si>
  <si>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</si>
  <si>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</si>
  <si>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</si>
  <si>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</si>
  <si>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</si>
  <si>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</si>
  <si>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</si>
  <si>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</si>
  <si>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</si>
  <si>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</si>
  <si>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</si>
  <si>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</si>
  <si>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</si>
  <si>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</si>
  <si>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</si>
  <si>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</si>
  <si>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</si>
  <si>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</si>
  <si>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</si>
  <si>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</si>
  <si>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</si>
  <si>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</si>
  <si>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</si>
  <si>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</si>
  <si>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</si>
  <si>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</si>
  <si>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</si>
  <si>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</si>
  <si>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</si>
  <si>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</si>
  <si>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</si>
  <si>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</si>
  <si>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</si>
  <si>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</si>
  <si>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</si>
  <si>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</si>
  <si>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</si>
  <si>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</si>
  <si>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</si>
  <si>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</si>
  <si>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</si>
  <si>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</si>
  <si>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</si>
  <si>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</si>
  <si>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</si>
  <si>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</si>
  <si>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</si>
  <si>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</si>
  <si>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</si>
  <si>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</si>
  <si>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</si>
  <si>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</si>
  <si>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</si>
  <si>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</si>
  <si>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</si>
  <si>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</si>
  <si>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</si>
  <si>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</si>
  <si>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</si>
  <si>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</si>
  <si>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</si>
  <si>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</si>
  <si>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</si>
  <si>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</si>
  <si>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</si>
  <si>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</si>
  <si>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</si>
  <si>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</si>
  <si>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</si>
  <si>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</si>
  <si>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</si>
  <si>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</si>
  <si>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</si>
  <si>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</si>
  <si>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</si>
  <si>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</si>
  <si>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</si>
  <si>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</si>
  <si>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</si>
  <si>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</si>
  <si>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</si>
  <si>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</si>
  <si>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</si>
  <si>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</si>
  <si>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</si>
  <si>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</si>
  <si>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</si>
  <si>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</si>
  <si>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</si>
  <si>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</si>
  <si>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</si>
  <si>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</si>
  <si>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</si>
  <si>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</si>
  <si>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</si>
  <si>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</si>
  <si>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</si>
  <si>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</si>
  <si>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</si>
  <si>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</si>
  <si>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</si>
  <si>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</si>
  <si>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</si>
  <si>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</si>
  <si>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</si>
  <si>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</si>
  <si>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</si>
  <si>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</si>
  <si>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</si>
  <si>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</si>
  <si>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</si>
  <si>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</si>
  <si>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</si>
  <si>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</si>
  <si>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</si>
  <si>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</si>
  <si>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</si>
  <si>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</si>
  <si>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</si>
  <si>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</si>
  <si>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</si>
  <si>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</si>
  <si>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</si>
  <si>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</si>
  <si>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</si>
  <si>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</si>
  <si>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</si>
  <si>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</si>
  <si>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</si>
  <si>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</si>
  <si>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</si>
  <si>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</si>
  <si>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</si>
  <si>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</si>
  <si>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</si>
  <si>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</si>
  <si>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</si>
  <si>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</si>
  <si>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</si>
  <si>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</si>
  <si>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</si>
  <si>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</si>
  <si>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</si>
  <si>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</si>
  <si>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</si>
  <si>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</si>
  <si>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</si>
  <si>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</si>
  <si>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</si>
  <si>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</si>
  <si>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</si>
  <si>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</si>
  <si>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</si>
  <si>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</si>
  <si>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</si>
  <si>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</si>
  <si>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</si>
  <si>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</si>
  <si>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</si>
  <si>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</si>
  <si>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</si>
  <si>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</si>
  <si>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</si>
  <si>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</si>
  <si>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</si>
  <si>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</si>
  <si>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</si>
  <si>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</si>
  <si>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</si>
  <si>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</si>
  <si>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</si>
  <si>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</si>
  <si>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</si>
  <si>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</si>
  <si>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</si>
  <si>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</si>
  <si>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</si>
  <si>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</si>
  <si>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</si>
  <si>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</si>
  <si>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</si>
  <si>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</si>
  <si>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</si>
  <si>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</si>
  <si>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</si>
  <si>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</si>
  <si>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</si>
  <si>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</si>
  <si>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</si>
  <si>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</si>
  <si>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</si>
  <si>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</si>
  <si>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</si>
  <si>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</si>
  <si>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</si>
  <si>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</si>
  <si>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</si>
  <si>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</si>
  <si>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</si>
  <si>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</si>
  <si>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</si>
  <si>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</si>
  <si>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</si>
  <si>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</si>
  <si>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</si>
  <si>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</si>
  <si>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</si>
  <si>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</si>
  <si>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</si>
  <si>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</si>
  <si>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</si>
  <si>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</si>
  <si>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</si>
  <si>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</si>
  <si>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</si>
  <si>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</si>
  <si>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</si>
  <si>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</si>
  <si>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</si>
  <si>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</si>
  <si>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</si>
  <si>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</si>
  <si>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</si>
  <si>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</si>
  <si>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</si>
  <si>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</si>
  <si>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</si>
  <si>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</si>
  <si>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</si>
  <si>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</si>
  <si>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</si>
  <si>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</si>
  <si>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</si>
  <si>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</si>
  <si>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</si>
  <si>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</si>
  <si>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</si>
  <si>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</si>
  <si>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</si>
  <si>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</si>
  <si>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</si>
  <si>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</si>
  <si>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</si>
  <si>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</si>
  <si>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</si>
  <si>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</si>
  <si>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</si>
  <si>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</si>
  <si>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</si>
  <si>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</si>
  <si>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</si>
  <si>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</si>
  <si>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</si>
  <si>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</si>
  <si>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</si>
  <si>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</si>
  <si>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</si>
  <si>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</si>
  <si>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</si>
  <si>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</si>
  <si>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</si>
  <si>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</si>
  <si>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</si>
  <si>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</si>
  <si>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</si>
  <si>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</si>
  <si>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</si>
  <si>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</si>
  <si>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</si>
  <si>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</si>
  <si>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</si>
  <si>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</si>
  <si>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</si>
  <si>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</si>
  <si>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</si>
  <si>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</si>
  <si>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</si>
  <si>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</si>
  <si>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</si>
  <si>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</si>
  <si>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</si>
  <si>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</si>
  <si>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</si>
  <si>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</si>
  <si>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</si>
  <si>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</si>
  <si>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</si>
  <si>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</si>
  <si>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</si>
  <si>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</si>
  <si>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</si>
  <si>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</si>
  <si>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</si>
  <si>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</si>
  <si>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</si>
  <si>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</si>
  <si>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</si>
  <si>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</si>
  <si>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</si>
  <si>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</si>
  <si>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</si>
  <si>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</si>
  <si>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</si>
  <si>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</si>
  <si>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</si>
  <si>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</si>
  <si>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</si>
  <si>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</si>
  <si>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</si>
  <si>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</si>
  <si>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</si>
  <si>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</si>
  <si>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</si>
  <si>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</si>
  <si>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</si>
  <si>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</si>
  <si>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</si>
  <si>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</si>
  <si>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</si>
  <si>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</si>
  <si>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</si>
  <si>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</si>
  <si>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</si>
  <si>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</si>
  <si>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</si>
  <si>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</si>
  <si>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</si>
  <si>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</si>
  <si>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</si>
  <si>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</si>
  <si>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</si>
  <si>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</si>
  <si>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</si>
  <si>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</si>
  <si>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</si>
  <si>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</si>
  <si>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</si>
  <si>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</si>
  <si>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</si>
  <si>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</si>
  <si>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</si>
  <si>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</si>
  <si>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</si>
  <si>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</si>
  <si>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</si>
  <si>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</si>
  <si>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</si>
  <si>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</si>
  <si>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</si>
  <si>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</si>
  <si>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</si>
  <si>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</si>
  <si>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</si>
  <si>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</si>
  <si>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</si>
  <si>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</si>
  <si>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</si>
  <si>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</si>
  <si>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</si>
  <si>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</si>
  <si>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</si>
  <si>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</si>
  <si>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</si>
  <si>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</si>
  <si>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</si>
  <si>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</si>
  <si>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</si>
  <si>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</si>
  <si>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</si>
  <si>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</si>
  <si>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</si>
  <si>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</si>
  <si>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</si>
  <si>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</si>
  <si>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</si>
  <si>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</si>
  <si>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</si>
  <si>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</si>
  <si>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</si>
  <si>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</si>
  <si>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</si>
  <si>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</si>
  <si>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</si>
  <si>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</si>
  <si>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</si>
  <si>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</si>
  <si>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</si>
  <si>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</si>
  <si>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</si>
  <si>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</si>
  <si>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</si>
  <si>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</si>
  <si>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</si>
  <si>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</si>
  <si>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</si>
  <si>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</si>
  <si>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</si>
  <si>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</si>
  <si>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</si>
  <si>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</si>
  <si>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</si>
  <si>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</si>
  <si>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</si>
  <si>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</si>
  <si>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</si>
  <si>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</si>
  <si>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</si>
  <si>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</si>
  <si>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</si>
  <si>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</si>
  <si>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</si>
  <si>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</si>
  <si>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</si>
  <si>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</si>
  <si>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</si>
  <si>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</si>
  <si>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</si>
  <si>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</si>
  <si>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</si>
  <si>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</si>
  <si>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</si>
  <si>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</si>
  <si>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</si>
  <si>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</si>
  <si>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</si>
  <si>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</si>
  <si>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</si>
  <si>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</si>
  <si>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</si>
  <si>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</si>
  <si>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</si>
  <si>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</si>
  <si>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</si>
  <si>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</si>
  <si>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</si>
  <si>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</si>
  <si>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</si>
  <si>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</si>
  <si>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</si>
  <si>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</si>
  <si>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</si>
  <si>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</si>
  <si>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</si>
  <si>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</si>
  <si>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</si>
  <si>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</si>
  <si>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</si>
  <si>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</si>
  <si>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</si>
  <si>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</si>
  <si>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</si>
  <si>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</si>
  <si>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</si>
  <si>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</si>
  <si>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</si>
  <si>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</si>
  <si>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</si>
  <si>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</si>
  <si>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</si>
  <si>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</si>
  <si>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</si>
  <si>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</si>
  <si>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</si>
  <si>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</si>
  <si>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</si>
  <si>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</si>
  <si>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</si>
  <si>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</si>
  <si>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</si>
  <si>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</si>
  <si>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</si>
  <si>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</si>
  <si>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</si>
  <si>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</si>
  <si>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</si>
  <si>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</si>
  <si>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</si>
  <si>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</si>
  <si>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</si>
  <si>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</si>
  <si>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</si>
  <si>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</si>
  <si>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</si>
  <si>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</si>
  <si>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</si>
  <si>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</si>
  <si>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</si>
  <si>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</si>
  <si>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</si>
  <si>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</si>
  <si>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</si>
  <si>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</si>
  <si>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</si>
  <si>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</si>
  <si>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</si>
  <si>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</si>
  <si>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</si>
  <si>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</si>
  <si>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</si>
  <si>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</si>
  <si>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</si>
  <si>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</si>
  <si>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</si>
  <si>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</si>
  <si>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</si>
  <si>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</si>
  <si>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</si>
  <si>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</si>
  <si>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</si>
  <si>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</si>
  <si>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</si>
  <si>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</si>
  <si>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</si>
  <si>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</si>
  <si>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</si>
  <si>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</si>
  <si>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</si>
  <si>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</si>
  <si>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</si>
  <si>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</si>
  <si>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</si>
  <si>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</si>
  <si>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</si>
  <si>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</si>
  <si>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</si>
  <si>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</si>
  <si>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</si>
  <si>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</si>
  <si>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</si>
  <si>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</si>
  <si>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</si>
  <si>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</si>
  <si>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</si>
  <si>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</si>
  <si>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</si>
  <si>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</si>
  <si>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</si>
  <si>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</si>
  <si>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</si>
  <si>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</si>
  <si>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</si>
  <si>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</si>
  <si>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</si>
  <si>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</si>
  <si>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</si>
  <si>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</si>
  <si>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</si>
  <si>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</si>
  <si>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</si>
  <si>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</si>
  <si>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</si>
  <si>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</si>
  <si>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</si>
  <si>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</si>
  <si>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</si>
  <si>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</si>
  <si>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</si>
  <si>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</si>
  <si>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</si>
  <si>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</si>
  <si>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</si>
  <si>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</si>
  <si>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</si>
  <si>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</si>
  <si>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</si>
  <si>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</si>
  <si>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</si>
  <si>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</si>
  <si>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</si>
  <si>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</si>
  <si>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</si>
  <si>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</si>
  <si>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</si>
  <si>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</si>
  <si>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</si>
  <si>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</si>
  <si>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</si>
  <si>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</si>
  <si>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</si>
  <si>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</si>
  <si>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</si>
  <si>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</si>
  <si>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</si>
  <si>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</si>
  <si>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</si>
  <si>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</si>
  <si>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</si>
  <si>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</si>
  <si>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</si>
  <si>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</si>
  <si>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</si>
  <si>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</si>
  <si>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</si>
  <si>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</si>
  <si>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</si>
  <si>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</si>
  <si>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</si>
  <si>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</si>
  <si>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</si>
  <si>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</si>
  <si>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</si>
  <si>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</si>
  <si>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</si>
  <si>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</si>
  <si>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</si>
  <si>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</si>
  <si>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</si>
  <si>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</si>
  <si>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</si>
  <si>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</si>
  <si>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</si>
  <si>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</si>
  <si>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</si>
  <si>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</si>
  <si>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</si>
  <si>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</si>
  <si>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</si>
  <si>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</si>
  <si>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</si>
  <si>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</si>
  <si>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</si>
  <si>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</si>
  <si>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</si>
  <si>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</si>
  <si>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</si>
  <si>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</si>
  <si>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</si>
  <si>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</si>
  <si>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</si>
  <si>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</si>
  <si>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</si>
  <si>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</si>
  <si>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</si>
  <si>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</si>
  <si>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</si>
  <si>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</si>
  <si>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</si>
  <si>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</si>
  <si>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</si>
  <si>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</si>
  <si>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</si>
  <si>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</si>
  <si>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</si>
  <si>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</si>
  <si>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</si>
  <si>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</si>
  <si>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</si>
  <si>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</si>
  <si>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</si>
  <si>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</si>
  <si>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</si>
  <si>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</si>
  <si>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</si>
  <si>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</si>
  <si>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</si>
  <si>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</si>
  <si>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</si>
  <si>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</si>
  <si>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</si>
  <si>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</si>
  <si>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</si>
  <si>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</si>
  <si>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</si>
  <si>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</si>
  <si>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</si>
  <si>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</si>
  <si>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</si>
  <si>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</si>
  <si>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</si>
  <si>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</si>
  <si>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</si>
  <si>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</si>
  <si>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</si>
  <si>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</si>
  <si>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</si>
  <si>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</si>
  <si>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</si>
  <si>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</si>
  <si>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</si>
  <si>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</si>
  <si>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</si>
  <si>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</si>
  <si>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</si>
  <si>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</si>
  <si>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</si>
  <si>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</si>
  <si>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</si>
  <si>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</si>
  <si>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</si>
  <si>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</si>
  <si>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</si>
  <si>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</si>
  <si>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</si>
  <si>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</si>
  <si>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</si>
  <si>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</si>
  <si>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</si>
  <si>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</si>
  <si>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</si>
  <si>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</si>
  <si>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</si>
  <si>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</si>
  <si>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</si>
  <si>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</si>
  <si>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</si>
  <si>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</si>
  <si>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</si>
  <si>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</si>
  <si>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</si>
  <si>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</si>
  <si>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</si>
  <si>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</si>
  <si>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</si>
  <si>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</si>
  <si>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</si>
  <si>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</si>
  <si>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</si>
  <si>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</si>
  <si>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</si>
  <si>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</si>
  <si>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</si>
  <si>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</si>
  <si>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</si>
  <si>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</si>
  <si>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</si>
  <si>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</si>
  <si>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</si>
  <si>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</si>
  <si>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</si>
  <si>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</si>
  <si>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</si>
  <si>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</si>
  <si>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</si>
  <si>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</si>
  <si>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</si>
  <si>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</si>
  <si>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</si>
  <si>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</si>
  <si>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</si>
  <si>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</si>
  <si>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</si>
  <si>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</si>
  <si>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</si>
  <si>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</si>
  <si>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</si>
  <si>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</si>
  <si>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</si>
  <si>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</si>
  <si>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</si>
  <si>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</si>
  <si>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</si>
  <si>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</si>
  <si>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</si>
  <si>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</si>
  <si>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</si>
  <si>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</si>
  <si>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</si>
  <si>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</si>
  <si>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</si>
  <si>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</si>
  <si>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</si>
  <si>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</si>
  <si>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</si>
  <si>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</si>
  <si>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</si>
  <si>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</si>
  <si>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</si>
  <si>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</si>
  <si>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</si>
  <si>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</si>
  <si>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</si>
  <si>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</si>
  <si>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</si>
  <si>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</si>
  <si>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</si>
  <si>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</si>
  <si>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</si>
  <si>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</si>
  <si>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</si>
  <si>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</si>
  <si>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</si>
  <si>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</si>
  <si>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</si>
  <si>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</si>
  <si>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</si>
  <si>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</si>
  <si>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</si>
  <si>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</si>
  <si>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</si>
  <si>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</si>
  <si>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</si>
  <si>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</si>
  <si>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</si>
  <si>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</si>
  <si>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</si>
  <si>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</si>
  <si>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</si>
  <si>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</si>
  <si>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</si>
  <si>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</si>
  <si>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</si>
  <si>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</si>
  <si>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</si>
  <si>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</si>
  <si>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</si>
  <si>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</si>
  <si>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</si>
  <si>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</si>
  <si>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</si>
  <si>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</si>
  <si>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</si>
  <si>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</si>
  <si>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</si>
  <si>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</si>
  <si>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</si>
  <si>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</si>
  <si>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</si>
  <si>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</si>
  <si>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</si>
  <si>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</si>
  <si>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</si>
  <si>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</si>
  <si>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</si>
  <si>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</si>
  <si>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</si>
  <si>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</si>
  <si>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</si>
  <si>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</si>
  <si>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</si>
  <si>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</si>
  <si>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</si>
  <si>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</si>
  <si>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</si>
  <si>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</si>
  <si>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</si>
  <si>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</si>
  <si>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</si>
  <si>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</si>
  <si>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</si>
  <si>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</si>
  <si>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</si>
  <si>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</si>
  <si>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</si>
  <si>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</si>
  <si>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</si>
  <si>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</si>
  <si>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</si>
  <si>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</si>
  <si>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</si>
  <si>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</si>
  <si>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</si>
  <si>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</si>
  <si>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</si>
  <si>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</si>
  <si>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</si>
  <si>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</si>
  <si>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</si>
  <si>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</si>
  <si>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</si>
  <si>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</si>
  <si>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</si>
  <si>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</si>
  <si>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</si>
  <si>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</si>
  <si>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</si>
  <si>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</si>
  <si>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</si>
  <si>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</si>
  <si>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</si>
  <si>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</si>
  <si>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</si>
  <si>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</si>
  <si>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</si>
  <si>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</si>
  <si>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</si>
  <si>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</si>
  <si>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</si>
  <si>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</si>
  <si>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</si>
  <si>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</si>
  <si>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</si>
  <si>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</si>
  <si>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</si>
  <si>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</si>
  <si>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</si>
  <si>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</si>
  <si>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</si>
  <si>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</si>
  <si>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</si>
  <si>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</si>
  <si>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</si>
  <si>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</si>
  <si>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</si>
  <si>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</si>
  <si>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</si>
  <si>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</si>
  <si>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</si>
  <si>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</si>
  <si>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</si>
  <si>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</si>
  <si>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</si>
  <si>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</si>
  <si>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</si>
  <si>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</si>
  <si>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</si>
  <si>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</si>
  <si>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</si>
  <si>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</si>
  <si>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</si>
  <si>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</si>
  <si>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</si>
  <si>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</si>
  <si>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</si>
  <si>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</si>
  <si>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</si>
  <si>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</si>
  <si>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</si>
  <si>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</si>
  <si>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</si>
  <si>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</si>
  <si>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</si>
  <si>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</si>
  <si>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</si>
  <si>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</si>
  <si>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</si>
  <si>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</si>
  <si>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</si>
  <si>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</si>
  <si>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</si>
  <si>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</si>
  <si>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</si>
  <si>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</si>
  <si>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</si>
  <si>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</si>
  <si>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</si>
  <si>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</si>
  <si>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</si>
  <si>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</si>
  <si>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</si>
  <si>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</si>
  <si>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</si>
  <si>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</si>
  <si>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</si>
  <si>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</si>
  <si>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</si>
  <si>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</si>
  <si>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</si>
  <si>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</si>
  <si>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</si>
  <si>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</si>
  <si>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</si>
  <si>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</si>
  <si>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</si>
  <si>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</si>
  <si>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</si>
  <si>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</si>
  <si>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</si>
  <si>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</si>
  <si>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</si>
  <si>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</si>
  <si>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</si>
  <si>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</si>
  <si>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</si>
  <si>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</si>
  <si>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</si>
  <si>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</si>
  <si>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</si>
  <si>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</si>
  <si>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</si>
  <si>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</si>
  <si>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</si>
  <si>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</si>
  <si>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</si>
  <si>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</si>
  <si>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</si>
  <si>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</si>
  <si>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</si>
  <si>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</si>
  <si>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</si>
  <si>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</si>
  <si>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</si>
  <si>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</si>
  <si>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</si>
  <si>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</si>
  <si>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</si>
  <si>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</si>
  <si>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</si>
  <si>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</si>
  <si>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</si>
  <si>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</si>
  <si>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</si>
  <si>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</si>
  <si>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</si>
  <si>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</si>
  <si>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</si>
  <si>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</si>
  <si>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</si>
  <si>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</si>
  <si>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</si>
  <si>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</si>
  <si>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</si>
  <si>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</si>
  <si>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</si>
  <si>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</si>
  <si>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</si>
  <si>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</si>
  <si>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</si>
  <si>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</si>
  <si>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</si>
  <si>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</si>
  <si>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</si>
  <si>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</si>
  <si>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</si>
  <si>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</si>
  <si>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</si>
  <si>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</si>
  <si>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</si>
  <si>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</si>
  <si>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</si>
  <si>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</si>
  <si>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</si>
  <si>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</si>
  <si>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</si>
  <si>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</si>
  <si>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</si>
  <si>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</si>
  <si>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</si>
  <si>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</si>
  <si>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</si>
  <si>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</si>
  <si>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</si>
  <si>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</si>
  <si>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</si>
  <si>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</si>
  <si>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</si>
  <si>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</si>
  <si>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</si>
  <si>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</si>
  <si>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</si>
  <si>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</si>
  <si>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</si>
  <si>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</si>
  <si>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</si>
  <si>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</si>
  <si>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</si>
  <si>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</si>
  <si>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</si>
  <si>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</si>
  <si>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</si>
  <si>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</si>
  <si>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</si>
  <si>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</si>
  <si>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</si>
  <si>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</si>
  <si>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</si>
  <si>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</si>
  <si>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</si>
  <si>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</si>
  <si>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</si>
  <si>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</si>
  <si>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</si>
  <si>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</si>
  <si>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</si>
  <si>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</si>
  <si>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</si>
  <si>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</si>
  <si>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</si>
  <si>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</si>
  <si>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</si>
  <si>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</si>
  <si>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</si>
  <si>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</si>
  <si>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</si>
  <si>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</si>
  <si>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</si>
  <si>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</si>
  <si>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</si>
  <si>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</si>
  <si>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</si>
  <si>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</si>
  <si>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</si>
  <si>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</si>
  <si>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</si>
  <si>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</si>
  <si>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</si>
  <si>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</si>
  <si>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</si>
  <si>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</si>
  <si>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</si>
  <si>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</si>
  <si>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</si>
  <si>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</si>
  <si>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</si>
  <si>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</si>
  <si>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</si>
  <si>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</si>
  <si>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</si>
  <si>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</si>
  <si>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</si>
  <si>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</si>
  <si>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</si>
  <si>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</si>
  <si>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</si>
  <si>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</si>
  <si>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</si>
  <si>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</si>
  <si>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</si>
  <si>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</si>
  <si>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</si>
  <si>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</si>
  <si>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</si>
  <si>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</si>
  <si>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</si>
  <si>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</si>
  <si>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</si>
  <si>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</si>
  <si>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</si>
  <si>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</si>
  <si>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</si>
  <si>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</si>
  <si>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</si>
  <si>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</si>
  <si>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</si>
  <si>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</si>
  <si>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</si>
  <si>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</si>
  <si>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</si>
  <si>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</si>
  <si>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</si>
  <si>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</si>
  <si>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</si>
  <si>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</si>
  <si>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</si>
  <si>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</si>
  <si>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</si>
  <si>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</si>
  <si>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</si>
  <si>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</si>
  <si>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</si>
  <si>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</si>
  <si>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</si>
  <si>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</si>
  <si>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</si>
  <si>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</si>
  <si>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</si>
  <si>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</si>
  <si>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</si>
  <si>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</si>
  <si>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</si>
  <si>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</si>
  <si>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</si>
  <si>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</si>
  <si>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</si>
  <si>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</si>
  <si>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</si>
  <si>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</si>
  <si>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</si>
  <si>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</si>
  <si>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</si>
  <si>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</si>
  <si>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</si>
  <si>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</si>
  <si>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</si>
  <si>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</si>
  <si>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</si>
  <si>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</si>
  <si>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</si>
  <si>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</si>
  <si>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</si>
  <si>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</si>
  <si>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</si>
  <si>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</si>
  <si>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</si>
  <si>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</si>
  <si>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</si>
  <si>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</si>
  <si>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</si>
  <si>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</si>
  <si>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</si>
  <si>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</si>
  <si>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</si>
  <si>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</si>
  <si>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</si>
  <si>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</si>
  <si>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</si>
  <si>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</si>
  <si>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</si>
  <si>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</si>
  <si>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</si>
  <si>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</si>
  <si>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</si>
  <si>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</si>
  <si>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</si>
  <si>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</si>
  <si>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</si>
  <si>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</si>
  <si>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</si>
  <si>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</si>
  <si>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</si>
  <si>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</si>
  <si>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</si>
  <si>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</si>
  <si>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</si>
  <si>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</si>
  <si>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</si>
  <si>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</si>
  <si>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</si>
  <si>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</si>
  <si>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</si>
  <si>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</si>
  <si>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</si>
  <si>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</si>
  <si>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</si>
  <si>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</si>
  <si>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</si>
  <si>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</si>
  <si>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</si>
  <si>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</si>
  <si>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</si>
  <si>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</si>
  <si>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</si>
  <si>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</si>
  <si>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</si>
  <si>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</si>
  <si>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</si>
  <si>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</si>
  <si>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</si>
  <si>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</si>
  <si>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</si>
  <si>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</si>
  <si>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</si>
  <si>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</si>
  <si>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</si>
  <si>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</si>
  <si>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</si>
  <si>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</si>
  <si>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</si>
  <si>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</si>
  <si>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</si>
  <si>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</si>
  <si>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</si>
  <si>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</si>
  <si>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</si>
  <si>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</si>
  <si>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</si>
  <si>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</si>
  <si>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</si>
  <si>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</si>
  <si>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</si>
  <si>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</si>
  <si>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</si>
  <si>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</si>
  <si>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</si>
  <si>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</si>
  <si>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</si>
  <si>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</si>
  <si>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</si>
  <si>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</si>
  <si>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</si>
  <si>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</si>
  <si>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</si>
  <si>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</si>
  <si>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</si>
  <si>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</si>
  <si>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</si>
  <si>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</si>
  <si>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</si>
  <si>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</si>
  <si>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</si>
  <si>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</si>
  <si>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</si>
  <si>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</si>
  <si>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</si>
  <si>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</si>
  <si>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</si>
  <si>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</si>
  <si>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</si>
  <si>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</si>
  <si>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</si>
  <si>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</si>
  <si>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</si>
  <si>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</si>
  <si>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</si>
  <si>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</si>
  <si>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</si>
  <si>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</si>
  <si>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</si>
  <si>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</si>
  <si>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</si>
  <si>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</si>
  <si>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</si>
  <si>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</si>
  <si>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</si>
  <si>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</si>
  <si>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</si>
  <si>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</si>
  <si>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</si>
  <si>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</si>
  <si>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</si>
  <si>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</si>
  <si>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</si>
  <si>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</si>
  <si>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</si>
  <si>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</si>
  <si>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</si>
  <si>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</si>
  <si>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</si>
  <si>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</si>
  <si>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</si>
  <si>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</si>
  <si>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</si>
  <si>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</si>
  <si>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</si>
  <si>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</si>
  <si>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</si>
  <si>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</si>
  <si>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</si>
  <si>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</si>
  <si>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</si>
  <si>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</si>
  <si>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</si>
  <si>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</si>
  <si>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</si>
  <si>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</si>
  <si>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</si>
  <si>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</si>
  <si>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</si>
  <si>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</si>
  <si>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</si>
  <si>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</si>
  <si>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</si>
  <si>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</si>
  <si>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</si>
  <si>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</si>
  <si>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</si>
  <si>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</si>
  <si>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</si>
  <si>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</si>
  <si>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</si>
  <si>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</si>
  <si>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</si>
  <si>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</si>
  <si>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</si>
  <si>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</si>
  <si>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</si>
  <si>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</si>
  <si>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</si>
  <si>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</si>
  <si>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</si>
  <si>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</si>
  <si>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</si>
  <si>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</si>
  <si>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</si>
  <si>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</si>
  <si>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</si>
  <si>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</si>
  <si>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</si>
  <si>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</si>
  <si>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</si>
  <si>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</si>
  <si>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</si>
  <si>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</si>
  <si>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</si>
  <si>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</si>
  <si>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</si>
  <si>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</si>
  <si>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</si>
  <si>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</si>
  <si>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</si>
  <si>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</si>
  <si>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</si>
  <si>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</si>
  <si>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</si>
  <si>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</si>
  <si>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</si>
  <si>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</si>
  <si>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</si>
  <si>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</si>
  <si>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</si>
  <si>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</si>
  <si>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</si>
  <si>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</si>
  <si>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</si>
  <si>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</si>
  <si>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</si>
  <si>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</si>
  <si>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</si>
  <si>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</si>
  <si>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</si>
  <si>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</si>
  <si>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</si>
  <si>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</si>
  <si>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</si>
  <si>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</si>
  <si>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</si>
  <si>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</si>
  <si>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</si>
  <si>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</si>
  <si>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</si>
  <si>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</si>
  <si>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</si>
  <si>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</si>
  <si>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</si>
  <si>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</si>
  <si>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</si>
  <si>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</si>
  <si>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</si>
  <si>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</si>
  <si>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</si>
  <si>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</si>
  <si>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</si>
  <si>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</si>
  <si>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</si>
  <si>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</si>
  <si>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</si>
  <si>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</si>
  <si>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</si>
  <si>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</si>
  <si>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</si>
  <si>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</si>
  <si>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</si>
  <si>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</si>
  <si>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</si>
  <si>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</si>
  <si>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</si>
  <si>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</si>
  <si>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</si>
  <si>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</si>
  <si>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</si>
  <si>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</si>
  <si>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</si>
  <si>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</si>
  <si>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</si>
  <si>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</si>
  <si>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</si>
  <si>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</si>
  <si>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</si>
  <si>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</si>
  <si>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</si>
  <si>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</si>
  <si>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</si>
  <si>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</si>
  <si>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</si>
  <si>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</si>
  <si>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</si>
  <si>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</si>
  <si>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</si>
  <si>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</si>
  <si>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</si>
  <si>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</si>
  <si>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</si>
  <si>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</si>
  <si>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</si>
  <si>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</si>
  <si>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</si>
  <si>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</si>
  <si>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</si>
  <si>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</si>
  <si>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</si>
  <si>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</si>
  <si>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</si>
  <si>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</si>
  <si>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</si>
  <si>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</si>
  <si>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</si>
  <si>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</si>
  <si>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</si>
  <si>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</si>
  <si>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</si>
  <si>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</si>
  <si>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</si>
  <si>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</si>
  <si>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</si>
  <si>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</si>
  <si>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</si>
  <si>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</si>
  <si>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</si>
  <si>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</si>
  <si>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</si>
  <si>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</si>
  <si>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</si>
  <si>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</si>
  <si>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</si>
  <si>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</si>
  <si>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</si>
  <si>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</si>
  <si>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</si>
  <si>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</si>
  <si>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</si>
  <si>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</si>
  <si>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</si>
  <si>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</si>
  <si>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</si>
  <si>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</si>
  <si>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</si>
  <si>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</si>
  <si>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</si>
  <si>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</si>
  <si>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</si>
  <si>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</si>
  <si>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</si>
  <si>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</si>
  <si>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</si>
  <si>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</si>
  <si>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</si>
  <si>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</si>
  <si>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</si>
  <si>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</si>
  <si>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</si>
  <si>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</si>
  <si>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</si>
  <si>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</si>
  <si>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</si>
  <si>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</si>
  <si>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</si>
  <si>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</si>
  <si>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</si>
  <si>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</si>
  <si>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</si>
  <si>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</si>
  <si>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</si>
  <si>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</si>
  <si>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</si>
  <si>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</si>
  <si>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</si>
  <si>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</si>
  <si>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</si>
  <si>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</si>
  <si>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</si>
  <si>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</si>
  <si>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</si>
  <si>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</si>
  <si>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</si>
  <si>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</si>
  <si>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</si>
  <si>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</si>
  <si>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</si>
  <si>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</si>
  <si>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</si>
  <si>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</si>
  <si>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</si>
  <si>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</si>
  <si>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</si>
  <si>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</si>
  <si>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</si>
  <si>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</si>
  <si>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</si>
  <si>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</si>
  <si>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</si>
  <si>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</si>
  <si>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</si>
  <si>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</si>
  <si>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</si>
  <si>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</si>
  <si>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</si>
  <si>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</si>
  <si>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</si>
  <si>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</si>
  <si>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</si>
  <si>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</si>
  <si>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</si>
  <si>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</si>
  <si>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</si>
  <si>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</si>
  <si>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</si>
  <si>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</si>
  <si>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</si>
  <si>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</si>
  <si>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</si>
  <si>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</si>
  <si>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</si>
  <si>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</si>
  <si>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</si>
  <si>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</si>
  <si>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</si>
  <si>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</si>
  <si>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</si>
  <si>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</si>
  <si>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</si>
  <si>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</si>
  <si>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</si>
  <si>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</si>
  <si>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</si>
  <si>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</si>
  <si>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</si>
  <si>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</si>
  <si>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</si>
  <si>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</si>
  <si>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</si>
  <si>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</si>
  <si>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</si>
  <si>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</si>
  <si>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</si>
  <si>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</si>
  <si>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</si>
  <si>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</si>
  <si>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</si>
  <si>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</si>
  <si>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</si>
  <si>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</si>
  <si>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</si>
  <si>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</si>
  <si>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</si>
  <si>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</si>
  <si>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</si>
  <si>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</si>
  <si>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</si>
  <si>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</si>
  <si>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</si>
  <si>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</si>
  <si>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</si>
  <si>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</si>
  <si>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</si>
  <si>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</si>
  <si>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</si>
  <si>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</si>
  <si>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</si>
  <si>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</si>
  <si>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</si>
  <si>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</si>
  <si>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</si>
  <si>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</si>
  <si>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</si>
  <si>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</si>
  <si>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</si>
  <si>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</si>
  <si>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</si>
  <si>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</si>
  <si>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</si>
  <si>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</si>
  <si>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</si>
  <si>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</si>
  <si>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</si>
  <si>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</si>
  <si>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</si>
  <si>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</si>
  <si>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</si>
  <si>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</si>
  <si>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</si>
  <si>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</si>
  <si>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</si>
  <si>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</si>
  <si>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</si>
  <si>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</si>
  <si>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</si>
  <si>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</si>
  <si>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</si>
  <si>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</si>
  <si>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</si>
  <si>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</si>
  <si>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</si>
  <si>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</si>
  <si>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</si>
  <si>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</si>
  <si>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</si>
  <si>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</si>
  <si>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</si>
  <si>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</si>
  <si>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</si>
  <si>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</si>
  <si>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</si>
  <si>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</si>
  <si>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</si>
  <si>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</si>
  <si>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</si>
  <si>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</si>
  <si>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</si>
  <si>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</si>
  <si>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</si>
  <si>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</si>
  <si>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</si>
  <si>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</si>
  <si>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</si>
  <si>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</si>
  <si>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</si>
  <si>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</si>
  <si>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</si>
  <si>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</si>
  <si>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</si>
  <si>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</si>
  <si>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</si>
  <si>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</si>
  <si>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</si>
  <si>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</si>
  <si>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</si>
  <si>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</si>
  <si>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</si>
  <si>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</si>
  <si>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</si>
  <si>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</si>
  <si>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</si>
  <si>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</si>
  <si>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</si>
  <si>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</si>
  <si>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</si>
  <si>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</si>
  <si>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</si>
  <si>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</si>
  <si>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</si>
  <si>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</si>
  <si>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</si>
  <si>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</si>
  <si>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</si>
  <si>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</si>
  <si>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</si>
  <si>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</si>
  <si>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</si>
  <si>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</si>
  <si>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</si>
  <si>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</si>
  <si>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</si>
  <si>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</si>
  <si>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</si>
  <si>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</si>
  <si>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</si>
  <si>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</si>
  <si>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</si>
  <si>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</si>
  <si>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</si>
  <si>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</si>
  <si>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</si>
  <si>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</si>
  <si>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</si>
  <si>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</si>
  <si>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</si>
  <si>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</si>
  <si>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</si>
  <si>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</si>
  <si>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</si>
  <si>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</si>
  <si>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</si>
  <si>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</si>
  <si>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</si>
  <si>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</si>
  <si>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</si>
  <si>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</si>
  <si>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</si>
  <si>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</si>
  <si>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</si>
  <si>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</si>
  <si>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</si>
  <si>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</si>
  <si>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</si>
  <si>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</si>
  <si>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</si>
  <si>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</si>
  <si>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</si>
  <si>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</si>
  <si>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</si>
  <si>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</si>
  <si>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</si>
  <si>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</si>
  <si>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</si>
  <si>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</si>
  <si>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</si>
  <si>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</si>
  <si>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</si>
  <si>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</si>
  <si>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</si>
  <si>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</si>
  <si>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</si>
  <si>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</si>
  <si>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</si>
  <si>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</si>
  <si>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</si>
  <si>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</si>
  <si>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</si>
  <si>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</si>
  <si>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</si>
  <si>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</si>
  <si>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</si>
  <si>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</si>
  <si>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</si>
  <si>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</si>
  <si>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</si>
  <si>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</si>
  <si>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</si>
  <si>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</si>
  <si>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</si>
  <si>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</si>
  <si>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</si>
  <si>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</si>
  <si>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</si>
  <si>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</si>
  <si>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</si>
  <si>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</si>
  <si>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</si>
  <si>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</si>
  <si>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</si>
  <si>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</si>
  <si>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</si>
  <si>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</si>
  <si>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</si>
  <si>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</si>
  <si>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</si>
  <si>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</si>
  <si>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</si>
  <si>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</si>
  <si>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</si>
  <si>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</si>
  <si>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</si>
  <si>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</si>
  <si>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</si>
  <si>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</si>
  <si>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</si>
  <si>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</si>
  <si>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</si>
  <si>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</si>
  <si>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</si>
  <si>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</si>
  <si>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</si>
  <si>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</si>
  <si>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</si>
  <si>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</si>
  <si>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</si>
  <si>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</si>
  <si>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</si>
  <si>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</si>
  <si>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</si>
  <si>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</si>
  <si>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</si>
  <si>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</si>
  <si>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</si>
  <si>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</si>
  <si>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</si>
  <si>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</si>
  <si>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</si>
  <si>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</si>
  <si>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</si>
  <si>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</si>
  <si>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</si>
  <si>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</si>
  <si>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</si>
  <si>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</si>
  <si>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</si>
  <si>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</si>
  <si>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</si>
  <si>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</si>
  <si>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</si>
  <si>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</si>
  <si>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</si>
  <si>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</si>
  <si>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</si>
  <si>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</si>
  <si>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</si>
  <si>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</si>
  <si>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</si>
  <si>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</si>
  <si>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</si>
  <si>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</si>
  <si>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</si>
  <si>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</si>
  <si>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</si>
  <si>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</si>
  <si>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</si>
  <si>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</si>
  <si>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</si>
  <si>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</si>
  <si>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</si>
  <si>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</si>
  <si>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</si>
  <si>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</si>
  <si>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</si>
  <si>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</si>
  <si>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</si>
  <si>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</si>
  <si>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</si>
  <si>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</si>
  <si>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</si>
  <si>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</si>
  <si>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</si>
  <si>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</si>
  <si>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</si>
  <si>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</si>
  <si>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</si>
  <si>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</si>
  <si>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</si>
  <si>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</si>
  <si>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</si>
  <si>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</si>
  <si>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</si>
  <si>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</si>
  <si>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</si>
  <si>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</si>
  <si>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</si>
  <si>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</si>
  <si>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</si>
  <si>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</si>
  <si>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</si>
  <si>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</si>
  <si>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</si>
  <si>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</si>
  <si>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</si>
  <si>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</si>
  <si>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</si>
  <si>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</si>
  <si>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</si>
  <si>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</si>
  <si>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</si>
  <si>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</si>
  <si>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</si>
  <si>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</si>
  <si>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</si>
  <si>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</si>
  <si>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</si>
  <si>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</si>
  <si>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</si>
  <si>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</si>
  <si>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</si>
  <si>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</si>
  <si>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</si>
  <si>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</si>
  <si>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</si>
  <si>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</si>
  <si>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</si>
  <si>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</si>
  <si>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</si>
  <si>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</si>
  <si>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</si>
  <si>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</si>
  <si>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</si>
  <si>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</si>
  <si>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</si>
  <si>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</si>
  <si>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</si>
  <si>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</si>
  <si>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</si>
  <si>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</si>
  <si>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</si>
  <si>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</si>
  <si>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</si>
  <si>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</si>
  <si>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</si>
  <si>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</si>
  <si>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</si>
  <si>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</si>
  <si>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</si>
  <si>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</si>
  <si>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</si>
  <si>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</si>
  <si>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</si>
  <si>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</si>
  <si>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</si>
  <si>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</si>
  <si>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</si>
  <si>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</si>
  <si>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</si>
  <si>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</si>
  <si>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</si>
  <si>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</si>
  <si>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</si>
  <si>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</si>
  <si>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</si>
  <si>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</si>
  <si>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</si>
  <si>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</si>
  <si>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</si>
  <si>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</si>
  <si>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</si>
  <si>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</si>
  <si>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</si>
  <si>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</si>
  <si>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</si>
  <si>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</si>
  <si>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</si>
  <si>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</si>
  <si>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</si>
  <si>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</si>
  <si>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</si>
  <si>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</si>
  <si>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</si>
  <si>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</si>
  <si>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</si>
  <si>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</si>
  <si>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</si>
  <si>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</si>
  <si>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</si>
  <si>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</si>
  <si>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</si>
  <si>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</si>
  <si>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</si>
  <si>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</si>
  <si>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</si>
  <si>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</si>
  <si>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</si>
  <si>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</si>
  <si>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</si>
  <si>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</si>
  <si>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</si>
  <si>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</si>
  <si>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</si>
  <si>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</si>
  <si>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</si>
  <si>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</si>
  <si>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</si>
  <si>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</si>
  <si>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</si>
  <si>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</si>
  <si>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</si>
  <si>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</si>
  <si>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</si>
  <si>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</si>
  <si>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</si>
  <si>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</si>
  <si>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</si>
  <si>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</si>
  <si>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</si>
  <si>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</si>
  <si>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</si>
  <si>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</si>
  <si>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</si>
  <si>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</si>
  <si>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</si>
  <si>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</si>
  <si>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</si>
  <si>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</si>
  <si>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</si>
  <si>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</si>
  <si>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</si>
  <si>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</si>
  <si>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</si>
  <si>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</si>
  <si>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</si>
  <si>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</si>
  <si>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</si>
  <si>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</si>
  <si>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</si>
  <si>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</si>
  <si>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</si>
  <si>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</si>
  <si>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</si>
  <si>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</si>
  <si>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</si>
  <si>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</si>
  <si>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</si>
  <si>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</si>
  <si>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</si>
  <si>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</si>
  <si>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</si>
  <si>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</si>
  <si>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</si>
  <si>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</si>
  <si>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</si>
  <si>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</si>
  <si>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</si>
  <si>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</si>
  <si>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</si>
  <si>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</si>
  <si>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</si>
  <si>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</si>
  <si>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</si>
  <si>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</si>
  <si>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</si>
  <si>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</si>
  <si>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</si>
  <si>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</si>
  <si>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</si>
  <si>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</si>
  <si>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</si>
  <si>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</si>
  <si>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</si>
  <si>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</si>
  <si>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</si>
  <si>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</si>
  <si>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</si>
  <si>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</si>
  <si>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</si>
  <si>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</si>
  <si>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</si>
  <si>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</si>
  <si>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</si>
  <si>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</si>
  <si>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</si>
  <si>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</si>
  <si>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</si>
  <si>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</si>
  <si>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</si>
  <si>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</si>
  <si>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</si>
  <si>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</si>
  <si>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</si>
  <si>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</si>
  <si>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</si>
  <si>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</si>
  <si>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</si>
  <si>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</si>
  <si>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</si>
  <si>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</si>
  <si>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</si>
  <si>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</si>
  <si>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</si>
  <si>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</si>
  <si>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</si>
  <si>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</si>
  <si>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</si>
  <si>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</si>
  <si>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</si>
  <si>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</si>
  <si>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</si>
  <si>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</si>
  <si>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</si>
  <si>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</si>
  <si>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</si>
  <si>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</si>
  <si>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</si>
  <si>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</si>
  <si>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</si>
  <si>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</si>
  <si>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</si>
  <si>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</si>
  <si>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</si>
  <si>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</si>
  <si>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</si>
  <si>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</si>
  <si>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</si>
  <si>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</si>
  <si>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</si>
  <si>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</si>
  <si>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</si>
  <si>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</si>
  <si>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</si>
  <si>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</si>
  <si>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</si>
  <si>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</si>
  <si>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</si>
  <si>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</si>
  <si>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</si>
  <si>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</si>
  <si>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</si>
  <si>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</si>
  <si>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</si>
  <si>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</si>
  <si>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</si>
  <si>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</si>
  <si>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</si>
  <si>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</si>
  <si>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</si>
  <si>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</si>
  <si>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</si>
  <si>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</si>
  <si>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</si>
  <si>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</si>
  <si>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</si>
  <si>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</si>
  <si>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</si>
  <si>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</si>
  <si>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</si>
  <si>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</si>
  <si>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</si>
  <si>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</si>
  <si>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</si>
  <si>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</si>
  <si>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</si>
  <si>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</si>
  <si>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</si>
  <si>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</si>
  <si>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</si>
  <si>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</si>
  <si>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</si>
  <si>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</si>
  <si>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</si>
  <si>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</si>
  <si>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</si>
  <si>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</si>
  <si>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</si>
  <si>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</si>
  <si>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</si>
  <si>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</si>
  <si>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</si>
  <si>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</si>
  <si>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</si>
  <si>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</si>
  <si>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</si>
  <si>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</si>
  <si>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</si>
  <si>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</si>
  <si>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</si>
  <si>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</si>
  <si>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</si>
  <si>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</si>
  <si>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</si>
  <si>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</si>
  <si>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</si>
  <si>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</si>
  <si>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</si>
  <si>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</si>
  <si>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</si>
  <si>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</si>
  <si>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</si>
  <si>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</si>
  <si>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</si>
  <si>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</si>
  <si>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</si>
  <si>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</si>
  <si>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</si>
  <si>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</si>
  <si>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</si>
  <si>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</si>
  <si>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</si>
  <si>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</si>
  <si>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</si>
  <si>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</si>
  <si>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</si>
  <si>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</si>
  <si>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</si>
  <si>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</si>
  <si>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</si>
  <si>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</si>
  <si>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</si>
  <si>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</si>
  <si>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</si>
  <si>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</si>
  <si>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</si>
  <si>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</si>
  <si>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</si>
  <si>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</si>
  <si>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</si>
  <si>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</si>
  <si>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</si>
  <si>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</si>
  <si>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</si>
  <si>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</si>
  <si>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</si>
  <si>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</si>
  <si>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</si>
  <si>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</si>
  <si>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</si>
  <si>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</si>
  <si>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</si>
  <si>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</si>
  <si>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</si>
  <si>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</si>
  <si>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</si>
  <si>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</si>
  <si>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</si>
  <si>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</si>
  <si>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</si>
  <si>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</si>
  <si>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</si>
  <si>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</si>
  <si>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</si>
  <si>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</si>
  <si>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</si>
  <si>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</si>
  <si>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</si>
  <si>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</si>
  <si>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</si>
  <si>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</si>
  <si>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</si>
  <si>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</si>
  <si>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</si>
  <si>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</si>
  <si>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</si>
  <si>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</si>
  <si>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</si>
  <si>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</si>
  <si>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</si>
  <si>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</si>
  <si>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</si>
  <si>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</si>
  <si>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</si>
  <si>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</si>
  <si>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</si>
  <si>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</si>
  <si>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</si>
  <si>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</si>
  <si>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</si>
  <si>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</si>
  <si>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</si>
  <si>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</si>
  <si>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</si>
  <si>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</si>
  <si>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</si>
  <si>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</si>
  <si>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</si>
  <si>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</si>
  <si>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</si>
  <si>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</si>
  <si>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</si>
  <si>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</si>
  <si>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</si>
  <si>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</si>
  <si>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</si>
  <si>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</si>
  <si>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</si>
  <si>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</si>
  <si>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</si>
  <si>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</si>
  <si>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</si>
  <si>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</si>
  <si>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</si>
  <si>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</si>
  <si>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</si>
  <si>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</si>
  <si>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</si>
  <si>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</si>
  <si>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</si>
  <si>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</si>
  <si>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</si>
  <si>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</si>
  <si>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</si>
  <si>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</si>
  <si>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</si>
  <si>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</si>
  <si>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</si>
  <si>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</si>
  <si>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</si>
  <si>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</si>
  <si>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</si>
  <si>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</si>
  <si>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</si>
  <si>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</si>
  <si>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</si>
  <si>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</si>
  <si>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</si>
  <si>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</si>
  <si>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</si>
  <si>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</si>
  <si>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</si>
  <si>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</si>
  <si>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</si>
  <si>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</si>
  <si>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</si>
  <si>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</si>
  <si>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</si>
  <si>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</si>
  <si>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</si>
  <si>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</si>
  <si>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</si>
  <si>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</si>
  <si>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</si>
  <si>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</si>
  <si>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</si>
  <si>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</si>
  <si>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</si>
  <si>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</si>
  <si>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</si>
  <si>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</si>
  <si>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</si>
  <si>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</si>
  <si>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</si>
  <si>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</si>
  <si>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</si>
  <si>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</si>
  <si>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</si>
  <si>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</si>
  <si>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</si>
  <si>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</si>
  <si>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</si>
  <si>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</si>
  <si>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</si>
  <si>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</si>
  <si>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</si>
  <si>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</si>
  <si>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</si>
  <si>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</si>
  <si>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</si>
  <si>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</si>
  <si>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</si>
  <si>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</si>
  <si>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</si>
  <si>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</si>
  <si>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</si>
  <si>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</si>
  <si>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</si>
  <si>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</si>
  <si>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</si>
  <si>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</si>
  <si>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</si>
  <si>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</si>
  <si>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</si>
  <si>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</si>
  <si>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</si>
  <si>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</si>
  <si>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</si>
  <si>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</si>
  <si>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</si>
  <si>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</si>
  <si>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</si>
  <si>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</si>
  <si>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</si>
  <si>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</si>
  <si>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</si>
  <si>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</si>
  <si>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</si>
  <si>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</si>
  <si>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</si>
  <si>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</si>
  <si>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</si>
  <si>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</si>
  <si>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</si>
  <si>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</si>
  <si>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</si>
  <si>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</si>
  <si>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</si>
  <si>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</si>
  <si>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</si>
  <si>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</si>
  <si>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</si>
  <si>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</si>
  <si>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</si>
  <si>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</si>
  <si>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</si>
  <si>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</si>
  <si>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</si>
  <si>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</si>
  <si>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</si>
  <si>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</si>
  <si>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</si>
  <si>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</si>
  <si>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</si>
  <si>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</si>
  <si>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</si>
  <si>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</si>
  <si>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</si>
  <si>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</si>
  <si>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</si>
  <si>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</si>
  <si>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</si>
  <si>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</si>
  <si>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</si>
  <si>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</si>
  <si>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</si>
  <si>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</si>
  <si>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</si>
  <si>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</si>
  <si>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</si>
  <si>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</si>
  <si>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</si>
  <si>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</si>
  <si>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</si>
  <si>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</si>
  <si>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</si>
  <si>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</si>
  <si>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</si>
  <si>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</si>
  <si>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</si>
  <si>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</si>
  <si>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</si>
  <si>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</si>
  <si>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</si>
  <si>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</si>
  <si>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</si>
  <si>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</si>
  <si>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</si>
  <si>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</si>
  <si>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</si>
  <si>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</si>
  <si>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</si>
  <si>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</si>
  <si>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</si>
  <si>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</si>
  <si>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</si>
  <si>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</si>
  <si>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</si>
  <si>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</si>
  <si>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</si>
  <si>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</si>
  <si>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</si>
  <si>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</si>
  <si>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</si>
  <si>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</si>
  <si>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</si>
  <si>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</si>
  <si>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</si>
  <si>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</si>
  <si>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</si>
  <si>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</si>
  <si>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</si>
  <si>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</si>
  <si>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</si>
  <si>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</si>
  <si>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</si>
  <si>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</si>
  <si>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</si>
  <si>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</si>
  <si>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</si>
  <si>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</si>
  <si>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</si>
  <si>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</si>
  <si>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</si>
  <si>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</si>
  <si>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</si>
  <si>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</si>
  <si>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</si>
  <si>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</si>
  <si>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</si>
  <si>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</si>
  <si>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</si>
  <si>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</si>
  <si>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</si>
  <si>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</si>
  <si>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</si>
  <si>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</si>
  <si>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</si>
  <si>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</si>
  <si>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</si>
  <si>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</si>
  <si>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</si>
  <si>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</si>
  <si>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</si>
  <si>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</si>
  <si>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</si>
  <si>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</si>
  <si>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</si>
  <si>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</si>
  <si>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</si>
  <si>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</si>
  <si>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</si>
  <si>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</si>
  <si>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</si>
  <si>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</si>
  <si>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</si>
  <si>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</si>
  <si>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</si>
  <si>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</si>
  <si>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</si>
  <si>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</si>
  <si>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</si>
  <si>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</si>
  <si>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</si>
  <si>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</si>
  <si>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</si>
  <si>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</si>
  <si>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</si>
  <si>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</si>
  <si>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</si>
  <si>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</si>
  <si>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</si>
  <si>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</si>
  <si>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</si>
  <si>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</si>
  <si>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</si>
  <si>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</si>
  <si>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</si>
  <si>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</si>
  <si>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</si>
  <si>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</si>
  <si>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</si>
  <si>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</si>
  <si>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</si>
  <si>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</si>
  <si>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</si>
  <si>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</si>
  <si>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</si>
  <si>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</si>
  <si>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</si>
  <si>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</si>
  <si>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</si>
  <si>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</si>
  <si>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</si>
  <si>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</si>
  <si>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</si>
  <si>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</si>
  <si>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</si>
  <si>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</si>
  <si>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</si>
  <si>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</si>
  <si>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</si>
  <si>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</si>
  <si>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</si>
  <si>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</si>
  <si>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</si>
  <si>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</si>
  <si>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</si>
  <si>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</si>
  <si>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</si>
  <si>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</si>
  <si>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</si>
  <si>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</si>
  <si>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</si>
  <si>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</si>
  <si>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</si>
  <si>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</si>
  <si>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</si>
  <si>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</si>
  <si>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</si>
  <si>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</si>
  <si>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</si>
  <si>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</si>
  <si>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</si>
  <si>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</si>
  <si>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</si>
  <si>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</si>
  <si>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</si>
  <si>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</si>
  <si>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</si>
  <si>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</si>
  <si>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</si>
  <si>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</si>
  <si>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</si>
  <si>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</si>
  <si>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</si>
  <si>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</si>
  <si>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</si>
  <si>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</si>
  <si>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</si>
  <si>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</si>
  <si>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</si>
  <si>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</si>
  <si>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</si>
  <si>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</si>
  <si>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</si>
  <si>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</si>
  <si>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</si>
  <si>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</si>
  <si>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</si>
  <si>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</si>
  <si>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</si>
  <si>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</si>
  <si>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</si>
  <si>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</si>
  <si>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</si>
  <si>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</si>
  <si>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</si>
  <si>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</si>
  <si>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</si>
  <si>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</si>
  <si>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</si>
  <si>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</si>
  <si>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</si>
  <si>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</si>
  <si>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</si>
  <si>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</si>
  <si>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</si>
  <si>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</si>
  <si>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</si>
  <si>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</si>
  <si>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</si>
  <si>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</si>
  <si>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</si>
  <si>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</si>
  <si>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</si>
  <si>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</si>
  <si>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</si>
  <si>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</si>
  <si>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</si>
  <si>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</si>
  <si>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</si>
  <si>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</si>
  <si>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</si>
  <si>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</si>
  <si>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</si>
  <si>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</si>
  <si>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</si>
  <si>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</si>
  <si>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</si>
  <si>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</si>
  <si>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</si>
  <si>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</si>
  <si>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</si>
  <si>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</si>
  <si>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</si>
  <si>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</si>
  <si>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</si>
  <si>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</si>
  <si>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</si>
  <si>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</si>
  <si>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</si>
  <si>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</si>
  <si>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</si>
  <si>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</si>
  <si>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</si>
  <si>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</si>
  <si>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</si>
  <si>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</si>
  <si>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</si>
  <si>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</si>
  <si>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</si>
  <si>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</si>
  <si>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</si>
  <si>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</si>
  <si>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</si>
  <si>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</si>
  <si>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</si>
  <si>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</si>
  <si>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</si>
  <si>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</si>
  <si>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</si>
  <si>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</si>
  <si>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</si>
  <si>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</si>
  <si>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</si>
  <si>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</si>
  <si>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</si>
  <si>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</si>
  <si>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</si>
  <si>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</si>
  <si>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</si>
  <si>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</si>
  <si>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</si>
  <si>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</si>
  <si>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</si>
  <si>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</si>
  <si>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</si>
  <si>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</si>
  <si>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</si>
  <si>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</si>
  <si>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</si>
  <si>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</si>
  <si>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</si>
  <si>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</si>
  <si>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</si>
  <si>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</si>
  <si>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</si>
  <si>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</si>
  <si>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</si>
  <si>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</si>
  <si>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</si>
  <si>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</si>
  <si>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</si>
  <si>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</si>
  <si>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</si>
  <si>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</si>
  <si>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</si>
  <si>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</si>
  <si>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</si>
  <si>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</si>
  <si>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</si>
  <si>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</si>
  <si>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</si>
  <si>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</si>
  <si>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</si>
  <si>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</si>
  <si>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</si>
  <si>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</si>
  <si>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</si>
  <si>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</si>
  <si>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</si>
  <si>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</si>
  <si>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</si>
  <si>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</si>
  <si>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</si>
  <si>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</si>
  <si>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</si>
  <si>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</si>
  <si>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</si>
  <si>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</si>
  <si>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</si>
  <si>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</si>
  <si>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</si>
  <si>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</si>
  <si>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</si>
  <si>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</si>
  <si>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</si>
  <si>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</si>
  <si>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</si>
  <si>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</si>
  <si>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</si>
  <si>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</si>
  <si>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</si>
  <si>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</si>
  <si>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</si>
  <si>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</si>
  <si>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</si>
  <si>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</si>
  <si>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</si>
  <si>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</si>
  <si>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</si>
  <si>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</si>
  <si>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</si>
  <si>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</si>
  <si>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</si>
  <si>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</si>
  <si>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</si>
  <si>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</si>
  <si>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</si>
  <si>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</si>
  <si>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</si>
  <si>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</si>
  <si>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</si>
  <si>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</si>
  <si>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</si>
  <si>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</si>
  <si>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</si>
  <si>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</si>
  <si>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</si>
  <si>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</si>
  <si>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</si>
  <si>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</si>
  <si>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</si>
  <si>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</si>
  <si>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</si>
  <si>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</si>
  <si>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</si>
  <si>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</si>
  <si>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</si>
  <si>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</si>
  <si>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</si>
  <si>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</si>
  <si>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</si>
  <si>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</si>
  <si>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</si>
  <si>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</si>
  <si>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</si>
  <si>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</si>
  <si>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</si>
  <si>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</si>
  <si>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</si>
  <si>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</si>
  <si>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</si>
  <si>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</si>
  <si>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</si>
  <si>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</si>
  <si>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</si>
  <si>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</si>
  <si>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</si>
  <si>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</si>
  <si>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</si>
  <si>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</si>
  <si>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</si>
  <si>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</si>
  <si>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</si>
  <si>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</si>
  <si>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</si>
  <si>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</si>
  <si>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</si>
  <si>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</si>
  <si>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</si>
  <si>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</si>
  <si>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</si>
  <si>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</si>
  <si>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</si>
  <si>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</si>
  <si>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</si>
  <si>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</si>
  <si>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</si>
  <si>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</si>
  <si>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</si>
  <si>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</si>
  <si>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</si>
  <si>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</si>
  <si>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</si>
  <si>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</si>
  <si>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</si>
  <si>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</si>
  <si>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</si>
  <si>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</si>
  <si>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</si>
  <si>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</si>
  <si>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</si>
  <si>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</si>
  <si>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</si>
  <si>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</si>
  <si>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</si>
  <si>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</si>
  <si>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</si>
  <si>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</si>
  <si>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</si>
  <si>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</si>
  <si>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</si>
  <si>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</si>
  <si>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</si>
  <si>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</si>
  <si>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</si>
  <si>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</si>
  <si>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</si>
  <si>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</si>
  <si>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</si>
  <si>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</si>
  <si>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</si>
  <si>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</si>
  <si>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</si>
  <si>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</si>
  <si>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</si>
  <si>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</si>
  <si>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</si>
  <si>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</si>
  <si>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</si>
  <si>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</si>
  <si>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</si>
  <si>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</si>
  <si>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</si>
  <si>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</si>
  <si>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</si>
  <si>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</si>
  <si>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</si>
  <si>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</si>
  <si>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</si>
  <si>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</si>
  <si>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</si>
  <si>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</si>
  <si>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</si>
  <si>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</si>
  <si>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</si>
  <si>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</si>
  <si>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</si>
  <si>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</si>
  <si>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</si>
  <si>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</si>
  <si>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</si>
  <si>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</si>
  <si>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</si>
  <si>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</si>
  <si>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</si>
  <si>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</si>
  <si>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</si>
  <si>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</si>
  <si>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</si>
  <si>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</si>
  <si>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</si>
  <si>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</si>
  <si>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</si>
  <si>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</si>
  <si>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</si>
  <si>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</si>
  <si>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</si>
  <si>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</si>
  <si>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</si>
  <si>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</si>
  <si>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</si>
  <si>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</si>
  <si>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</si>
  <si>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</si>
  <si>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</si>
  <si>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</si>
  <si>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</si>
  <si>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</si>
  <si>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</si>
  <si>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</si>
  <si>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</si>
  <si>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</si>
  <si>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</si>
  <si>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</si>
  <si>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</si>
  <si>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</si>
  <si>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</si>
  <si>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</si>
  <si>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</si>
  <si>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</si>
  <si>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</si>
  <si>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</si>
  <si>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</si>
  <si>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</si>
  <si>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</si>
  <si>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</si>
  <si>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</si>
  <si>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</si>
  <si>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</si>
  <si>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</si>
  <si>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</si>
  <si>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</si>
  <si>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</si>
  <si>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</si>
  <si>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</si>
  <si>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</si>
  <si>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</si>
  <si>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</si>
  <si>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</si>
  <si>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</si>
  <si>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</si>
  <si>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</si>
  <si>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</si>
  <si>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</si>
  <si>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</si>
  <si>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</si>
  <si>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</si>
  <si>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</si>
  <si>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</si>
  <si>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</si>
  <si>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</si>
  <si>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</si>
  <si>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</si>
  <si>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</si>
  <si>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</si>
  <si>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</si>
  <si>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</si>
  <si>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</si>
  <si>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</si>
  <si>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</si>
  <si>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</si>
  <si>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</si>
  <si>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</si>
  <si>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</si>
  <si>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</si>
  <si>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</si>
  <si>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</si>
  <si>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</si>
  <si>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</si>
  <si>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</si>
  <si>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</si>
  <si>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</si>
  <si>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</si>
  <si>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</si>
  <si>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</si>
  <si>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</si>
  <si>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</si>
  <si>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</si>
  <si>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</si>
  <si>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</si>
  <si>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</si>
  <si>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</si>
  <si>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</si>
  <si>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</si>
  <si>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</si>
  <si>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</si>
  <si>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</si>
  <si>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</si>
  <si>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</si>
  <si>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</si>
  <si>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</si>
  <si>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</si>
  <si>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</si>
  <si>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</si>
  <si>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</si>
  <si>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</si>
  <si>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</si>
  <si>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</si>
  <si>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</si>
  <si>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</si>
  <si>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</si>
  <si>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</si>
  <si>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</si>
  <si>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</si>
  <si>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</si>
  <si>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</si>
  <si>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</si>
  <si>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</si>
  <si>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</si>
  <si>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</si>
  <si>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</si>
  <si>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</si>
  <si>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</si>
  <si>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</si>
  <si>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</si>
  <si>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</si>
  <si>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</si>
  <si>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</si>
  <si>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</si>
  <si>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</si>
  <si>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</si>
  <si>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</si>
  <si>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</si>
  <si>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</si>
  <si>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</si>
  <si>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</si>
  <si>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</si>
  <si>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</si>
  <si>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</si>
  <si>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</si>
  <si>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</si>
  <si>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</si>
  <si>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</si>
  <si>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</si>
  <si>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</si>
  <si>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</si>
  <si>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</si>
  <si>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</si>
  <si>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</si>
  <si>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</si>
  <si>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</si>
  <si>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</si>
  <si>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</si>
  <si>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</si>
  <si>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</si>
  <si>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</si>
  <si>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</si>
  <si>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</si>
  <si>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</si>
  <si>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</si>
  <si>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</si>
  <si>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</si>
  <si>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</si>
  <si>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</si>
  <si>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</si>
  <si>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</si>
  <si>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</si>
  <si>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</si>
  <si>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</si>
  <si>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</si>
  <si>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</si>
  <si>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</si>
  <si>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</si>
  <si>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</si>
  <si>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</si>
  <si>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</si>
  <si>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</si>
  <si>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</si>
  <si>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</si>
  <si>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</si>
  <si>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</si>
  <si>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</si>
  <si>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</si>
  <si>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</si>
  <si>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</si>
  <si>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</si>
  <si>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</si>
  <si>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</si>
  <si>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</si>
  <si>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</si>
  <si>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</si>
  <si>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</si>
  <si>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</si>
  <si>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</si>
  <si>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</si>
  <si>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</si>
  <si>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</si>
  <si>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</si>
  <si>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</si>
  <si>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</si>
  <si>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</si>
  <si>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</si>
  <si>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</si>
  <si>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</si>
  <si>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</si>
  <si>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</si>
  <si>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</si>
  <si>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</si>
  <si>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</si>
  <si>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</si>
  <si>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</si>
  <si>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</si>
  <si>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</si>
  <si>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</si>
  <si>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</si>
  <si>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</si>
  <si>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</si>
  <si>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</si>
  <si>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</si>
  <si>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</si>
  <si>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</si>
  <si>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</si>
  <si>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</si>
  <si>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</si>
  <si>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</si>
  <si>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</si>
  <si>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</si>
  <si>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</si>
  <si>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</si>
  <si>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</si>
  <si>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</si>
  <si>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</si>
  <si>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</si>
  <si>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</si>
  <si>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</si>
  <si>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</si>
  <si>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</si>
  <si>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</si>
  <si>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</si>
  <si>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</si>
  <si>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</si>
  <si>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</si>
  <si>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</si>
  <si>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</si>
  <si>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</si>
  <si>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</si>
  <si>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</si>
  <si>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</si>
  <si>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</si>
  <si>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</si>
  <si>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</si>
  <si>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</si>
  <si>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</si>
  <si>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</si>
  <si>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</si>
  <si>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</si>
  <si>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</si>
  <si>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</si>
  <si>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</si>
  <si>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</si>
  <si>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</si>
  <si>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</si>
  <si>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</si>
  <si>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</si>
  <si>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</si>
  <si>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</si>
  <si>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</si>
  <si>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</si>
  <si>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</si>
  <si>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</si>
  <si>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</si>
  <si>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</si>
  <si>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</si>
  <si>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</si>
  <si>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</si>
  <si>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</si>
  <si>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</si>
  <si>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</si>
  <si>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</si>
  <si>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</si>
  <si>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</si>
  <si>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</si>
  <si>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</si>
  <si>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</si>
  <si>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</si>
  <si>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</si>
  <si>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</si>
  <si>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</si>
  <si>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</si>
  <si>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</si>
  <si>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</si>
  <si>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</si>
  <si>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</si>
  <si>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</si>
  <si>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</si>
  <si>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</si>
  <si>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</si>
  <si>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</si>
  <si>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</si>
  <si>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</si>
  <si>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</si>
  <si>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</si>
  <si>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</si>
  <si>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</si>
  <si>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</si>
  <si>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</si>
  <si>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</si>
  <si>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</si>
  <si>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</si>
  <si>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</si>
  <si>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</si>
  <si>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</si>
  <si>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</si>
  <si>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</si>
  <si>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</si>
  <si>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</si>
  <si>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</si>
  <si>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</si>
  <si>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</si>
  <si>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</si>
  <si>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</si>
  <si>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</si>
  <si>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</si>
  <si>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</si>
  <si>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</si>
  <si>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</si>
  <si>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</si>
  <si>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</si>
  <si>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</si>
  <si>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</si>
  <si>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</si>
  <si>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</si>
  <si>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</si>
  <si>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</si>
  <si>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</si>
  <si>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</si>
  <si>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</si>
  <si>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</si>
  <si>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</si>
  <si>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</si>
  <si>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</si>
  <si>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</si>
  <si>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</si>
  <si>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</si>
  <si>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</si>
  <si>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</si>
  <si>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</si>
  <si>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</si>
  <si>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</si>
  <si>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</si>
  <si>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</si>
  <si>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</si>
  <si>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</si>
  <si>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</si>
  <si>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</si>
  <si>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</si>
  <si>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</si>
  <si>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</si>
  <si>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</si>
  <si>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</si>
  <si>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</si>
  <si>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</si>
  <si>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</si>
  <si>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</si>
  <si>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</si>
  <si>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</si>
  <si>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</si>
  <si>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</si>
  <si>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</si>
  <si>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</si>
  <si>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</si>
  <si>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</si>
  <si>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</si>
  <si>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</si>
  <si>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</si>
  <si>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</si>
  <si>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</si>
  <si>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</si>
  <si>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</si>
  <si>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</si>
  <si>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</si>
  <si>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</si>
  <si>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</si>
  <si>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</si>
  <si>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</si>
  <si>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</si>
  <si>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</si>
  <si>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</si>
  <si>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</si>
  <si>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</si>
  <si>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</si>
  <si>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</si>
  <si>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</si>
  <si>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</si>
  <si>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</si>
  <si>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</si>
  <si>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</si>
  <si>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</si>
  <si>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</si>
  <si>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</si>
  <si>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</si>
  <si>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</si>
  <si>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</si>
  <si>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</si>
  <si>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</si>
  <si>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</si>
  <si>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</si>
  <si>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</si>
  <si>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</si>
  <si>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</si>
  <si>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</si>
  <si>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</si>
  <si>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</si>
  <si>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</si>
  <si>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</si>
  <si>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</si>
  <si>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</si>
  <si>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</si>
  <si>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</si>
  <si>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</si>
  <si>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</si>
  <si>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</si>
  <si>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</si>
  <si>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</si>
  <si>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</si>
  <si>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</si>
  <si>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</si>
  <si>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</si>
  <si>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</si>
  <si>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</si>
  <si>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</si>
  <si>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</si>
  <si>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</si>
  <si>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</si>
  <si>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</si>
  <si>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</si>
  <si>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</si>
  <si>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</si>
  <si>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</si>
  <si>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</si>
  <si>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</si>
  <si>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</si>
  <si>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</si>
  <si>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</si>
  <si>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</si>
  <si>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</si>
  <si>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</si>
  <si>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</si>
  <si>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</si>
  <si>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</si>
  <si>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</si>
  <si>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</si>
  <si>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</si>
  <si>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</si>
  <si>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</si>
  <si>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</si>
  <si>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</si>
  <si>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</si>
  <si>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</si>
  <si>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</si>
  <si>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</si>
  <si>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</si>
  <si>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</si>
  <si>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</si>
  <si>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</si>
  <si>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</si>
  <si>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</si>
  <si>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</si>
  <si>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</si>
  <si>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</si>
  <si>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</si>
  <si>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</si>
  <si>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</si>
  <si>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</si>
  <si>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</si>
  <si>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</si>
  <si>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</si>
  <si>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</si>
  <si>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</si>
  <si>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</si>
  <si>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</si>
  <si>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</si>
  <si>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</si>
  <si>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</si>
  <si>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</si>
  <si>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</si>
  <si>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</si>
  <si>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</si>
  <si>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</si>
  <si>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</si>
  <si>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</si>
  <si>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</si>
  <si>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</si>
  <si>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</si>
  <si>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</si>
  <si>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</si>
  <si>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</si>
  <si>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</si>
  <si>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</si>
  <si>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</si>
  <si>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</si>
  <si>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</si>
  <si>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</si>
  <si>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</si>
  <si>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</si>
  <si>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</si>
  <si>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</si>
  <si>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</si>
  <si>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</si>
  <si>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</si>
  <si>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</si>
  <si>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</si>
  <si>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</si>
  <si>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</si>
  <si>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</si>
  <si>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</si>
  <si>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</si>
  <si>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</si>
  <si>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</si>
  <si>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</si>
  <si>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</si>
  <si>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</si>
  <si>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</si>
  <si>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</si>
  <si>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</si>
  <si>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</si>
  <si>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</si>
  <si>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</si>
  <si>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</si>
  <si>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</si>
  <si>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</si>
  <si>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</si>
  <si>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</si>
  <si>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</si>
  <si>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</si>
  <si>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</si>
  <si>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</si>
  <si>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</si>
  <si>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</si>
  <si>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</si>
  <si>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</si>
  <si>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</si>
  <si>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</si>
  <si>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</si>
  <si>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</si>
  <si>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</si>
  <si>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</si>
  <si>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</si>
  <si>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</si>
  <si>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</si>
  <si>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</si>
  <si>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</si>
  <si>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</si>
  <si>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</si>
  <si>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</si>
  <si>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</si>
  <si>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</si>
  <si>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</si>
  <si>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</si>
  <si>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</si>
  <si>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</si>
  <si>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</si>
  <si>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</si>
  <si>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</si>
  <si>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</si>
  <si>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</si>
  <si>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</si>
  <si>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</si>
  <si>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</si>
  <si>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</si>
  <si>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</si>
  <si>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</si>
  <si>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</si>
  <si>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</si>
  <si>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</si>
  <si>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</si>
  <si>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</si>
  <si>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</si>
  <si>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</si>
  <si>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</si>
  <si>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</si>
  <si>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</si>
  <si>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</si>
  <si>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</si>
  <si>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</si>
  <si>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</si>
  <si>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</si>
  <si>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</si>
  <si>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</si>
  <si>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</si>
  <si>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</si>
  <si>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</si>
  <si>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</si>
  <si>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</si>
  <si>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</si>
  <si>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</si>
  <si>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</si>
  <si>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</si>
  <si>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</si>
  <si>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</si>
  <si>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</si>
  <si>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</si>
  <si>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</si>
  <si>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</si>
  <si>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</si>
  <si>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</si>
  <si>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</si>
  <si>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</si>
  <si>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</si>
  <si>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</si>
  <si>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</si>
  <si>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</si>
  <si>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</si>
  <si>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</si>
  <si>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</si>
  <si>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</si>
  <si>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</si>
  <si>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</si>
  <si>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</si>
  <si>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</si>
  <si>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</si>
  <si>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</si>
  <si>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</si>
  <si>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</si>
  <si>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</si>
  <si>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</si>
  <si>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</si>
  <si>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</si>
  <si>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</si>
  <si>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</si>
  <si>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</si>
  <si>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</si>
  <si>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</si>
  <si>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</si>
  <si>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</si>
  <si>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</si>
  <si>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</si>
  <si>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</si>
  <si>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</si>
  <si>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</si>
  <si>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</si>
  <si>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</si>
  <si>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</si>
  <si>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</si>
  <si>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</si>
  <si>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</si>
  <si>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</si>
  <si>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</si>
  <si>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</si>
  <si>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</si>
  <si>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</si>
  <si>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</si>
  <si>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</si>
  <si>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</si>
  <si>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</si>
  <si>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</si>
  <si>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</si>
  <si>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</si>
  <si>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</si>
  <si>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</si>
  <si>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</si>
  <si>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</si>
  <si>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</si>
  <si>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</si>
  <si>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</si>
  <si>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</si>
  <si>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</si>
  <si>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</si>
  <si>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</si>
  <si>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</si>
  <si>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</si>
  <si>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</si>
  <si>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</si>
  <si>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</si>
  <si>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</si>
  <si>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</si>
  <si>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</si>
  <si>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</si>
  <si>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</si>
  <si>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</si>
  <si>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</si>
  <si>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</si>
  <si>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</si>
  <si>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</si>
  <si>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</si>
  <si>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</si>
  <si>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</si>
  <si>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</si>
  <si>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</si>
  <si>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</si>
  <si>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</si>
  <si>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</si>
  <si>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</si>
  <si>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</si>
  <si>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</si>
  <si>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</si>
  <si>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</si>
  <si>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</si>
  <si>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</si>
  <si>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</si>
  <si>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</si>
  <si>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</si>
  <si>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</si>
  <si>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</si>
  <si>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</si>
  <si>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</si>
  <si>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</si>
  <si>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</si>
  <si>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</si>
  <si>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</si>
  <si>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</si>
  <si>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</si>
  <si>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</si>
  <si>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</si>
  <si>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</si>
  <si>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</si>
  <si>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</si>
  <si>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</si>
  <si>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</si>
  <si>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</si>
  <si>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</si>
  <si>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</si>
  <si>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</si>
  <si>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</si>
  <si>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</si>
  <si>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</si>
  <si>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</si>
  <si>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</si>
  <si>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</si>
  <si>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</si>
  <si>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</si>
  <si>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</si>
  <si>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</si>
  <si>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</si>
  <si>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</si>
  <si>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</si>
  <si>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</si>
  <si>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</si>
  <si>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</si>
  <si>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</si>
  <si>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</si>
  <si>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</si>
  <si>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</si>
  <si>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</si>
  <si>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</si>
  <si>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</si>
  <si>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</si>
  <si>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</si>
  <si>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</si>
  <si>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</si>
  <si>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</si>
  <si>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</si>
  <si>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</si>
  <si>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</si>
  <si>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</si>
  <si>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</si>
  <si>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</si>
  <si>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</si>
  <si>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</si>
  <si>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</si>
  <si>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</si>
  <si>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</si>
  <si>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</si>
  <si>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</si>
  <si>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</si>
  <si>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</si>
  <si>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</si>
  <si>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</si>
  <si>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</si>
  <si>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</si>
  <si>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</si>
  <si>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</si>
  <si>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</si>
  <si>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</si>
  <si>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</si>
  <si>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</si>
  <si>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</si>
  <si>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</si>
  <si>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</si>
  <si>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</si>
  <si>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</si>
  <si>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</si>
  <si>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</si>
  <si>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</si>
  <si>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</si>
  <si>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</si>
  <si>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</si>
  <si>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</si>
  <si>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</si>
  <si>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</si>
  <si>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</si>
  <si>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</si>
  <si>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</si>
  <si>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</si>
  <si>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</si>
  <si>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</si>
  <si>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</si>
  <si>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</si>
  <si>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</si>
  <si>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</si>
  <si>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</si>
  <si>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</si>
  <si>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</si>
  <si>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</si>
  <si>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</si>
  <si>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</si>
  <si>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</si>
  <si>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</si>
  <si>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</si>
  <si>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</si>
  <si>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</si>
  <si>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</si>
  <si>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</si>
  <si>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</si>
  <si>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</si>
  <si>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</si>
  <si>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</si>
  <si>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</si>
  <si>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</si>
  <si>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</si>
  <si>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</si>
  <si>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</si>
  <si>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</si>
  <si>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</si>
  <si>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</si>
  <si>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</si>
  <si>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</si>
  <si>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</si>
  <si>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</si>
  <si>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</si>
  <si>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</si>
  <si>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</si>
  <si>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</si>
  <si>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</si>
  <si>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</si>
  <si>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</si>
  <si>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</si>
  <si>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</si>
  <si>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</si>
  <si>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</si>
  <si>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</si>
  <si>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</si>
  <si>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</si>
  <si>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</si>
  <si>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</si>
  <si>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</si>
  <si>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</si>
  <si>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</si>
  <si>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</si>
  <si>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</si>
  <si>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</si>
  <si>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</si>
  <si>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</si>
  <si>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</si>
  <si>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</si>
  <si>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</si>
  <si>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</si>
  <si>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</si>
  <si>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</si>
  <si>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</si>
  <si>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</si>
  <si>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</si>
  <si>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</si>
  <si>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</si>
  <si>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</si>
  <si>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</si>
  <si>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</si>
  <si>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</si>
  <si>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</si>
  <si>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</si>
  <si>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</si>
  <si>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</si>
  <si>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</si>
  <si>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</si>
  <si>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</si>
  <si>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</si>
  <si>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</si>
  <si>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</si>
  <si>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</si>
  <si>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</si>
  <si>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</si>
  <si>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</si>
  <si>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</si>
  <si>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</si>
  <si>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</si>
  <si>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</si>
  <si>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</si>
  <si>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</si>
  <si>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</si>
  <si>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</si>
  <si>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</si>
  <si>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</si>
  <si>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</si>
  <si>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</si>
  <si>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</si>
  <si>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</si>
  <si>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</si>
  <si>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</si>
  <si>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</si>
  <si>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</si>
  <si>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</si>
  <si>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</si>
  <si>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</si>
  <si>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</si>
  <si>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</si>
  <si>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</si>
  <si>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</si>
  <si>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</si>
  <si>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</si>
  <si>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</si>
  <si>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</si>
  <si>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</si>
  <si>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</si>
  <si>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</si>
  <si>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</si>
  <si>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</si>
  <si>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</si>
  <si>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</si>
  <si>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</si>
  <si>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</si>
  <si>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</si>
  <si>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</si>
  <si>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</si>
  <si>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</si>
  <si>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</si>
  <si>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</si>
  <si>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</si>
  <si>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</si>
  <si>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</si>
  <si>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</si>
  <si>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</si>
  <si>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</si>
  <si>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</si>
  <si>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</si>
  <si>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</si>
  <si>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</si>
  <si>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</si>
  <si>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</si>
  <si>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</si>
  <si>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</si>
  <si>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</si>
  <si>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</si>
  <si>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</si>
  <si>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</si>
  <si>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</si>
  <si>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</si>
  <si>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</si>
  <si>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</si>
  <si>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</si>
  <si>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</si>
  <si>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</si>
  <si>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</si>
  <si>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</si>
  <si>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</si>
  <si>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</si>
  <si>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</si>
  <si>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</si>
  <si>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</si>
  <si>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</si>
  <si>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</si>
  <si>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</si>
  <si>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</si>
  <si>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</si>
  <si>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</si>
  <si>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</si>
  <si>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</si>
  <si>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</si>
  <si>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</si>
  <si>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</si>
  <si>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</si>
  <si>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</si>
  <si>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</si>
  <si>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</si>
  <si>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</si>
  <si>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</si>
  <si>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</si>
  <si>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</si>
  <si>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</si>
  <si>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</si>
  <si>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</si>
  <si>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</si>
  <si>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</si>
  <si>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</si>
  <si>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</si>
  <si>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</si>
  <si>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</si>
  <si>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</si>
  <si>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</si>
  <si>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</si>
  <si>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</si>
  <si>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</si>
  <si>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</si>
  <si>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</si>
  <si>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</si>
  <si>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</si>
  <si>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</si>
  <si>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</si>
  <si>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</si>
  <si>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</si>
  <si>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</si>
  <si>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</si>
  <si>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</si>
  <si>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</si>
  <si>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</si>
  <si>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</si>
  <si>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</si>
  <si>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</si>
  <si>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</si>
  <si>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</si>
  <si>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</si>
  <si>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</si>
  <si>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</si>
  <si>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</si>
  <si>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</si>
  <si>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</si>
  <si>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</si>
  <si>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</si>
  <si>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</si>
  <si>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</si>
  <si>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</si>
  <si>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</si>
  <si>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</si>
  <si>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</si>
  <si>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</si>
  <si>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</si>
  <si>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</si>
  <si>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</si>
  <si>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</si>
  <si>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</si>
  <si>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</si>
  <si>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</si>
  <si>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</si>
  <si>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</si>
  <si>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</si>
  <si>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</si>
  <si>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</si>
  <si>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</si>
  <si>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</si>
  <si>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</si>
  <si>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</si>
  <si>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</si>
  <si>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</si>
  <si>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</si>
  <si>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</si>
  <si>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</si>
  <si>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</si>
  <si>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</si>
  <si>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</si>
  <si>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</si>
  <si>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</si>
  <si>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</si>
  <si>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</si>
  <si>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</si>
  <si>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</si>
  <si>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</si>
  <si>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</si>
  <si>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</si>
  <si>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</si>
  <si>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</si>
  <si>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</si>
  <si>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</si>
  <si>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</si>
  <si>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</si>
  <si>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</si>
  <si>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</si>
  <si>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</si>
  <si>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</si>
  <si>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</si>
  <si>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</si>
  <si>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</si>
  <si>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</si>
  <si>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</si>
  <si>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</si>
  <si>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</si>
  <si>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</si>
  <si>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</si>
  <si>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</si>
  <si>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</si>
  <si>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</si>
  <si>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</si>
  <si>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</si>
  <si>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</si>
  <si>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</si>
  <si>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</si>
  <si>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</si>
  <si>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</si>
  <si>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</si>
  <si>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</si>
  <si>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</si>
  <si>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</si>
  <si>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</si>
  <si>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</si>
  <si>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</si>
  <si>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</si>
  <si>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</si>
  <si>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</si>
  <si>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</si>
  <si>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</si>
  <si>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</si>
  <si>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</si>
  <si>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</si>
  <si>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</si>
  <si>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</si>
  <si>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</si>
  <si>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</si>
  <si>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</si>
  <si>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</si>
  <si>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</si>
  <si>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</si>
  <si>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</si>
  <si>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</si>
  <si>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</si>
  <si>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</si>
  <si>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</si>
  <si>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</si>
  <si>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</si>
  <si>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</si>
  <si>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</si>
  <si>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</si>
  <si>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</si>
  <si>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</si>
  <si>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</si>
  <si>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</si>
  <si>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</si>
  <si>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</si>
  <si>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</si>
  <si>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</si>
  <si>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</si>
  <si>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</si>
  <si>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</si>
  <si>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</si>
  <si>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</si>
  <si>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</si>
  <si>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</si>
  <si>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</si>
  <si>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</si>
  <si>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</si>
  <si>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</si>
  <si>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</si>
  <si>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</si>
  <si>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</si>
  <si>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</si>
  <si>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</si>
  <si>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</si>
  <si>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</si>
  <si>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</si>
  <si>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</si>
  <si>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</si>
  <si>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</si>
  <si>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</si>
  <si>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</si>
  <si>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</si>
  <si>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</si>
  <si>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</si>
  <si>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</si>
  <si>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</si>
  <si>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</si>
  <si>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</si>
  <si>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</si>
  <si>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</si>
  <si>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</si>
  <si>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</si>
  <si>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</si>
  <si>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</si>
  <si>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</si>
  <si>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</si>
  <si>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</si>
  <si>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</si>
  <si>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</si>
  <si>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</si>
  <si>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</si>
  <si>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</si>
  <si>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</si>
  <si>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</si>
  <si>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</si>
  <si>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</si>
  <si>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</si>
  <si>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</si>
  <si>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</si>
  <si>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</si>
  <si>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</si>
  <si>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</si>
  <si>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</si>
  <si>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</si>
  <si>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</si>
  <si>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</si>
  <si>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</si>
  <si>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</si>
  <si>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</si>
  <si>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</si>
  <si>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</si>
  <si>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</si>
  <si>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</si>
  <si>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</si>
  <si>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</si>
  <si>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</si>
  <si>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</si>
  <si>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</si>
  <si>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</si>
  <si>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</si>
  <si>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</si>
  <si>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</si>
  <si>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</si>
  <si>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</si>
  <si>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</si>
  <si>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</si>
  <si>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</si>
  <si>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</si>
  <si>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</si>
  <si>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</si>
  <si>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</si>
  <si>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</si>
  <si>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</si>
  <si>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</si>
  <si>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</si>
  <si>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</si>
  <si>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</si>
  <si>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</si>
  <si>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</si>
  <si>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</si>
  <si>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</si>
  <si>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</si>
  <si>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</si>
  <si>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</si>
  <si>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</si>
  <si>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</si>
  <si>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</si>
  <si>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</si>
  <si>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</si>
  <si>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</si>
  <si>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</si>
  <si>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</si>
  <si>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</si>
  <si>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</si>
  <si>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</si>
  <si>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</si>
  <si>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</si>
  <si>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</si>
  <si>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</si>
  <si>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</si>
  <si>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</si>
  <si>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</si>
  <si>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</si>
  <si>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</si>
  <si>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</si>
  <si>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</si>
  <si>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</si>
  <si>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</si>
  <si>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</si>
  <si>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</si>
  <si>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</si>
  <si>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</si>
  <si>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</si>
  <si>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</si>
  <si>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</si>
  <si>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</si>
  <si>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</si>
  <si>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</si>
  <si>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</si>
  <si>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</si>
  <si>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</si>
  <si>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</si>
  <si>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</si>
  <si>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</si>
  <si>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</si>
  <si>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</si>
  <si>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</si>
  <si>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</si>
  <si>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</si>
  <si>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</si>
  <si>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</si>
  <si>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</si>
  <si>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</si>
  <si>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</si>
  <si>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</si>
  <si>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</si>
  <si>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</si>
  <si>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</si>
  <si>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</si>
  <si>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</si>
  <si>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</si>
  <si>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</si>
  <si>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</si>
  <si>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</si>
  <si>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</si>
  <si>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</si>
  <si>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</si>
  <si>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</si>
  <si>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</si>
  <si>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</si>
  <si>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</si>
  <si>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</si>
  <si>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</si>
  <si>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</si>
  <si>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</si>
  <si>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</si>
  <si>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</si>
  <si>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</si>
  <si>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</si>
  <si>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</si>
  <si>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</si>
  <si>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</si>
  <si>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</si>
  <si>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</si>
  <si>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</si>
  <si>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</si>
  <si>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</si>
  <si>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</si>
  <si>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</si>
  <si>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</si>
  <si>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</si>
  <si>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</si>
  <si>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</si>
  <si>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</si>
  <si>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</si>
  <si>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</si>
  <si>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</si>
  <si>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</si>
  <si>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</si>
  <si>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</si>
  <si>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</si>
  <si>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</si>
  <si>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</si>
  <si>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</si>
  <si>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</si>
  <si>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</si>
  <si>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</si>
  <si>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</si>
  <si>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</si>
  <si>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</si>
  <si>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</si>
  <si>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</si>
  <si>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</si>
  <si>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</si>
  <si>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</si>
  <si>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</si>
  <si>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</si>
  <si>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</si>
  <si>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</si>
  <si>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</si>
  <si>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</si>
  <si>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</si>
  <si>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</si>
  <si>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</si>
  <si>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</si>
  <si>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</si>
  <si>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</si>
  <si>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</si>
  <si>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</si>
  <si>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</si>
  <si>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</si>
  <si>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</si>
  <si>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</si>
  <si>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</si>
  <si>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</si>
  <si>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</si>
  <si>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</si>
  <si>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</si>
  <si>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</si>
  <si>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</si>
  <si>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</si>
  <si>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</si>
  <si>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</si>
  <si>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</si>
  <si>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</si>
  <si>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</si>
  <si>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</si>
  <si>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</si>
  <si>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</si>
  <si>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</si>
  <si>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</si>
  <si>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</si>
  <si>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</si>
  <si>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</si>
  <si>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</si>
  <si>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</si>
  <si>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</si>
  <si>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</si>
  <si>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</si>
  <si>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</si>
  <si>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</si>
  <si>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</si>
  <si>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</si>
  <si>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</si>
  <si>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</si>
  <si>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</si>
  <si>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</si>
  <si>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</si>
  <si>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</si>
  <si>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</si>
  <si>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</si>
  <si>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</si>
  <si>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</si>
  <si>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</si>
  <si>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</si>
  <si>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</si>
  <si>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</si>
  <si>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</si>
  <si>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</si>
  <si>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</si>
  <si>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</si>
  <si>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</si>
  <si>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</si>
  <si>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</si>
  <si>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</si>
  <si>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</si>
  <si>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</si>
  <si>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</si>
  <si>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</si>
  <si>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</si>
  <si>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</si>
  <si>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</si>
  <si>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</si>
  <si>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</si>
  <si>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</si>
  <si>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</si>
  <si>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</si>
  <si>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</si>
  <si>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</si>
  <si>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</si>
  <si>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</si>
  <si>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</si>
  <si>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</si>
  <si>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</si>
  <si>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</si>
  <si>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</si>
  <si>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</si>
  <si>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</si>
  <si>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</si>
  <si>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</si>
  <si>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</si>
  <si>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</si>
  <si>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</si>
  <si>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</si>
  <si>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</si>
  <si>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</si>
  <si>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</si>
  <si>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</si>
  <si>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</si>
  <si>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</si>
  <si>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</si>
  <si>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</si>
  <si>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</si>
  <si>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</si>
  <si>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</si>
  <si>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</si>
  <si>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</si>
  <si>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</si>
  <si>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</si>
  <si>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</si>
  <si>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</si>
  <si>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</si>
  <si>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</si>
  <si>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</si>
  <si>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</si>
  <si>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</si>
  <si>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</si>
  <si>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</si>
  <si>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</si>
  <si>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</si>
  <si>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</si>
  <si>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</si>
  <si>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</si>
  <si>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</si>
  <si>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</si>
  <si>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</si>
  <si>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</si>
  <si>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</si>
  <si>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</si>
  <si>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</si>
  <si>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</si>
  <si>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</si>
  <si>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</si>
  <si>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</si>
  <si>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</si>
  <si>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</si>
  <si>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</si>
  <si>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</si>
  <si>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</si>
  <si>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</si>
  <si>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</si>
  <si>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</si>
  <si>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</si>
  <si>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</si>
  <si>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</si>
  <si>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</si>
  <si>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</si>
  <si>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</si>
  <si>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</si>
  <si>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</si>
  <si>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</si>
  <si>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</si>
  <si>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</si>
  <si>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</si>
  <si>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</si>
  <si>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</si>
  <si>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</si>
  <si>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</si>
  <si>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</si>
  <si>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</si>
  <si>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</si>
  <si>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</si>
  <si>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</si>
  <si>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</si>
  <si>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</si>
  <si>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</si>
  <si>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</si>
  <si>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</si>
  <si>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</si>
  <si>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</si>
  <si>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</si>
  <si>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</si>
  <si>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</si>
  <si>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</si>
  <si>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</si>
  <si>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</si>
  <si>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</si>
  <si>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</si>
  <si>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</si>
  <si>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</si>
  <si>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</si>
  <si>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</si>
  <si>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</si>
  <si>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</si>
  <si>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</si>
  <si>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</si>
  <si>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</si>
  <si>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</si>
  <si>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</si>
  <si>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</si>
  <si>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</si>
  <si>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</si>
  <si>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</si>
  <si>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</si>
  <si>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</si>
  <si>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</si>
  <si>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</si>
  <si>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</si>
  <si>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</si>
  <si>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</si>
  <si>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</si>
  <si>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</si>
  <si>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</si>
  <si>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</si>
  <si>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</si>
  <si>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</si>
  <si>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</si>
  <si>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</si>
  <si>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</si>
  <si>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</si>
  <si>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</si>
  <si>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</si>
  <si>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</si>
  <si>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</si>
  <si>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</si>
  <si>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</si>
  <si>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</si>
  <si>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</si>
  <si>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</si>
  <si>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</si>
  <si>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</si>
  <si>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</si>
  <si>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</si>
  <si>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</si>
  <si>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</si>
  <si>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</si>
  <si>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</si>
  <si>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</si>
  <si>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</si>
  <si>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</si>
  <si>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</si>
  <si>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</si>
  <si>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</si>
  <si>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</si>
  <si>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</si>
  <si>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</si>
  <si>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</si>
  <si>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</si>
  <si>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</si>
  <si>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</si>
  <si>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</si>
  <si>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</si>
  <si>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</si>
  <si>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</si>
  <si>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</si>
  <si>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</si>
  <si>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</si>
  <si>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</si>
  <si>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</si>
  <si>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</si>
  <si>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</si>
  <si>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</si>
  <si>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</si>
  <si>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</si>
  <si>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</si>
  <si>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</si>
  <si>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</si>
  <si>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</si>
  <si>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</si>
  <si>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</si>
  <si>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</si>
  <si>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</si>
  <si>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</si>
  <si>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</si>
  <si>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</si>
  <si>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</si>
  <si>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</si>
  <si>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</si>
  <si>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</si>
  <si>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</si>
  <si>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</si>
  <si>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</si>
  <si>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</si>
  <si>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</si>
  <si>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</si>
  <si>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</si>
  <si>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</si>
  <si>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</si>
  <si>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</si>
  <si>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</si>
  <si>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</si>
  <si>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</si>
  <si>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</si>
  <si>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</si>
  <si>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</si>
  <si>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</si>
  <si>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</si>
  <si>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</si>
  <si>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</si>
  <si>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</si>
  <si>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</si>
  <si>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</si>
  <si>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</si>
  <si>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</si>
  <si>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</si>
  <si>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</si>
  <si>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</si>
  <si>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</si>
  <si>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</si>
  <si>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</si>
  <si>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</si>
  <si>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</si>
  <si>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</si>
  <si>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</si>
  <si>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</si>
  <si>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</si>
  <si>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</si>
  <si>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</si>
  <si>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</si>
  <si>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</si>
  <si>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</si>
  <si>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</si>
  <si>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</si>
  <si>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</si>
  <si>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</si>
  <si>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</si>
  <si>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</si>
  <si>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</si>
  <si>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</si>
  <si>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</si>
  <si>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</si>
  <si>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</si>
  <si>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</si>
  <si>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</si>
  <si>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</si>
  <si>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</si>
  <si>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</si>
  <si>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</si>
  <si>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</si>
  <si>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</si>
  <si>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</si>
  <si>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</si>
  <si>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</si>
  <si>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</si>
  <si>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</si>
  <si>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</si>
  <si>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</si>
  <si>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</si>
  <si>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</si>
  <si>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</si>
  <si>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</si>
  <si>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</si>
  <si>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</si>
  <si>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</si>
  <si>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</si>
  <si>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</si>
  <si>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</si>
  <si>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</si>
  <si>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</si>
  <si>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</si>
  <si>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</si>
  <si>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</si>
  <si>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</si>
  <si>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</si>
  <si>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</si>
  <si>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</si>
  <si>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</si>
  <si>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</si>
  <si>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</si>
  <si>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</si>
  <si>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</si>
  <si>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</si>
  <si>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</si>
  <si>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</si>
  <si>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</si>
  <si>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</si>
  <si>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</si>
  <si>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</si>
  <si>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</si>
  <si>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</si>
  <si>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</si>
  <si>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</si>
  <si>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</si>
  <si>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</si>
  <si>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</si>
  <si>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</si>
  <si>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</si>
  <si>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</si>
  <si>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</si>
  <si>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</si>
  <si>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</si>
  <si>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</si>
  <si>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</si>
  <si>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</si>
  <si>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</si>
  <si>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</si>
  <si>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</si>
  <si>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</si>
  <si>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</si>
  <si>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</si>
  <si>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</si>
  <si>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</si>
  <si>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</si>
  <si>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</si>
  <si>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</si>
  <si>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</si>
  <si>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</si>
  <si>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</si>
  <si>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</si>
  <si>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</si>
  <si>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</si>
  <si>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</si>
  <si>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</si>
  <si>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</si>
  <si>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</si>
  <si>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</si>
  <si>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</si>
  <si>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</si>
  <si>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</si>
  <si>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</si>
  <si>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</si>
  <si>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</si>
  <si>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</si>
  <si>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</si>
  <si>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</si>
  <si>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</si>
  <si>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</si>
  <si>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</si>
  <si>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</si>
  <si>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</si>
  <si>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</si>
  <si>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</si>
  <si>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</si>
  <si>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</si>
  <si>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</si>
  <si>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</si>
  <si>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</si>
  <si>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</si>
  <si>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</si>
  <si>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</si>
  <si>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</si>
  <si>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</si>
  <si>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</si>
  <si>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</si>
  <si>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</si>
  <si>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</si>
  <si>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</si>
  <si>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</si>
  <si>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</si>
  <si>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</si>
  <si>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</si>
  <si>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</si>
  <si>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</si>
  <si>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</si>
  <si>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</si>
  <si>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</si>
  <si>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</si>
  <si>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</si>
  <si>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</si>
  <si>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</si>
  <si>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</si>
  <si>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</si>
  <si>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</si>
  <si>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</si>
  <si>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</si>
  <si>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</si>
  <si>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</si>
  <si>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</si>
  <si>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</si>
  <si>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</si>
  <si>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</si>
  <si>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</si>
  <si>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</si>
  <si>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</si>
  <si>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</si>
  <si>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</si>
  <si>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</si>
  <si>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</si>
  <si>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</si>
  <si>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</si>
  <si>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</si>
  <si>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</si>
  <si>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</si>
  <si>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</si>
  <si>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</si>
  <si>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</si>
  <si>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</si>
  <si>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</si>
  <si>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</si>
  <si>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</si>
  <si>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</si>
  <si>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</si>
  <si>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</si>
  <si>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</si>
  <si>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</si>
  <si>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</si>
  <si>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</si>
  <si>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</si>
  <si>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</si>
  <si>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</si>
  <si>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</si>
  <si>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</si>
  <si>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</si>
  <si>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</si>
  <si>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</si>
  <si>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</si>
  <si>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</si>
  <si>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</si>
  <si>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</si>
  <si>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</si>
  <si>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</si>
  <si>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</si>
  <si>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</si>
  <si>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</si>
  <si>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</si>
  <si>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</si>
  <si>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</si>
  <si>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</si>
  <si>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</si>
  <si>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</si>
  <si>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</si>
  <si>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</si>
  <si>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</si>
  <si>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</si>
  <si>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</si>
  <si>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</si>
  <si>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</si>
  <si>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</si>
  <si>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</si>
  <si>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</si>
  <si>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</si>
  <si>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</si>
  <si>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</si>
  <si>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</si>
  <si>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</si>
  <si>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</si>
  <si>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</si>
  <si>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</si>
  <si>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</si>
  <si>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</si>
  <si>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</si>
  <si>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</si>
  <si>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</si>
  <si>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</si>
  <si>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</si>
  <si>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</si>
  <si>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</si>
  <si>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</si>
  <si>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</si>
  <si>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</si>
  <si>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</si>
  <si>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</si>
  <si>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</si>
  <si>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</si>
  <si>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</si>
  <si>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</si>
  <si>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</si>
  <si>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</si>
  <si>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</si>
  <si>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</si>
  <si>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</si>
  <si>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</si>
  <si>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</si>
  <si>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</si>
  <si>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</si>
  <si>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</si>
  <si>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</si>
  <si>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</si>
  <si>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</si>
  <si>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</si>
  <si>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</si>
  <si>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</si>
  <si>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</si>
  <si>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</si>
  <si>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</si>
  <si>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</si>
  <si>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</si>
  <si>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</si>
  <si>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</si>
  <si>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</si>
  <si>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</si>
  <si>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</si>
  <si>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</si>
  <si>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</si>
  <si>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</si>
  <si>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</si>
  <si>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</si>
  <si>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</si>
  <si>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</si>
  <si>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</si>
  <si>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</si>
  <si>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</si>
  <si>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</si>
  <si>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</si>
  <si>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</si>
  <si>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</si>
  <si>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</si>
  <si>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</si>
  <si>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</si>
  <si>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</si>
  <si>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</si>
  <si>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</si>
  <si>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</si>
  <si>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</si>
  <si>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</si>
  <si>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</si>
  <si>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</si>
  <si>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</si>
  <si>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</si>
  <si>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</si>
  <si>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</si>
  <si>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</si>
  <si>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</si>
  <si>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</si>
  <si>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</si>
  <si>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</si>
  <si>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</si>
  <si>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</si>
  <si>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</si>
  <si>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</si>
  <si>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</si>
  <si>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</si>
  <si>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</si>
  <si>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</si>
  <si>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</si>
  <si>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</si>
  <si>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</si>
  <si>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</si>
  <si>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</si>
  <si>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</si>
  <si>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</si>
  <si>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</si>
  <si>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</si>
  <si>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</si>
  <si>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</si>
  <si>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</si>
  <si>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</si>
  <si>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</si>
  <si>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</si>
  <si>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</si>
  <si>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</si>
  <si>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</si>
  <si>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</si>
  <si>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</si>
  <si>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</si>
  <si>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</si>
  <si>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</si>
  <si>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</si>
  <si>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</si>
  <si>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</si>
  <si>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</si>
  <si>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</si>
  <si>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</si>
  <si>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</si>
  <si>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</si>
  <si>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</si>
  <si>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</si>
  <si>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</si>
  <si>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</si>
  <si>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</si>
  <si>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</si>
  <si>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</si>
  <si>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</si>
  <si>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</si>
  <si>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</si>
  <si>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</si>
  <si>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</si>
  <si>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</si>
  <si>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</si>
  <si>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</si>
  <si>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</si>
  <si>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</si>
  <si>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</si>
  <si>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</si>
  <si>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</si>
  <si>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</si>
  <si>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</si>
  <si>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</si>
  <si>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</si>
  <si>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</si>
  <si>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</si>
  <si>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</si>
  <si>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</si>
  <si>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</si>
  <si>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</si>
  <si>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</si>
  <si>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</si>
  <si>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</si>
  <si>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</si>
  <si>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</si>
  <si>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</si>
  <si>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</si>
  <si>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</si>
  <si>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</si>
  <si>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</si>
  <si>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</si>
  <si>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</si>
  <si>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</si>
  <si>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</si>
  <si>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</si>
  <si>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</si>
  <si>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</si>
  <si>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</si>
  <si>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</si>
  <si>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</si>
  <si>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</si>
  <si>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</si>
  <si>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</si>
  <si>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</si>
  <si>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</si>
  <si>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</si>
  <si>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</si>
  <si>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</si>
  <si>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</si>
  <si>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</si>
  <si>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</si>
  <si>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</si>
  <si>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</si>
  <si>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</si>
  <si>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</si>
  <si>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</si>
  <si>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</si>
  <si>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</si>
  <si>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</si>
  <si>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</si>
  <si>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</si>
  <si>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</si>
  <si>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</si>
  <si>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</si>
  <si>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</si>
  <si>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</si>
  <si>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</si>
  <si>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</si>
  <si>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</si>
  <si>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</si>
  <si>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</si>
  <si>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</si>
  <si>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</si>
  <si>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</si>
  <si>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</si>
  <si>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</si>
  <si>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</si>
  <si>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</si>
  <si>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</si>
  <si>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</si>
  <si>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</si>
  <si>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</si>
  <si>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</si>
  <si>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</si>
  <si>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</si>
  <si>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</si>
  <si>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</si>
  <si>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</si>
  <si>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</si>
  <si>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</si>
  <si>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</si>
  <si>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</si>
  <si>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</si>
  <si>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</si>
  <si>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</si>
  <si>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</si>
  <si>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</si>
  <si>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</si>
  <si>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</si>
  <si>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</si>
  <si>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</si>
  <si>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</si>
  <si>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</si>
  <si>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</si>
  <si>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</si>
  <si>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</si>
  <si>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</si>
  <si>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</si>
  <si>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</si>
  <si>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</si>
  <si>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</si>
  <si>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</si>
  <si>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</si>
  <si>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</si>
  <si>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</si>
  <si>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</si>
  <si>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</si>
  <si>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</si>
  <si>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</si>
  <si>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</si>
  <si>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</si>
  <si>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</si>
  <si>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</si>
  <si>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</si>
  <si>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</si>
  <si>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</si>
  <si>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</si>
  <si>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</si>
  <si>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</si>
  <si>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</si>
  <si>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</si>
  <si>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</si>
  <si>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</si>
  <si>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</si>
  <si>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</si>
  <si>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</si>
  <si>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</si>
  <si>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</si>
  <si>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</si>
  <si>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</si>
  <si>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</si>
  <si>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</si>
  <si>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</si>
  <si>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</si>
  <si>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</si>
  <si>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</si>
  <si>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</si>
  <si>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</si>
  <si>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</si>
  <si>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</si>
  <si>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</si>
  <si>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</si>
  <si>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</si>
  <si>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</si>
  <si>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</si>
  <si>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</si>
  <si>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</si>
  <si>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</si>
  <si>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</si>
  <si>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</si>
  <si>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</si>
  <si>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</si>
  <si>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</si>
  <si>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</si>
  <si>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</si>
  <si>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</si>
  <si>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</si>
  <si>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</si>
  <si>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</si>
  <si>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</si>
  <si>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</si>
  <si>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</si>
  <si>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</si>
  <si>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</si>
  <si>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</si>
  <si>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</si>
  <si>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</si>
  <si>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</si>
  <si>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</si>
  <si>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</si>
  <si>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</si>
  <si>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</si>
  <si>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</si>
  <si>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</si>
  <si>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</si>
  <si>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</si>
  <si>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</si>
  <si>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</si>
  <si>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</si>
  <si>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</si>
  <si>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</si>
  <si>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</si>
  <si>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</si>
  <si>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</si>
  <si>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</si>
  <si>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</si>
  <si>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</si>
  <si>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</si>
  <si>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</si>
  <si>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</si>
  <si>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</si>
  <si>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</si>
  <si>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</si>
  <si>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</si>
  <si>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</si>
  <si>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</si>
  <si>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</si>
  <si>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</si>
  <si>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</si>
  <si>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</si>
  <si>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</si>
  <si>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</si>
  <si>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</si>
  <si>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</si>
  <si>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</si>
  <si>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</si>
  <si>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</si>
  <si>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</si>
  <si>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</si>
  <si>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</si>
  <si>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</si>
  <si>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</si>
  <si>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</si>
  <si>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</si>
  <si>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</si>
  <si>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</si>
  <si>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</si>
  <si>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</si>
  <si>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</si>
  <si>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</si>
  <si>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</si>
  <si>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</si>
  <si>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</si>
  <si>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</si>
  <si>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</si>
  <si>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</si>
  <si>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</si>
  <si>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</si>
  <si>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</si>
  <si>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</si>
  <si>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</si>
  <si>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</si>
  <si>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</si>
  <si>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</si>
  <si>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</si>
  <si>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</si>
  <si>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</si>
  <si>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</si>
  <si>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</si>
  <si>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</si>
  <si>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</si>
  <si>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</si>
  <si>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</si>
  <si>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</si>
  <si>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</si>
  <si>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</si>
  <si>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</si>
  <si>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</si>
  <si>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</si>
  <si>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</si>
  <si>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</si>
  <si>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</si>
  <si>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</si>
  <si>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</si>
  <si>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</si>
  <si>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</si>
  <si>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</si>
  <si>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</si>
  <si>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</si>
  <si>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</si>
  <si>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</si>
  <si>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</si>
  <si>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</si>
  <si>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</si>
  <si>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</si>
  <si>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</si>
  <si>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</si>
  <si>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</si>
  <si>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</si>
  <si>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</si>
  <si>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</si>
  <si>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</si>
  <si>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</si>
  <si>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</si>
  <si>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</si>
  <si>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</si>
  <si>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</si>
  <si>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</si>
  <si>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</si>
  <si>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</si>
  <si>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</si>
  <si>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</si>
  <si>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</si>
  <si>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</si>
  <si>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</si>
  <si>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</si>
  <si>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</si>
  <si>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</si>
  <si>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</si>
  <si>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</si>
  <si>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</si>
  <si>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</si>
  <si>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</si>
  <si>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</si>
  <si>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</si>
  <si>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</si>
  <si>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</si>
  <si>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</si>
  <si>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</si>
  <si>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</si>
  <si>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</si>
  <si>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</si>
  <si>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</si>
  <si>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</si>
  <si>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</si>
  <si>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</si>
  <si>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</si>
  <si>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</si>
  <si>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</si>
  <si>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</si>
  <si>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</si>
  <si>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</si>
  <si>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</si>
  <si>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</si>
  <si>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</si>
  <si>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</si>
  <si>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</si>
  <si>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</si>
  <si>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</si>
  <si>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</si>
  <si>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</si>
  <si>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</si>
  <si>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</si>
  <si>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</si>
  <si>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</si>
  <si>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</si>
  <si>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</si>
  <si>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</si>
  <si>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</si>
  <si>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</si>
  <si>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</si>
  <si>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</si>
  <si>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</si>
  <si>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</si>
  <si>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</si>
  <si>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</si>
  <si>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</si>
  <si>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</si>
  <si>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</si>
  <si>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</si>
  <si>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</si>
  <si>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</si>
  <si>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</si>
  <si>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</si>
  <si>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</si>
  <si>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</si>
  <si>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</si>
  <si>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</si>
  <si>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</si>
  <si>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</si>
  <si>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</si>
  <si>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</si>
  <si>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</si>
  <si>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</si>
  <si>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</si>
  <si>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</si>
  <si>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</si>
  <si>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</si>
  <si>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</si>
  <si>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</si>
  <si>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</si>
  <si>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</si>
  <si>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</si>
  <si>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</si>
  <si>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</si>
  <si>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</si>
  <si>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</si>
  <si>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</si>
  <si>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</si>
  <si>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</si>
  <si>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</si>
  <si>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</si>
  <si>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</si>
  <si>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</si>
  <si>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</si>
  <si>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</si>
  <si>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</si>
  <si>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</si>
  <si>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</si>
  <si>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</si>
  <si>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</si>
  <si>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</si>
  <si>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</si>
  <si>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</si>
  <si>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</si>
  <si>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</si>
  <si>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</si>
  <si>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</si>
  <si>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</si>
  <si>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</si>
  <si>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</si>
  <si>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</si>
  <si>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</si>
  <si>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</si>
  <si>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</si>
  <si>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</si>
  <si>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</si>
  <si>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</si>
  <si>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</si>
  <si>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</si>
  <si>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</si>
  <si>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</si>
  <si>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</si>
  <si>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</si>
  <si>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</si>
  <si>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</si>
  <si>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</si>
  <si>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</si>
  <si>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</si>
  <si>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</si>
  <si>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</si>
  <si>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</si>
  <si>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</si>
  <si>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</si>
  <si>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</si>
  <si>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</si>
  <si>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</si>
  <si>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</si>
  <si>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</si>
  <si>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</si>
  <si>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</si>
  <si>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</si>
  <si>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</si>
  <si>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</si>
  <si>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</si>
  <si>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</si>
  <si>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</si>
  <si>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</si>
  <si>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</si>
  <si>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</si>
  <si>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</si>
  <si>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</si>
  <si>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</si>
  <si>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</si>
  <si>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</si>
  <si>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</si>
  <si>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</si>
  <si>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</si>
  <si>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</si>
  <si>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</si>
  <si>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</si>
  <si>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</si>
  <si>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</si>
  <si>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</si>
  <si>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</si>
  <si>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</si>
  <si>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</si>
  <si>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</si>
  <si>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</si>
  <si>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</si>
  <si>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</si>
  <si>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</si>
  <si>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</si>
  <si>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</si>
  <si>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</si>
  <si>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</si>
  <si>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</si>
  <si>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</si>
  <si>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</si>
  <si>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</si>
  <si>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</si>
  <si>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</si>
  <si>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</si>
  <si>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</si>
  <si>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</si>
  <si>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</si>
  <si>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</si>
  <si>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</si>
  <si>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</si>
  <si>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</si>
  <si>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</si>
  <si>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</si>
  <si>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</si>
  <si>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</si>
  <si>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</si>
  <si>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</si>
  <si>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</si>
  <si>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</si>
  <si>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</si>
  <si>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</si>
  <si>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</si>
  <si>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</si>
  <si>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</si>
  <si>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</si>
  <si>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</si>
  <si>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</si>
  <si>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</si>
  <si>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</si>
  <si>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</si>
  <si>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</si>
  <si>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</si>
  <si>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</si>
  <si>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</si>
  <si>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</si>
  <si>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</si>
  <si>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</si>
  <si>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</si>
  <si>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</si>
  <si>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</si>
  <si>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</si>
  <si>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</si>
  <si>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</si>
  <si>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</si>
  <si>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</si>
  <si>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</si>
  <si>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</si>
  <si>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</si>
  <si>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</si>
  <si>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</si>
  <si>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</si>
  <si>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</si>
  <si>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</si>
  <si>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</si>
  <si>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</si>
  <si>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</si>
  <si>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</si>
  <si>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</si>
  <si>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</si>
  <si>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</si>
  <si>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</si>
  <si>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</si>
  <si>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</si>
  <si>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</si>
  <si>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</si>
  <si>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</si>
  <si>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</si>
  <si>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</si>
  <si>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</si>
  <si>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</si>
  <si>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</si>
  <si>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</si>
  <si>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</si>
  <si>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</si>
  <si>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</si>
  <si>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</si>
  <si>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</si>
  <si>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</si>
  <si>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</si>
  <si>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</si>
  <si>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</si>
  <si>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</si>
  <si>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</si>
  <si>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</si>
  <si>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</si>
  <si>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</si>
  <si>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</si>
  <si>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</si>
  <si>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</si>
  <si>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</si>
  <si>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</si>
  <si>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</si>
  <si>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</si>
  <si>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</si>
  <si>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</si>
  <si>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</si>
  <si>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</si>
  <si>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</si>
  <si>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</si>
  <si>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</si>
  <si>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</si>
  <si>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</si>
  <si>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</si>
  <si>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</si>
  <si>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</si>
  <si>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</si>
  <si>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</si>
  <si>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</si>
  <si>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</si>
  <si>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</si>
  <si>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</si>
  <si>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</si>
  <si>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</si>
  <si>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</si>
  <si>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</si>
  <si>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</si>
  <si>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</si>
  <si>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</si>
  <si>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</si>
  <si>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</si>
  <si>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</si>
  <si>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</si>
  <si>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</si>
  <si>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</si>
  <si>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</si>
  <si>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</si>
  <si>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</si>
  <si>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</si>
  <si>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</si>
  <si>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</si>
  <si>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</si>
  <si>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</si>
  <si>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</si>
  <si>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</si>
  <si>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</si>
  <si>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</si>
  <si>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</si>
  <si>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</si>
  <si>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</si>
  <si>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</si>
  <si>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</si>
  <si>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</si>
  <si>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</si>
  <si>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</si>
  <si>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</si>
  <si>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</si>
  <si>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</si>
  <si>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</si>
  <si>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</si>
  <si>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</si>
  <si>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</si>
  <si>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</si>
  <si>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</si>
  <si>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</si>
  <si>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</si>
  <si>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</si>
  <si>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</si>
  <si>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</si>
  <si>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</si>
  <si>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</si>
  <si>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</si>
  <si>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</si>
  <si>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</si>
  <si>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</si>
  <si>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</si>
  <si>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</si>
  <si>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</si>
  <si>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</si>
  <si>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</si>
  <si>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</si>
  <si>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</si>
  <si>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</si>
  <si>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</si>
  <si>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</si>
  <si>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</si>
  <si>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</si>
  <si>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</si>
  <si>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</si>
  <si>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</si>
  <si>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</si>
  <si>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</si>
  <si>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</si>
  <si>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</si>
  <si>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</si>
  <si>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</si>
  <si>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</si>
  <si>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</si>
  <si>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</si>
  <si>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</si>
  <si>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</si>
  <si>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</si>
  <si>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</si>
  <si>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</si>
  <si>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</si>
  <si>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</si>
  <si>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</si>
  <si>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</si>
  <si>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</si>
  <si>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</si>
  <si>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</si>
  <si>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</si>
  <si>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</si>
  <si>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</si>
  <si>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</si>
  <si>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</si>
  <si>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</si>
  <si>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</si>
  <si>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</si>
  <si>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</si>
  <si>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</si>
  <si>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</si>
  <si>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</si>
  <si>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</si>
  <si>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</si>
  <si>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</si>
  <si>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</si>
  <si>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</si>
  <si>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</si>
  <si>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</si>
  <si>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</si>
  <si>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</si>
  <si>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</si>
  <si>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</si>
  <si>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</si>
  <si>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</si>
  <si>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</si>
  <si>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</si>
  <si>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</si>
  <si>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</si>
  <si>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</si>
  <si>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</si>
  <si>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</si>
  <si>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</si>
  <si>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</si>
  <si>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</si>
  <si>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</si>
  <si>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</si>
  <si>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</si>
  <si>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</si>
  <si>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</si>
  <si>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</si>
  <si>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</si>
  <si>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</si>
  <si>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</si>
  <si>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</si>
  <si>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</si>
  <si>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</si>
  <si>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</si>
  <si>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</si>
  <si>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</si>
  <si>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</si>
  <si>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</si>
  <si>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</si>
  <si>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</si>
  <si>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</si>
  <si>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</si>
  <si>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</si>
  <si>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</si>
  <si>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</si>
  <si>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</si>
  <si>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</si>
  <si>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</si>
  <si>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</si>
  <si>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</si>
  <si>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</si>
  <si>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</si>
  <si>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</si>
  <si>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</si>
  <si>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</si>
  <si>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</si>
  <si>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</si>
  <si>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</si>
  <si>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</si>
  <si>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</si>
  <si>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</si>
  <si>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</si>
  <si>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</si>
  <si>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</si>
  <si>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</si>
  <si>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</si>
  <si>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</si>
  <si>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</si>
  <si>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</si>
  <si>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</si>
  <si>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</si>
  <si>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</si>
  <si>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</si>
  <si>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</si>
  <si>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</si>
  <si>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</si>
  <si>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</si>
  <si>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</si>
  <si>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</si>
  <si>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</si>
  <si>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</si>
  <si>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</si>
  <si>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</si>
  <si>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</si>
  <si>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</si>
  <si>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</si>
  <si>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</si>
  <si>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</si>
  <si>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</si>
  <si>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</si>
  <si>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</si>
  <si>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</si>
  <si>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</si>
  <si>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</si>
  <si>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</si>
  <si>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</si>
  <si>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</si>
  <si>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</si>
  <si>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</si>
  <si>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</si>
  <si>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</si>
  <si>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</si>
  <si>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</si>
  <si>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</si>
  <si>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</si>
  <si>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</si>
  <si>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</si>
  <si>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</si>
  <si>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</si>
  <si>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</si>
  <si>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</si>
  <si>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</si>
  <si>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</si>
  <si>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</si>
  <si>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</si>
  <si>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</si>
  <si>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</si>
  <si>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</si>
  <si>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</si>
  <si>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</si>
  <si>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</si>
  <si>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</si>
  <si>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</si>
  <si>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</si>
  <si>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</si>
  <si>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</si>
  <si>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</si>
  <si>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</si>
  <si>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</si>
  <si>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</si>
  <si>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</si>
  <si>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</si>
  <si>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</si>
  <si>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</si>
  <si>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</si>
  <si>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</si>
  <si>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</si>
  <si>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</si>
  <si>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</si>
  <si>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</si>
  <si>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</si>
  <si>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</si>
  <si>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</si>
  <si>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</si>
  <si>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</si>
  <si>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</si>
  <si>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</si>
  <si>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</si>
  <si>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</si>
  <si>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</si>
  <si>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</si>
  <si>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</si>
  <si>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</si>
  <si>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</si>
  <si>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</si>
  <si>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</si>
  <si>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</si>
  <si>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</si>
  <si>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</si>
  <si>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</si>
  <si>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</si>
  <si>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</si>
  <si>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</si>
  <si>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</si>
  <si>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</si>
  <si>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</si>
  <si>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</si>
  <si>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</si>
  <si>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</si>
  <si>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</si>
  <si>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</si>
  <si>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</si>
  <si>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</si>
  <si>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</si>
  <si>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</si>
  <si>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</si>
  <si>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</si>
  <si>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</si>
  <si>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</si>
  <si>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</si>
  <si>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</si>
  <si>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</si>
  <si>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</si>
  <si>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</si>
  <si>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</si>
  <si>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</si>
  <si>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</si>
  <si>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</si>
  <si>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</si>
  <si>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</si>
  <si>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</si>
  <si>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</si>
  <si>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</si>
  <si>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</si>
  <si>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</si>
  <si>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</si>
  <si>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</si>
  <si>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</si>
  <si>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</si>
  <si>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</si>
  <si>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</si>
  <si>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</si>
  <si>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</si>
  <si>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</si>
  <si>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</si>
  <si>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</si>
  <si>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</si>
  <si>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</si>
  <si>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</si>
  <si>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</si>
  <si>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</si>
  <si>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</si>
  <si>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</si>
  <si>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</si>
  <si>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</si>
  <si>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</si>
  <si>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</si>
  <si>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</si>
  <si>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</si>
  <si>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</si>
  <si>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</si>
  <si>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</si>
  <si>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</si>
  <si>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</si>
  <si>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</si>
  <si>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</si>
  <si>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</si>
  <si>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</si>
  <si>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</si>
  <si>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</si>
  <si>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</si>
  <si>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</si>
  <si>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</si>
  <si>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</si>
  <si>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</si>
  <si>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</si>
  <si>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</si>
  <si>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</si>
  <si>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</si>
  <si>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</si>
  <si>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</si>
  <si>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</si>
  <si>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</si>
  <si>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</si>
  <si>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</si>
  <si>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</si>
  <si>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</si>
  <si>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</si>
  <si>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</si>
  <si>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</si>
  <si>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</si>
  <si>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</si>
  <si>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</si>
  <si>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</si>
  <si>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</si>
  <si>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</si>
  <si>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</si>
  <si>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</si>
  <si>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</si>
  <si>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</si>
  <si>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</si>
  <si>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</si>
  <si>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</si>
  <si>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</si>
  <si>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</si>
  <si>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</si>
  <si>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</si>
  <si>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</si>
  <si>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</si>
  <si>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</si>
  <si>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</si>
  <si>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</si>
  <si>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</si>
  <si>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</si>
  <si>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</si>
  <si>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</si>
  <si>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</si>
  <si>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</si>
  <si>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</si>
  <si>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</si>
  <si>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</si>
  <si>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</si>
  <si>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</si>
  <si>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</si>
  <si>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</si>
  <si>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</si>
  <si>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</si>
  <si>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</si>
  <si>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</si>
  <si>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</si>
  <si>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</si>
  <si>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</si>
  <si>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</si>
  <si>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</si>
  <si>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</si>
  <si>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</si>
  <si>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</si>
  <si>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</si>
  <si>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</si>
  <si>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</si>
  <si>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</si>
  <si>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</si>
  <si>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</si>
  <si>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</si>
  <si>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</si>
  <si>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</si>
  <si>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</si>
  <si>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</si>
  <si>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</si>
  <si>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</si>
  <si>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</si>
  <si>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</si>
  <si>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</si>
  <si>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</si>
  <si>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</si>
  <si>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</si>
  <si>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</si>
  <si>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</si>
  <si>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</si>
  <si>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</si>
  <si>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</si>
  <si>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</si>
  <si>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</si>
  <si>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</si>
  <si>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</si>
  <si>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</si>
  <si>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</si>
  <si>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</si>
  <si>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</si>
  <si>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</si>
  <si>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</si>
  <si>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</si>
  <si>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</si>
  <si>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</si>
  <si>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</si>
  <si>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</si>
  <si>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</si>
  <si>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</si>
  <si>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</si>
  <si>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</si>
  <si>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</si>
  <si>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</si>
  <si>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</si>
  <si>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</si>
  <si>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</si>
  <si>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</si>
  <si>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</si>
  <si>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</si>
  <si>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</si>
  <si>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</si>
  <si>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</si>
  <si>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</si>
  <si>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</si>
  <si>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</si>
  <si>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</si>
  <si>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</si>
  <si>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</si>
  <si>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</si>
  <si>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</si>
  <si>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</si>
  <si>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</si>
  <si>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</si>
  <si>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</si>
  <si>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</si>
  <si>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</si>
  <si>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</si>
  <si>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</si>
  <si>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</si>
  <si>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</si>
  <si>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</si>
  <si>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</si>
  <si>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</si>
  <si>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</si>
  <si>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</si>
  <si>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</si>
  <si>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</si>
  <si>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</si>
  <si>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</si>
  <si>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</si>
  <si>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</si>
  <si>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</si>
  <si>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</si>
  <si>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</si>
  <si>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</si>
  <si>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</si>
  <si>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</si>
  <si>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</si>
  <si>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</si>
  <si>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</si>
  <si>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</si>
  <si>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</si>
  <si>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</si>
  <si>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</si>
  <si>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</si>
  <si>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</si>
  <si>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</si>
  <si>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</si>
  <si>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</si>
  <si>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</si>
  <si>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</si>
  <si>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</si>
  <si>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</si>
  <si>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</si>
  <si>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</si>
  <si>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</si>
  <si>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</si>
  <si>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</si>
  <si>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</si>
  <si>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</si>
  <si>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</si>
  <si>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</si>
  <si>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</si>
  <si>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</si>
  <si>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</si>
  <si>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</si>
  <si>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</si>
  <si>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</si>
  <si>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</si>
  <si>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</si>
  <si>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</si>
  <si>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</si>
  <si>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</si>
  <si>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</si>
  <si>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</si>
  <si>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</si>
  <si>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</si>
  <si>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</si>
  <si>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</si>
  <si>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</si>
  <si>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</si>
  <si>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</si>
  <si>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</si>
  <si>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</si>
  <si>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</si>
  <si>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</si>
  <si>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</si>
  <si>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</si>
  <si>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</si>
  <si>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</si>
  <si>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</si>
  <si>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</si>
  <si>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</si>
  <si>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</si>
  <si>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</si>
  <si>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</si>
  <si>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</si>
  <si>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</si>
  <si>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</si>
  <si>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</si>
  <si>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</si>
  <si>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</si>
  <si>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</si>
  <si>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</si>
  <si>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</si>
  <si>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</si>
  <si>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</si>
  <si>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</si>
  <si>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</si>
  <si>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</si>
  <si>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</si>
  <si>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</si>
  <si>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</si>
  <si>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</si>
  <si>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</si>
  <si>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</si>
  <si>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</si>
  <si>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</si>
  <si>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</si>
  <si>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</si>
  <si>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</si>
  <si>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</si>
  <si>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</si>
  <si>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</si>
  <si>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</si>
  <si>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</si>
  <si>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</si>
  <si>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</si>
  <si>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</si>
  <si>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</si>
  <si>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</si>
  <si>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</si>
  <si>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</si>
  <si>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</si>
  <si>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</si>
  <si>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</si>
  <si>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</si>
  <si>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</si>
  <si>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</si>
  <si>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</si>
  <si>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</si>
  <si>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</si>
  <si>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</si>
  <si>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</si>
  <si>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</si>
  <si>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</si>
  <si>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</si>
  <si>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</si>
  <si>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</si>
  <si>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</si>
  <si>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</si>
  <si>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</si>
  <si>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</si>
  <si>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</si>
  <si>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</si>
  <si>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</si>
  <si>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</si>
  <si>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</si>
  <si>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</si>
  <si>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</si>
  <si>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</si>
  <si>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</si>
  <si>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</si>
  <si>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</si>
  <si>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</si>
  <si>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</si>
  <si>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</si>
  <si>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</si>
  <si>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</si>
  <si>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</si>
  <si>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</si>
  <si>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</si>
  <si>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</si>
  <si>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</si>
  <si>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</si>
  <si>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</si>
  <si>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</si>
  <si>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</si>
  <si>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</si>
  <si>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</si>
  <si>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</si>
  <si>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</si>
  <si>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</si>
  <si>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</si>
  <si>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</si>
  <si>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</si>
  <si>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</si>
  <si>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</si>
  <si>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</si>
  <si>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</si>
  <si>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</si>
  <si>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</si>
  <si>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</si>
  <si>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</si>
  <si>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</si>
  <si>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</si>
  <si>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</si>
  <si>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</si>
  <si>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</si>
  <si>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</si>
  <si>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</si>
  <si>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</si>
  <si>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</si>
  <si>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</si>
  <si>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</si>
  <si>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</si>
  <si>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</si>
  <si>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</si>
  <si>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</si>
  <si>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</si>
  <si>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</si>
  <si>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</si>
  <si>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</si>
  <si>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</si>
  <si>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</si>
  <si>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</si>
  <si>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</si>
  <si>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</si>
  <si>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</si>
  <si>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</si>
  <si>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</si>
  <si>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</si>
  <si>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</si>
  <si>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</si>
  <si>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</si>
  <si>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</si>
  <si>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</si>
  <si>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</si>
  <si>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</si>
  <si>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</si>
  <si>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</si>
  <si>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</si>
  <si>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</si>
  <si>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</si>
  <si>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</si>
  <si>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</si>
  <si>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</si>
  <si>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</si>
  <si>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</si>
  <si>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</si>
  <si>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</si>
  <si>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</si>
  <si>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</si>
  <si>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</si>
  <si>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</si>
  <si>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</si>
  <si>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</si>
  <si>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</si>
  <si>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</si>
  <si>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</si>
  <si>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</si>
  <si>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</si>
  <si>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</si>
  <si>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</si>
  <si>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</si>
  <si>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</si>
  <si>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</si>
  <si>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</si>
  <si>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</si>
  <si>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</si>
  <si>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</si>
  <si>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</si>
  <si>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</si>
  <si>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</si>
  <si>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</si>
  <si>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</si>
  <si>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</si>
  <si>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</si>
  <si>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</si>
  <si>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</si>
  <si>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</si>
  <si>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</si>
  <si>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</si>
  <si>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</si>
  <si>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</si>
  <si>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</si>
  <si>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</si>
  <si>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</si>
  <si>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</si>
  <si>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</si>
  <si>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</si>
  <si>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</si>
  <si>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</si>
  <si>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</si>
  <si>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</si>
  <si>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</si>
  <si>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</si>
  <si>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</si>
  <si>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</si>
  <si>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</si>
  <si>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</si>
  <si>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</si>
  <si>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</si>
  <si>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</si>
  <si>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</si>
  <si>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</si>
  <si>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</si>
  <si>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</si>
  <si>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</si>
  <si>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</si>
  <si>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</si>
  <si>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</si>
  <si>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</si>
  <si>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</si>
  <si>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</si>
  <si>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</si>
  <si>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</si>
  <si>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</si>
  <si>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</si>
  <si>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</si>
  <si>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</si>
  <si>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</si>
  <si>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</si>
  <si>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</si>
  <si>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</si>
  <si>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</si>
  <si>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</si>
  <si>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</si>
  <si>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</si>
  <si>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</si>
  <si>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</si>
  <si>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</si>
  <si>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</si>
  <si>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</si>
  <si>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</si>
  <si>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</si>
  <si>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</si>
  <si>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</si>
  <si>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</si>
  <si>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</si>
  <si>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</si>
  <si>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</si>
  <si>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</si>
  <si>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</si>
  <si>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</si>
  <si>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</si>
  <si>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</si>
  <si>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</si>
  <si>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</si>
  <si>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</si>
  <si>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</si>
  <si>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</si>
  <si>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</si>
  <si>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</si>
  <si>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</si>
  <si>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</si>
  <si>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</si>
  <si>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</si>
  <si>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</si>
  <si>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</si>
  <si>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</si>
  <si>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</si>
  <si>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</si>
  <si>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</si>
  <si>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</si>
  <si>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</si>
  <si>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</si>
  <si>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</si>
  <si>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</si>
  <si>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</si>
  <si>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</si>
  <si>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</si>
  <si>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</si>
  <si>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</si>
  <si>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</si>
  <si>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</si>
  <si>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</si>
  <si>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</si>
  <si>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</si>
  <si>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</si>
  <si>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</si>
  <si>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</si>
  <si>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</si>
  <si>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</si>
  <si>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</si>
  <si>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</si>
  <si>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</si>
  <si>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</si>
  <si>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</si>
  <si>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</si>
  <si>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</si>
  <si>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</si>
  <si>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</si>
  <si>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</si>
  <si>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</si>
  <si>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</si>
  <si>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</si>
  <si>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</si>
  <si>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</si>
  <si>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</si>
  <si>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</si>
  <si>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</si>
  <si>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</si>
  <si>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</si>
  <si>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</si>
  <si>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</si>
  <si>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</si>
  <si>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</si>
  <si>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</si>
  <si>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</si>
  <si>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</si>
  <si>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</si>
  <si>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</si>
  <si>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</si>
  <si>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</si>
  <si>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</si>
  <si>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</si>
  <si>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</si>
  <si>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</si>
  <si>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</si>
  <si>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</si>
  <si>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</si>
  <si>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</si>
  <si>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</si>
  <si>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</si>
  <si>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</si>
  <si>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</si>
  <si>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</si>
  <si>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</si>
  <si>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</si>
  <si>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</si>
  <si>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</si>
  <si>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</si>
  <si>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</si>
  <si>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</si>
  <si>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</si>
  <si>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</si>
  <si>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</si>
  <si>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</si>
  <si>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</si>
  <si>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</si>
  <si>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</si>
  <si>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</si>
  <si>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</si>
  <si>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</si>
  <si>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</si>
  <si>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</si>
  <si>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</si>
  <si>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</si>
  <si>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</si>
  <si>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</si>
  <si>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</si>
  <si>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</si>
  <si>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</si>
  <si>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</si>
  <si>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</si>
  <si>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</si>
  <si>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</si>
  <si>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</si>
  <si>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</si>
  <si>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</si>
  <si>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</si>
  <si>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</si>
  <si>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</si>
  <si>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</si>
  <si>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</si>
  <si>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</si>
  <si>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</si>
  <si>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</si>
  <si>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</si>
  <si>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</si>
  <si>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</si>
  <si>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</si>
  <si>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</si>
  <si>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</si>
  <si>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</si>
  <si>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</si>
  <si>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</si>
  <si>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</si>
  <si>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</si>
  <si>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</si>
  <si>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</si>
  <si>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</si>
  <si>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</si>
  <si>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</si>
  <si>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</si>
  <si>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</si>
  <si>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</si>
  <si>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</si>
  <si>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</si>
  <si>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</si>
  <si>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</si>
  <si>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</si>
  <si>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</si>
  <si>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</si>
  <si>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</si>
  <si>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</si>
  <si>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</si>
  <si>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</si>
  <si>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</si>
  <si>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</si>
  <si>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</si>
  <si>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</si>
  <si>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</si>
  <si>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</si>
  <si>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</si>
  <si>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</si>
  <si>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</si>
  <si>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</si>
  <si>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</si>
  <si>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</si>
  <si>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</si>
  <si>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</si>
  <si>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</si>
  <si>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</si>
  <si>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</si>
  <si>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</si>
  <si>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</si>
  <si>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</si>
  <si>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</si>
  <si>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</si>
  <si>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</si>
  <si>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</si>
  <si>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</si>
  <si>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</si>
  <si>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</si>
  <si>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</si>
  <si>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</si>
  <si>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</si>
  <si>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</si>
  <si>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</si>
  <si>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</si>
  <si>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</si>
  <si>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</si>
  <si>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</si>
  <si>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</si>
  <si>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</si>
  <si>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</si>
  <si>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</si>
  <si>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</si>
  <si>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</si>
  <si>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</si>
  <si>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</si>
  <si>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</si>
  <si>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</si>
  <si>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</si>
  <si>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</si>
  <si>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</si>
  <si>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</si>
  <si>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</si>
  <si>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</si>
  <si>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</si>
  <si>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</si>
  <si>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</si>
  <si>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</si>
  <si>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</si>
  <si>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</si>
  <si>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</si>
  <si>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</si>
  <si>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</si>
  <si>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</si>
  <si>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</si>
  <si>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</si>
  <si>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</si>
  <si>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</si>
  <si>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</si>
  <si>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</si>
  <si>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</si>
  <si>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</si>
  <si>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</si>
  <si>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</si>
  <si>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</si>
  <si>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</si>
  <si>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</si>
  <si>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</si>
  <si>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</si>
  <si>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</si>
  <si>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</si>
  <si>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</si>
  <si>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</si>
  <si>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</si>
  <si>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</si>
  <si>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</si>
  <si>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</si>
  <si>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</si>
  <si>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</si>
  <si>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</si>
  <si>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</si>
  <si>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</si>
  <si>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</si>
  <si>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</si>
  <si>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</si>
  <si>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</si>
  <si>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</si>
  <si>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</si>
  <si>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</si>
  <si>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</si>
  <si>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</si>
  <si>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</si>
  <si>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</si>
  <si>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</si>
  <si>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</si>
  <si>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</si>
  <si>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</si>
  <si>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</si>
  <si>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</si>
  <si>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</si>
  <si>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</si>
  <si>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</si>
  <si>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</si>
  <si>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</si>
  <si>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</si>
  <si>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</si>
  <si>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</si>
  <si>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</si>
  <si>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</si>
  <si>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</si>
  <si>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</si>
  <si>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</si>
  <si>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</si>
  <si>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</si>
  <si>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</si>
  <si>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</si>
  <si>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</si>
  <si>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</si>
  <si>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</si>
  <si>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</si>
  <si>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</si>
  <si>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</si>
  <si>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</si>
  <si>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</si>
  <si>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</si>
  <si>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</si>
  <si>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</si>
  <si>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</si>
  <si>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</si>
  <si>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</si>
  <si>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</si>
  <si>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</si>
  <si>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</si>
  <si>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</si>
  <si>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</si>
  <si>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</si>
  <si>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</si>
  <si>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</si>
  <si>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</si>
  <si>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</si>
  <si>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</si>
  <si>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</si>
  <si>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</si>
  <si>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</si>
  <si>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</si>
  <si>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</si>
  <si>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</si>
  <si>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</si>
  <si>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</si>
  <si>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</si>
  <si>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</si>
  <si>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</si>
  <si>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</si>
  <si>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</si>
  <si>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</si>
  <si>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</si>
  <si>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</si>
  <si>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</si>
  <si>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</si>
  <si>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</si>
  <si>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</si>
  <si>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</si>
  <si>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</si>
  <si>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</si>
  <si>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</si>
  <si>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</si>
  <si>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</si>
  <si>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</si>
  <si>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</si>
  <si>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</si>
  <si>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</si>
  <si>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</si>
  <si>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</si>
  <si>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</si>
  <si>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</si>
  <si>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</si>
  <si>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</si>
  <si>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</si>
  <si>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</si>
  <si>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</si>
  <si>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</si>
  <si>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</si>
  <si>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</si>
  <si>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</si>
  <si>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</si>
  <si>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</si>
  <si>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</si>
  <si>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</si>
  <si>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</si>
  <si>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</si>
  <si>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</si>
  <si>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</si>
  <si>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</si>
  <si>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</si>
  <si>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</si>
  <si>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</si>
  <si>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</si>
  <si>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</si>
  <si>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</si>
  <si>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</si>
  <si>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</si>
  <si>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</si>
  <si>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</si>
  <si>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</si>
  <si>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</si>
  <si>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</si>
  <si>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</si>
  <si>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</si>
  <si>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</si>
  <si>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</si>
  <si>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</si>
  <si>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</si>
  <si>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</si>
  <si>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</si>
  <si>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</si>
  <si>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</si>
  <si>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</si>
  <si>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</si>
  <si>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</si>
  <si>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</si>
  <si>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</si>
  <si>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</si>
  <si>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</si>
  <si>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</si>
  <si>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</si>
  <si>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</si>
  <si>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</si>
  <si>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</si>
  <si>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</si>
  <si>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</si>
  <si>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</si>
  <si>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</si>
  <si>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</si>
  <si>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</si>
  <si>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</si>
  <si>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</si>
  <si>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</si>
  <si>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</si>
  <si>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</si>
  <si>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</si>
  <si>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</si>
  <si>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</si>
  <si>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</si>
  <si>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</si>
  <si>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</si>
  <si>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</si>
  <si>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</si>
  <si>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</si>
  <si>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</si>
  <si>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</si>
  <si>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</si>
  <si>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</si>
  <si>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</si>
  <si>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</si>
  <si>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</si>
  <si>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</si>
  <si>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</si>
  <si>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</si>
  <si>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</si>
  <si>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</si>
  <si>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</si>
  <si>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</si>
  <si>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</si>
  <si>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</si>
  <si>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</si>
  <si>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</si>
  <si>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</si>
  <si>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</si>
  <si>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</si>
  <si>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</si>
  <si>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</si>
  <si>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</si>
  <si>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</si>
  <si>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</si>
  <si>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</si>
  <si>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</si>
  <si>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</si>
  <si>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</si>
  <si>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</si>
  <si>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</si>
  <si>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</si>
  <si>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</si>
  <si>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</si>
  <si>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</si>
  <si>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</si>
  <si>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</si>
  <si>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</si>
  <si>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</si>
  <si>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</si>
  <si>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</si>
  <si>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</si>
  <si>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</si>
  <si>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</si>
  <si>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</si>
  <si>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</si>
  <si>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</si>
  <si>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</si>
  <si>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</si>
  <si>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</si>
  <si>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</si>
  <si>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</si>
  <si>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</si>
  <si>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</si>
  <si>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</si>
  <si>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</si>
  <si>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</si>
  <si>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</si>
  <si>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</si>
  <si>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</si>
  <si>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</si>
  <si>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</si>
  <si>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</si>
  <si>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</si>
  <si>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</si>
  <si>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</si>
  <si>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</si>
  <si>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</si>
  <si>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</si>
  <si>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</si>
  <si>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</si>
  <si>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</si>
  <si>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</si>
  <si>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</si>
  <si>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</si>
  <si>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</si>
  <si>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</si>
  <si>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</si>
  <si>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</si>
  <si>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</si>
  <si>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</si>
  <si>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</si>
  <si>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</si>
  <si>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</si>
  <si>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</si>
  <si>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</si>
  <si>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</si>
  <si>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</si>
  <si>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</si>
  <si>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</si>
  <si>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</si>
  <si>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</si>
  <si>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</si>
  <si>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</si>
  <si>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</si>
  <si>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</si>
  <si>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</si>
  <si>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</si>
  <si>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</si>
  <si>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</si>
  <si>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</si>
  <si>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</si>
  <si>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</si>
  <si>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</si>
  <si>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</si>
  <si>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</si>
  <si>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</si>
  <si>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</si>
  <si>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</si>
  <si>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</si>
  <si>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</si>
  <si>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</si>
  <si>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</si>
  <si>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</si>
  <si>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</si>
  <si>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</si>
  <si>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</si>
  <si>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</si>
  <si>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</si>
  <si>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</si>
  <si>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</si>
  <si>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</si>
  <si>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</si>
  <si>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</si>
  <si>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</si>
  <si>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</si>
  <si>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</si>
  <si>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</si>
  <si>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</si>
  <si>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</si>
  <si>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</si>
  <si>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</si>
  <si>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</si>
  <si>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</si>
  <si>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</si>
  <si>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</si>
  <si>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</si>
  <si>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</si>
  <si>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</si>
  <si>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</si>
  <si>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</si>
  <si>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</si>
  <si>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</si>
  <si>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</si>
  <si>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</si>
  <si>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</si>
  <si>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</si>
  <si>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</si>
  <si>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</si>
  <si>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</si>
  <si>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</si>
  <si>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</si>
  <si>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</si>
  <si>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</si>
  <si>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</si>
  <si>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</si>
  <si>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</si>
  <si>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</si>
  <si>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</si>
  <si>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</si>
  <si>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</si>
  <si>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</si>
  <si>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</si>
  <si>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</si>
  <si>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</si>
  <si>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</si>
  <si>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</si>
  <si>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</si>
  <si>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</si>
  <si>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</si>
  <si>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</si>
  <si>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</si>
  <si>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</si>
  <si>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</si>
  <si>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</si>
  <si>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</si>
  <si>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</si>
  <si>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</si>
  <si>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</si>
  <si>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</si>
  <si>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</si>
  <si>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</si>
  <si>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</si>
  <si>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</si>
  <si>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</si>
  <si>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</si>
  <si>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</si>
  <si>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</si>
  <si>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</si>
  <si>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</si>
  <si>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</si>
  <si>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</si>
  <si>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</si>
  <si>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</si>
  <si>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</si>
  <si>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</si>
  <si>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</si>
  <si>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</si>
  <si>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</si>
  <si>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</si>
  <si>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</si>
  <si>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</si>
  <si>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</si>
  <si>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</si>
  <si>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</si>
  <si>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</si>
  <si>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</si>
  <si>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</si>
  <si>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</si>
  <si>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</si>
  <si>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</si>
  <si>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</si>
  <si>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</si>
  <si>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</si>
  <si>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</si>
  <si>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</si>
  <si>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</si>
  <si>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</si>
  <si>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</si>
  <si>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</si>
  <si>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</si>
  <si>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</si>
  <si>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</si>
  <si>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</si>
  <si>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</si>
  <si>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</si>
  <si>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</si>
  <si>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</si>
  <si>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</si>
  <si>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</si>
  <si>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</si>
  <si>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</si>
  <si>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</si>
  <si>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</si>
  <si>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</si>
  <si>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</si>
  <si>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</si>
  <si>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</si>
  <si>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</si>
  <si>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</si>
  <si>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</si>
  <si>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</si>
  <si>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</si>
  <si>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</si>
  <si>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</si>
  <si>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</si>
  <si>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</si>
  <si>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</si>
  <si>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</si>
  <si>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</si>
  <si>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</si>
  <si>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</si>
  <si>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</si>
  <si>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</si>
  <si>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</si>
  <si>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</si>
  <si>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</si>
  <si>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</si>
  <si>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</si>
  <si>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</si>
  <si>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</si>
  <si>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</si>
  <si>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</si>
  <si>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</si>
  <si>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</si>
  <si>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</si>
  <si>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</si>
  <si>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</si>
  <si>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</si>
  <si>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</si>
  <si>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</si>
  <si>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</si>
  <si>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</si>
  <si>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</si>
  <si>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</si>
  <si>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</si>
  <si>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</si>
  <si>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</si>
  <si>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</si>
  <si>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</si>
  <si>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</si>
  <si>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</si>
  <si>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</si>
  <si>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</si>
  <si>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</si>
  <si>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</si>
  <si>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</si>
  <si>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</si>
  <si>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</si>
  <si>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</si>
  <si>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</si>
  <si>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</si>
  <si>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</si>
  <si>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</si>
  <si>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</si>
  <si>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</si>
  <si>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</si>
  <si>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</si>
  <si>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</si>
  <si>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</si>
  <si>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</si>
  <si>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</si>
  <si>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</si>
  <si>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</si>
  <si>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</si>
  <si>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</si>
  <si>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</si>
  <si>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</si>
  <si>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</si>
  <si>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</si>
  <si>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</si>
  <si>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</si>
  <si>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</si>
  <si>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</si>
  <si>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</si>
  <si>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</si>
  <si>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</si>
  <si>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</si>
  <si>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</si>
  <si>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</si>
  <si>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</si>
  <si>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</si>
  <si>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</si>
  <si>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</si>
  <si>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</si>
  <si>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</si>
  <si>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</si>
  <si>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</si>
  <si>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</si>
  <si>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</si>
  <si>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</si>
  <si>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</si>
  <si>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</si>
  <si>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</si>
  <si>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</si>
  <si>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</si>
  <si>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</si>
  <si>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</si>
  <si>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</si>
  <si>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</si>
  <si>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</si>
  <si>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</si>
  <si>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</si>
  <si>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</si>
  <si>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</si>
  <si>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</si>
  <si>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</si>
  <si>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</si>
  <si>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</si>
  <si>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</si>
  <si>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</si>
  <si>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</si>
  <si>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</si>
  <si>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</si>
  <si>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</si>
  <si>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</si>
  <si>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</si>
  <si>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</si>
  <si>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</si>
  <si>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</si>
  <si>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</si>
  <si>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</si>
  <si>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</si>
  <si>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</si>
  <si>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</si>
  <si>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</si>
  <si>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</si>
  <si>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</si>
  <si>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</si>
  <si>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</si>
  <si>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</si>
  <si>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</si>
  <si>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</si>
  <si>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</si>
  <si>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</si>
  <si>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</si>
  <si>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</si>
  <si>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</si>
  <si>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</si>
  <si>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</si>
  <si>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</si>
  <si>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</si>
  <si>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</si>
  <si>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</si>
  <si>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</si>
  <si>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</si>
  <si>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</si>
  <si>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</si>
  <si>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</si>
  <si>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</si>
  <si>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</si>
  <si>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</si>
  <si>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</si>
  <si>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</si>
  <si>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</si>
  <si>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</si>
  <si>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</si>
  <si>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</si>
  <si>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</si>
  <si>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</si>
  <si>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</si>
  <si>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</si>
  <si>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</si>
  <si>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</si>
  <si>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</si>
  <si>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</si>
  <si>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</si>
  <si>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</si>
  <si>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</si>
  <si>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</si>
  <si>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</si>
  <si>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</si>
  <si>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</si>
  <si>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</si>
  <si>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</si>
  <si>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</si>
  <si>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</si>
  <si>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</si>
  <si>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</si>
  <si>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</si>
  <si>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</si>
  <si>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</si>
  <si>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</si>
  <si>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</si>
  <si>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</si>
  <si>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</si>
  <si>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</si>
  <si>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</si>
  <si>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</si>
  <si>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</si>
  <si>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</si>
  <si>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</si>
  <si>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</si>
  <si>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</si>
  <si>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</si>
  <si>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</si>
  <si>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</si>
  <si>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</si>
  <si>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</si>
  <si>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</si>
  <si>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</si>
  <si>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</si>
  <si>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</si>
  <si>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</si>
  <si>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</si>
  <si>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</si>
  <si>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</si>
  <si>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</si>
  <si>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</si>
  <si>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</si>
  <si>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</si>
  <si>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</si>
  <si>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</si>
  <si>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</si>
  <si>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</si>
  <si>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</si>
  <si>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</si>
  <si>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</si>
  <si>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</si>
  <si>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</si>
  <si>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</si>
  <si>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</si>
  <si>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</si>
  <si>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</si>
  <si>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</si>
  <si>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</si>
  <si>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</si>
  <si>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</si>
  <si>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</si>
  <si>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</si>
  <si>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</si>
  <si>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</si>
  <si>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</si>
  <si>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</si>
  <si>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</si>
  <si>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</si>
  <si>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</si>
  <si>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</si>
  <si>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</si>
  <si>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</si>
  <si>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</si>
  <si>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</si>
  <si>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</si>
  <si>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</si>
  <si>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</si>
  <si>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</si>
  <si>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</si>
  <si>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</si>
  <si>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</si>
  <si>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</si>
  <si>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</si>
  <si>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</si>
  <si>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</si>
  <si>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</si>
  <si>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</si>
  <si>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</si>
  <si>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</si>
  <si>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</si>
  <si>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</si>
  <si>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</si>
  <si>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</si>
  <si>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</si>
  <si>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</si>
  <si>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</si>
  <si>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</si>
  <si>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</si>
  <si>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</si>
  <si>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</si>
  <si>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</si>
  <si>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</si>
  <si>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</si>
  <si>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</si>
  <si>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</si>
  <si>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</si>
  <si>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</si>
  <si>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</si>
  <si>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</si>
  <si>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</si>
  <si>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</si>
  <si>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</si>
  <si>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</si>
  <si>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</si>
  <si>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</si>
  <si>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</si>
  <si>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</si>
  <si>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</si>
  <si>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</si>
  <si>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</si>
  <si>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</si>
  <si>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</si>
  <si>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</si>
  <si>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</si>
  <si>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</si>
  <si>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</si>
  <si>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</si>
  <si>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</si>
  <si>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</si>
  <si>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</si>
  <si>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</si>
  <si>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</si>
  <si>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</si>
  <si>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</si>
  <si>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</si>
  <si>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</si>
  <si>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</si>
  <si>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</si>
  <si>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</si>
  <si>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</si>
  <si>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</si>
  <si>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</si>
  <si>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</si>
  <si>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</si>
  <si>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</si>
  <si>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</si>
  <si>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</si>
  <si>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</si>
  <si>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</si>
  <si>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</si>
  <si>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</si>
  <si>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</si>
  <si>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</si>
  <si>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</si>
  <si>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</si>
  <si>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</si>
  <si>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</si>
  <si>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</si>
  <si>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</si>
  <si>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</si>
  <si>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</si>
  <si>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</si>
  <si>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</si>
  <si>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</si>
  <si>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</si>
  <si>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</si>
  <si>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</si>
  <si>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</si>
  <si>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</si>
  <si>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</si>
  <si>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</si>
  <si>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</si>
  <si>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</si>
  <si>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</si>
  <si>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</si>
  <si>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</si>
  <si>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</si>
  <si>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</si>
  <si>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</si>
  <si>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</si>
  <si>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</si>
  <si>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</si>
  <si>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</si>
  <si>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</si>
  <si>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</si>
  <si>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</si>
  <si>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</si>
  <si>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</si>
  <si>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</si>
  <si>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</si>
  <si>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</si>
  <si>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</si>
  <si>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</si>
  <si>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</si>
  <si>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</si>
  <si>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</si>
  <si>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</si>
  <si>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</si>
  <si>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</si>
  <si>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</si>
  <si>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</si>
  <si>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</si>
  <si>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</si>
  <si>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</si>
  <si>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</si>
  <si>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</si>
  <si>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</si>
  <si>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</si>
  <si>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</si>
  <si>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</si>
  <si>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</si>
  <si>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</si>
  <si>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</si>
  <si>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</si>
  <si>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</si>
  <si>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</si>
  <si>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</si>
  <si>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</si>
  <si>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</si>
  <si>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</si>
  <si>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</si>
  <si>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</si>
  <si>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</si>
  <si>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</si>
  <si>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</si>
  <si>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</si>
  <si>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</si>
  <si>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</si>
  <si>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</si>
  <si>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</si>
  <si>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</si>
  <si>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</si>
  <si>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</si>
  <si>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</si>
  <si>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</si>
  <si>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</si>
  <si>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</si>
  <si>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</si>
  <si>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</si>
  <si>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</si>
  <si>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</si>
  <si>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</si>
  <si>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</si>
  <si>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</si>
  <si>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</si>
  <si>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</si>
  <si>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</si>
  <si>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</si>
  <si>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</si>
  <si>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</si>
  <si>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</si>
  <si>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</si>
  <si>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</si>
  <si>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</si>
  <si>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</si>
  <si>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</si>
  <si>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</si>
  <si>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</si>
  <si>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</si>
  <si>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</si>
  <si>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</si>
  <si>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</si>
  <si>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</si>
  <si>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</si>
  <si>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</si>
  <si>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</si>
  <si>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</si>
  <si>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</si>
  <si>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</si>
  <si>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</si>
  <si>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</si>
  <si>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</si>
  <si>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</si>
  <si>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</si>
  <si>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</si>
  <si>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</si>
  <si>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</si>
  <si>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</si>
  <si>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</si>
  <si>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</si>
  <si>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</si>
  <si>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</si>
  <si>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</si>
  <si>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</si>
  <si>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</si>
  <si>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</si>
  <si>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</si>
  <si>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</si>
  <si>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</si>
  <si>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</si>
  <si>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</si>
  <si>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</si>
  <si>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</si>
  <si>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</si>
  <si>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</si>
  <si>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</si>
  <si>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</si>
  <si>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</si>
  <si>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</si>
  <si>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</si>
  <si>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</si>
  <si>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</si>
  <si>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</si>
  <si>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</si>
  <si>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</si>
  <si>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</si>
  <si>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</si>
  <si>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</si>
  <si>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</si>
  <si>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</si>
  <si>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</si>
  <si>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</si>
  <si>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</si>
  <si>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</si>
  <si>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</si>
  <si>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</si>
  <si>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</si>
  <si>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</si>
  <si>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</si>
  <si>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</si>
  <si>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</si>
  <si>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</si>
  <si>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</si>
  <si>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</si>
  <si>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</si>
  <si>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</si>
  <si>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</si>
  <si>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</si>
  <si>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</si>
  <si>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</si>
  <si>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</si>
  <si>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</si>
  <si>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</si>
  <si>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</si>
  <si>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</si>
  <si>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</si>
  <si>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</si>
  <si>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</si>
  <si>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</si>
  <si>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</si>
  <si>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</si>
  <si>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</si>
  <si>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</si>
  <si>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</si>
  <si>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</si>
  <si>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</si>
  <si>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</si>
  <si>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</si>
  <si>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</si>
  <si>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</si>
  <si>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</si>
  <si>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</si>
  <si>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</si>
  <si>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</si>
  <si>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</si>
  <si>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</si>
  <si>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</si>
  <si>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</si>
  <si>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</si>
  <si>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</si>
  <si>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</si>
  <si>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</si>
  <si>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</si>
  <si>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</si>
  <si>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</si>
  <si>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</si>
  <si>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</si>
  <si>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</si>
  <si>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</si>
  <si>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</si>
  <si>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</si>
  <si>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</si>
  <si>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</si>
  <si>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</si>
  <si>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</si>
  <si>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</si>
  <si>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</si>
  <si>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</si>
  <si>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</si>
  <si>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</si>
  <si>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</si>
  <si>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</si>
  <si>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</si>
  <si>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</si>
  <si>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</si>
  <si>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</si>
  <si>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</si>
  <si>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</si>
  <si>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</si>
  <si>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</si>
  <si>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</si>
  <si>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</si>
  <si>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</si>
  <si>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</si>
  <si>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</si>
  <si>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</si>
  <si>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</si>
  <si>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</si>
  <si>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</si>
  <si>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</si>
  <si>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</si>
  <si>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</si>
  <si>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</si>
  <si>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</si>
  <si>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</si>
  <si>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</si>
  <si>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</si>
  <si>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</si>
  <si>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</si>
  <si>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</si>
  <si>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</si>
  <si>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</si>
  <si>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</si>
  <si>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</si>
  <si>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</si>
  <si>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</si>
  <si>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</si>
  <si>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</si>
  <si>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</si>
  <si>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</si>
  <si>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</si>
  <si>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</si>
  <si>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</si>
  <si>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</si>
  <si>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</si>
  <si>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</si>
  <si>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</si>
  <si>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</si>
  <si>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</si>
  <si>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</si>
  <si>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</si>
  <si>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</si>
  <si>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</si>
  <si>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</si>
  <si>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</si>
  <si>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</si>
  <si>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</si>
  <si>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</si>
  <si>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</si>
  <si>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</si>
  <si>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</si>
  <si>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</si>
  <si>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</si>
  <si>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</si>
  <si>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</si>
  <si>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</si>
  <si>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</si>
  <si>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</si>
  <si>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</si>
  <si>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</si>
  <si>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</si>
  <si>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</si>
  <si>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</si>
  <si>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</si>
  <si>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</si>
  <si>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</si>
  <si>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</si>
  <si>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</si>
  <si>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</si>
  <si>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</si>
  <si>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</si>
  <si>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</si>
  <si>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</si>
  <si>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</si>
  <si>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</si>
  <si>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</si>
  <si>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</si>
  <si>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</si>
  <si>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</si>
  <si>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</si>
  <si>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</si>
  <si>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</si>
  <si>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</si>
  <si>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</si>
  <si>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</si>
  <si>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</si>
  <si>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</si>
  <si>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</si>
  <si>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</si>
  <si>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</si>
  <si>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</si>
  <si>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</si>
  <si>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</si>
  <si>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</si>
  <si>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</si>
  <si>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</si>
  <si>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</si>
  <si>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</si>
  <si>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</si>
  <si>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</si>
  <si>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</si>
  <si>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</si>
  <si>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</si>
  <si>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</si>
  <si>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</si>
  <si>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</si>
  <si>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</si>
  <si>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</si>
  <si>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</si>
  <si>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</si>
  <si>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</si>
  <si>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</si>
  <si>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</si>
  <si>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</si>
  <si>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</si>
  <si>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</si>
  <si>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</si>
  <si>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</si>
  <si>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</si>
  <si>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</si>
  <si>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</si>
  <si>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</si>
  <si>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</si>
  <si>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</si>
  <si>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</si>
  <si>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</si>
  <si>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</si>
  <si>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</si>
  <si>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</si>
  <si>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</si>
  <si>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</si>
  <si>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</si>
  <si>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</si>
  <si>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</si>
  <si>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</si>
  <si>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</si>
  <si>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</si>
  <si>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</si>
  <si>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</si>
  <si>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</si>
  <si>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</si>
  <si>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</si>
  <si>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</si>
  <si>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</si>
  <si>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</si>
  <si>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</si>
  <si>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</si>
  <si>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</si>
  <si>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</si>
  <si>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</si>
  <si>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</si>
  <si>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</si>
  <si>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</si>
  <si>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</si>
  <si>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</si>
  <si>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</si>
  <si>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</si>
  <si>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</si>
  <si>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</si>
  <si>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</si>
  <si>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</si>
  <si>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</si>
  <si>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</si>
  <si>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</si>
  <si>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</si>
  <si>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</si>
  <si>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</si>
  <si>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</si>
  <si>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</si>
  <si>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</si>
  <si>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</si>
  <si>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</si>
  <si>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</si>
  <si>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</si>
  <si>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</si>
  <si>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</si>
  <si>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</si>
  <si>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</si>
  <si>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</si>
  <si>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</si>
  <si>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</si>
  <si>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</si>
  <si>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</si>
  <si>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</si>
  <si>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</si>
  <si>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</si>
  <si>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</si>
  <si>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</si>
  <si>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</si>
  <si>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</si>
  <si>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</si>
  <si>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</si>
  <si>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</si>
  <si>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</si>
  <si>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</si>
  <si>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</si>
  <si>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</si>
  <si>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</si>
  <si>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</si>
  <si>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</si>
  <si>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</si>
  <si>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</si>
  <si>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</si>
  <si>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</si>
  <si>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</si>
  <si>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</si>
  <si>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</si>
  <si>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</si>
  <si>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</si>
  <si>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</si>
  <si>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</si>
  <si>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</si>
  <si>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</si>
  <si>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</si>
  <si>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</si>
  <si>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</si>
  <si>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</si>
  <si>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</si>
  <si>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</si>
  <si>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</si>
  <si>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</si>
  <si>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</si>
  <si>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</si>
  <si>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</si>
  <si>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</si>
  <si>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</si>
  <si>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</si>
  <si>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</si>
  <si>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</si>
  <si>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</si>
  <si>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</si>
  <si>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</si>
  <si>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</si>
  <si>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</si>
  <si>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</si>
  <si>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</si>
  <si>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</si>
  <si>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</si>
  <si>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</si>
  <si>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</si>
  <si>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</si>
  <si>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</si>
  <si>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</si>
  <si>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</si>
  <si>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</si>
  <si>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</si>
  <si>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</si>
  <si>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</si>
  <si>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</si>
  <si>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</si>
  <si>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</si>
  <si>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</si>
  <si>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</si>
  <si>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</si>
  <si>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</si>
  <si>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</si>
  <si>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</si>
  <si>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</si>
  <si>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</si>
  <si>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</si>
  <si>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</si>
  <si>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</si>
  <si>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</si>
  <si>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</si>
  <si>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</si>
  <si>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</si>
  <si>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</si>
  <si>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</si>
  <si>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</si>
  <si>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</si>
  <si>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</si>
  <si>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</si>
  <si>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</si>
  <si>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</si>
  <si>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</si>
  <si>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</si>
  <si>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</si>
  <si>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</si>
  <si>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</si>
  <si>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</si>
  <si>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</si>
  <si>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</si>
  <si>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</si>
  <si>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</si>
  <si>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</si>
  <si>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</si>
  <si>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</si>
  <si>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</si>
  <si>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</si>
  <si>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</si>
  <si>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</si>
  <si>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</si>
  <si>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</si>
  <si>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</si>
  <si>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</si>
  <si>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</si>
  <si>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</si>
  <si>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</si>
  <si>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</si>
  <si>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</si>
  <si>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</si>
  <si>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</si>
  <si>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</si>
  <si>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</si>
  <si>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</si>
  <si>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</si>
  <si>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</si>
  <si>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</si>
  <si>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</si>
  <si>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</si>
  <si>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</si>
  <si>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</si>
  <si>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</si>
  <si>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</si>
  <si>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</si>
  <si>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</si>
  <si>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</si>
  <si>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</si>
  <si>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</si>
  <si>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</si>
  <si>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</si>
  <si>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</si>
  <si>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</si>
  <si>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</si>
  <si>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</si>
  <si>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</si>
  <si>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</si>
  <si>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</si>
  <si>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</si>
  <si>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</si>
  <si>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</si>
  <si>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</si>
  <si>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</si>
  <si>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</si>
  <si>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</si>
  <si>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</si>
  <si>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</si>
  <si>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</si>
  <si>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</si>
  <si>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</si>
  <si>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</si>
  <si>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</si>
  <si>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</si>
  <si>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</si>
  <si>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</si>
  <si>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</si>
  <si>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</si>
  <si>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</si>
  <si>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</si>
  <si>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</si>
  <si>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</si>
  <si>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</si>
  <si>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</si>
  <si>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</si>
  <si>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</si>
  <si>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</si>
  <si>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</si>
  <si>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</si>
  <si>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</si>
  <si>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</si>
  <si>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</si>
  <si>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</si>
  <si>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</si>
  <si>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</si>
  <si>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</si>
  <si>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</si>
  <si>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</si>
  <si>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</si>
  <si>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</si>
  <si>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</si>
  <si>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</si>
  <si>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</si>
  <si>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</si>
  <si>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</si>
  <si>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</si>
  <si>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</si>
  <si>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</si>
  <si>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</si>
  <si>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</si>
  <si>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</si>
  <si>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</si>
  <si>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</si>
  <si>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</si>
  <si>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</si>
  <si>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</si>
  <si>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</si>
  <si>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</si>
  <si>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</si>
  <si>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</si>
  <si>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</si>
  <si>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</si>
  <si>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</si>
  <si>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</si>
  <si>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</si>
  <si>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</si>
  <si>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</si>
  <si>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</si>
  <si>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</si>
  <si>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</si>
  <si>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</si>
  <si>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</si>
  <si>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</si>
  <si>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</si>
  <si>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</si>
  <si>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</si>
  <si>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</si>
  <si>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</si>
  <si>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</si>
  <si>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</si>
  <si>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</si>
  <si>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</si>
  <si>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</si>
  <si>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</si>
  <si>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</si>
  <si>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</si>
  <si>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</si>
  <si>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</si>
  <si>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</si>
  <si>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</si>
  <si>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</si>
  <si>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</si>
  <si>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</si>
  <si>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</si>
  <si>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</si>
  <si>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</si>
  <si>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</si>
  <si>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</si>
  <si>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</si>
  <si>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</si>
  <si>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</si>
  <si>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</si>
  <si>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</si>
  <si>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</si>
  <si>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</si>
  <si>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</si>
  <si>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</si>
  <si>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</si>
  <si>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</si>
  <si>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</si>
  <si>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</si>
  <si>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</si>
  <si>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</si>
  <si>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</si>
  <si>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</si>
  <si>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</si>
  <si>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</si>
  <si>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</si>
  <si>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</si>
  <si>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</si>
  <si>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</si>
  <si>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</si>
  <si>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</si>
  <si>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</si>
  <si>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</si>
  <si>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</si>
  <si>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</si>
  <si>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</si>
  <si>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</si>
  <si>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</si>
  <si>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</si>
  <si>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</si>
  <si>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</si>
  <si>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</si>
  <si>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</si>
  <si>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</si>
  <si>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</si>
  <si>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</si>
  <si>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</si>
  <si>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</si>
  <si>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</si>
  <si>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</si>
  <si>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</si>
  <si>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</si>
  <si>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</si>
  <si>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</si>
  <si>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</si>
  <si>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</si>
  <si>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</si>
  <si>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</si>
  <si>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</si>
  <si>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</si>
  <si>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</si>
  <si>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</si>
  <si>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</si>
  <si>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</si>
  <si>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</si>
  <si>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</si>
  <si>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</si>
  <si>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</si>
  <si>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</si>
  <si>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</si>
  <si>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</si>
  <si>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</si>
  <si>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</si>
  <si>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</si>
  <si>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</si>
  <si>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</si>
  <si>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</si>
  <si>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</si>
  <si>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</si>
  <si>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</si>
  <si>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</si>
  <si>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</si>
  <si>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</si>
  <si>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</si>
  <si>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</si>
  <si>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</si>
  <si>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</si>
  <si>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</si>
  <si>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</si>
  <si>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</si>
  <si>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</si>
  <si>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</si>
  <si>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</si>
  <si>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</si>
  <si>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</si>
  <si>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</si>
  <si>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</si>
  <si>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</si>
  <si>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</si>
  <si>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</si>
  <si>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</si>
  <si>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</si>
  <si>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</si>
  <si>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</si>
  <si>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</si>
  <si>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</si>
  <si>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</si>
  <si>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</si>
  <si>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</si>
  <si>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</si>
  <si>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</si>
  <si>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</si>
  <si>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</si>
  <si>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</si>
  <si>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</si>
  <si>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</si>
  <si>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</si>
  <si>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</si>
  <si>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</si>
  <si>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</si>
  <si>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</si>
  <si>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</si>
  <si>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</si>
  <si>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</si>
  <si>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</si>
  <si>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</si>
  <si>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</si>
  <si>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</si>
  <si>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</si>
  <si>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</si>
  <si>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</si>
  <si>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</si>
  <si>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</si>
  <si>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</si>
  <si>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</si>
  <si>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</si>
  <si>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</si>
  <si>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</si>
  <si>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</si>
  <si>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</si>
  <si>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</si>
  <si>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</si>
  <si>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</si>
  <si>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</si>
  <si>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</si>
  <si>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</si>
  <si>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</si>
  <si>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</si>
  <si>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</si>
  <si>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</si>
  <si>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</si>
  <si>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</si>
  <si>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</si>
  <si>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</si>
  <si>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</si>
  <si>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</si>
  <si>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</si>
  <si>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</si>
  <si>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</si>
  <si>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</si>
  <si>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</si>
  <si>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</si>
  <si>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</si>
  <si>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</si>
  <si>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</si>
  <si>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</si>
  <si>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</si>
  <si>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</si>
  <si>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</si>
  <si>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</si>
  <si>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</si>
  <si>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</si>
  <si>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</si>
  <si>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</si>
  <si>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</si>
  <si>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</si>
  <si>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</si>
  <si>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</si>
  <si>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</si>
  <si>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</si>
  <si>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</si>
  <si>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</si>
  <si>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</si>
  <si>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</si>
  <si>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</si>
  <si>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</si>
  <si>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</si>
  <si>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</si>
  <si>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</si>
  <si>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</si>
  <si>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</si>
  <si>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</si>
  <si>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</si>
  <si>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</si>
  <si>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</si>
  <si>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</si>
  <si>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</si>
  <si>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</si>
  <si>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</si>
  <si>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</si>
  <si>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</si>
  <si>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</si>
  <si>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</si>
  <si>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</si>
  <si>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</si>
  <si>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</si>
  <si>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</si>
  <si>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</si>
  <si>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</si>
  <si>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</si>
  <si>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</si>
  <si>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</si>
  <si>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</si>
  <si>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</si>
  <si>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</si>
  <si>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</si>
  <si>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</si>
  <si>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</si>
  <si>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</si>
  <si>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</si>
  <si>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</si>
  <si>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</si>
  <si>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</si>
  <si>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</si>
  <si>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</si>
  <si>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</si>
  <si>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</si>
  <si>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</si>
  <si>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</si>
  <si>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</si>
  <si>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</si>
  <si>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</si>
  <si>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</si>
  <si>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</si>
  <si>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</si>
  <si>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</si>
  <si>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</si>
  <si>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</si>
  <si>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</si>
  <si>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</si>
  <si>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</si>
  <si>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</si>
  <si>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</si>
  <si>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</si>
  <si>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</si>
  <si>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</si>
  <si>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</si>
  <si>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</si>
  <si>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</si>
  <si>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</si>
  <si>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</si>
  <si>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</si>
  <si>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</si>
  <si>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</si>
  <si>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</si>
  <si>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</si>
  <si>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</si>
  <si>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</si>
  <si>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</si>
  <si>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</si>
  <si>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</si>
  <si>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</si>
  <si>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</si>
  <si>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</si>
  <si>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</si>
  <si>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</si>
  <si>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</si>
  <si>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</si>
  <si>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</si>
  <si>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</si>
  <si>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</si>
  <si>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</si>
  <si>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</si>
  <si>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</si>
  <si>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</si>
  <si>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</si>
  <si>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</si>
  <si>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</si>
  <si>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</si>
  <si>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</si>
  <si>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</si>
  <si>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</si>
  <si>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</si>
  <si>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</si>
  <si>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</si>
  <si>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</si>
  <si>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</si>
  <si>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</si>
  <si>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</si>
  <si>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</si>
  <si>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</si>
  <si>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</si>
  <si>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</si>
  <si>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</si>
  <si>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</si>
  <si>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</si>
  <si>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</si>
  <si>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</si>
  <si>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</si>
  <si>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</si>
  <si>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</si>
  <si>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</si>
  <si>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</si>
  <si>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</si>
  <si>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</si>
  <si>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</si>
  <si>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</si>
  <si>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</si>
  <si>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</si>
  <si>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</si>
  <si>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</si>
  <si>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</si>
  <si>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</si>
  <si>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</si>
  <si>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</si>
  <si>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</si>
  <si>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</si>
  <si>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</si>
  <si>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</si>
  <si>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</si>
  <si>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</si>
  <si>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</si>
  <si>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</si>
  <si>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</si>
  <si>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</si>
  <si>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</si>
  <si>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</si>
  <si>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</si>
  <si>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</si>
  <si>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</si>
  <si>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</si>
  <si>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</si>
  <si>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</si>
  <si>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</si>
  <si>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</si>
  <si>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</si>
  <si>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</si>
  <si>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</si>
  <si>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</si>
  <si>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</si>
  <si>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</si>
  <si>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</si>
  <si>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</si>
  <si>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</si>
  <si>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</si>
  <si>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</si>
  <si>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</si>
  <si>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</si>
  <si>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</si>
  <si>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</si>
  <si>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</si>
  <si>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</si>
  <si>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</si>
  <si>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</si>
  <si>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</si>
  <si>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</si>
  <si>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</si>
  <si>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</si>
  <si>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</si>
  <si>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</si>
  <si>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</si>
  <si>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</si>
  <si>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</si>
  <si>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</si>
  <si>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</si>
  <si>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</si>
  <si>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</si>
  <si>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</si>
  <si>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</si>
  <si>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</si>
  <si>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</si>
  <si>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</si>
  <si>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</si>
  <si>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</si>
  <si>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</si>
  <si>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</si>
  <si>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</si>
  <si>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</si>
  <si>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</si>
  <si>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</si>
  <si>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</si>
  <si>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</si>
  <si>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</si>
  <si>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</si>
  <si>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</si>
  <si>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</si>
  <si>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</si>
  <si>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</si>
  <si>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</si>
  <si>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</si>
  <si>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</si>
  <si>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</si>
  <si>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</si>
  <si>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</si>
  <si>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</si>
  <si>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</si>
  <si>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r>
      <t xml:space="preserve">GFL KR Battle Sim - JSON Creator </t>
    </r>
    <r>
      <rPr>
        <b/>
        <sz val="12"/>
        <rFont val="Calibri"/>
        <family val="2"/>
        <scheme val="minor"/>
      </rPr>
      <t>(last updated November 30, 2024)</t>
    </r>
  </si>
  <si>
    <t>equip-10000432</t>
  </si>
  <si>
    <t>equip-20000432</t>
  </si>
  <si>
    <t>128</t>
  </si>
  <si>
    <t>equip-30000432</t>
  </si>
  <si>
    <t>1004001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</si>
</sst>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9224</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9045</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8722</v>
      </c>
      <c r="C87" s="241"/>
      <c r="D87" s="240" t="s">
        <v>8251</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8355</v>
      </c>
    </row>
    <row r="124" spans="1:16" outlineLevel="1" x14ac:dyDescent="0.3">
      <c r="A124" s="143" t="s">
        <v>8548</v>
      </c>
      <c r="B124" s="143"/>
      <c r="C124" s="143"/>
      <c r="E124" s="183"/>
    </row>
    <row r="125" spans="1:16" outlineLevel="1" x14ac:dyDescent="0.3">
      <c r="A125" s="173" t="s">
        <v>8546</v>
      </c>
      <c r="B125" s="165" t="s">
        <v>782</v>
      </c>
      <c r="C125" s="166" t="s">
        <v>768</v>
      </c>
      <c r="D125" s="165" t="s">
        <v>6590</v>
      </c>
      <c r="E125" s="166" t="s">
        <v>768</v>
      </c>
      <c r="F125" s="165" t="s">
        <v>7094</v>
      </c>
      <c r="G125" s="166" t="s">
        <v>1766</v>
      </c>
      <c r="H125" s="165" t="s">
        <v>8547</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8751</v>
      </c>
      <c r="I1" t="s">
        <v>8</v>
      </c>
      <c r="J1" t="s">
        <v>8828</v>
      </c>
      <c r="K1" t="s">
        <v>700</v>
      </c>
    </row>
    <row r="2" spans="1:11" x14ac:dyDescent="0.3">
      <c r="A2" t="s">
        <v>1777</v>
      </c>
      <c r="B2" t="s">
        <v>8747</v>
      </c>
      <c r="C2" t="s">
        <v>955</v>
      </c>
      <c r="D2" t="s">
        <v>8748</v>
      </c>
      <c r="E2" t="s">
        <v>8749</v>
      </c>
      <c r="F2" t="s">
        <v>8750</v>
      </c>
      <c r="H2" t="s">
        <v>8752</v>
      </c>
      <c r="I2" t="s">
        <v>8312</v>
      </c>
      <c r="J2">
        <v>220183</v>
      </c>
      <c r="K2" t="s">
        <v>8753</v>
      </c>
    </row>
    <row r="3" spans="1:11" x14ac:dyDescent="0.3">
      <c r="A3" t="s">
        <v>8186</v>
      </c>
      <c r="B3">
        <v>24</v>
      </c>
      <c r="C3">
        <v>28</v>
      </c>
      <c r="D3">
        <v>33</v>
      </c>
      <c r="E3">
        <v>38</v>
      </c>
      <c r="F3">
        <v>48</v>
      </c>
      <c r="H3" t="s">
        <v>8752</v>
      </c>
      <c r="I3" t="s">
        <v>8311</v>
      </c>
      <c r="J3">
        <v>770037</v>
      </c>
      <c r="K3" t="s">
        <v>8754</v>
      </c>
    </row>
    <row r="4" spans="1:11" x14ac:dyDescent="0.3">
      <c r="A4" t="s">
        <v>8187</v>
      </c>
      <c r="B4">
        <v>24</v>
      </c>
      <c r="C4">
        <v>28</v>
      </c>
      <c r="D4">
        <v>33</v>
      </c>
      <c r="E4">
        <v>38</v>
      </c>
      <c r="F4">
        <v>48</v>
      </c>
      <c r="H4" t="s">
        <v>8752</v>
      </c>
      <c r="I4" t="s">
        <v>8755</v>
      </c>
      <c r="J4">
        <v>770104</v>
      </c>
      <c r="K4" t="s">
        <v>8756</v>
      </c>
    </row>
    <row r="5" spans="1:11" x14ac:dyDescent="0.3">
      <c r="A5" t="s">
        <v>8188</v>
      </c>
      <c r="B5">
        <v>8</v>
      </c>
      <c r="C5">
        <v>9</v>
      </c>
      <c r="D5">
        <v>11</v>
      </c>
      <c r="E5">
        <v>12</v>
      </c>
      <c r="F5">
        <v>16</v>
      </c>
      <c r="H5" t="s">
        <v>8752</v>
      </c>
      <c r="I5" t="s">
        <v>8757</v>
      </c>
      <c r="J5">
        <v>770040</v>
      </c>
      <c r="K5" t="s">
        <v>8758</v>
      </c>
    </row>
    <row r="6" spans="1:11" x14ac:dyDescent="0.3">
      <c r="A6" t="s">
        <v>7737</v>
      </c>
      <c r="B6">
        <v>16</v>
      </c>
      <c r="C6">
        <v>19</v>
      </c>
      <c r="D6">
        <v>22</v>
      </c>
      <c r="E6">
        <v>25</v>
      </c>
      <c r="F6">
        <v>32</v>
      </c>
      <c r="H6" t="s">
        <v>8752</v>
      </c>
      <c r="I6" t="s">
        <v>8759</v>
      </c>
      <c r="J6">
        <v>770114</v>
      </c>
      <c r="K6" t="s">
        <v>8760</v>
      </c>
    </row>
    <row r="7" spans="1:11" x14ac:dyDescent="0.3">
      <c r="A7" t="s">
        <v>877</v>
      </c>
      <c r="B7">
        <v>5</v>
      </c>
      <c r="C7">
        <v>6</v>
      </c>
      <c r="D7">
        <v>7</v>
      </c>
      <c r="E7">
        <v>8</v>
      </c>
      <c r="F7">
        <v>10</v>
      </c>
      <c r="H7" t="s">
        <v>8752</v>
      </c>
      <c r="I7" t="s">
        <v>8761</v>
      </c>
      <c r="J7">
        <v>770039</v>
      </c>
      <c r="K7" t="s">
        <v>8762</v>
      </c>
    </row>
    <row r="8" spans="1:11" x14ac:dyDescent="0.3">
      <c r="A8" t="s">
        <v>38</v>
      </c>
      <c r="B8">
        <v>5</v>
      </c>
      <c r="C8">
        <v>6</v>
      </c>
      <c r="D8">
        <v>7</v>
      </c>
      <c r="E8">
        <v>8</v>
      </c>
      <c r="F8">
        <v>10</v>
      </c>
      <c r="H8" t="s">
        <v>8752</v>
      </c>
      <c r="I8" t="s">
        <v>8763</v>
      </c>
      <c r="J8">
        <v>770041</v>
      </c>
      <c r="K8" t="s">
        <v>8764</v>
      </c>
    </row>
    <row r="9" spans="1:11" x14ac:dyDescent="0.3">
      <c r="A9" t="s">
        <v>277</v>
      </c>
      <c r="B9">
        <v>2</v>
      </c>
      <c r="C9">
        <v>3</v>
      </c>
      <c r="D9">
        <v>4</v>
      </c>
      <c r="E9">
        <v>5</v>
      </c>
      <c r="F9">
        <v>6</v>
      </c>
      <c r="H9" t="s">
        <v>8765</v>
      </c>
      <c r="I9" t="s">
        <v>8766</v>
      </c>
      <c r="J9">
        <v>770093</v>
      </c>
      <c r="K9" t="s">
        <v>8767</v>
      </c>
    </row>
    <row r="10" spans="1:11" x14ac:dyDescent="0.3">
      <c r="A10" t="s">
        <v>39</v>
      </c>
      <c r="B10">
        <v>2</v>
      </c>
      <c r="C10">
        <v>3</v>
      </c>
      <c r="D10">
        <v>4</v>
      </c>
      <c r="E10">
        <v>5</v>
      </c>
      <c r="F10">
        <v>6</v>
      </c>
      <c r="H10" t="s">
        <v>8765</v>
      </c>
      <c r="I10" t="s">
        <v>8768</v>
      </c>
      <c r="J10">
        <v>770092</v>
      </c>
      <c r="K10" t="s">
        <v>8769</v>
      </c>
    </row>
    <row r="11" spans="1:11" x14ac:dyDescent="0.3">
      <c r="A11" t="s">
        <v>8267</v>
      </c>
      <c r="B11">
        <v>10</v>
      </c>
      <c r="C11">
        <v>12</v>
      </c>
      <c r="D11">
        <v>14</v>
      </c>
      <c r="E11">
        <v>16</v>
      </c>
      <c r="F11">
        <v>20</v>
      </c>
      <c r="H11" t="s">
        <v>8765</v>
      </c>
      <c r="I11" t="s">
        <v>8770</v>
      </c>
      <c r="J11">
        <v>770028</v>
      </c>
      <c r="K11" t="s">
        <v>8771</v>
      </c>
    </row>
    <row r="12" spans="1:11" x14ac:dyDescent="0.3">
      <c r="A12" t="s">
        <v>8268</v>
      </c>
      <c r="B12">
        <v>10</v>
      </c>
      <c r="C12">
        <v>12</v>
      </c>
      <c r="D12">
        <v>14</v>
      </c>
      <c r="E12">
        <v>16</v>
      </c>
      <c r="F12">
        <v>20</v>
      </c>
      <c r="H12" t="s">
        <v>8765</v>
      </c>
      <c r="I12" t="s">
        <v>8772</v>
      </c>
      <c r="J12">
        <v>770100</v>
      </c>
      <c r="K12" t="s">
        <v>8773</v>
      </c>
    </row>
    <row r="13" spans="1:11" x14ac:dyDescent="0.3">
      <c r="A13" t="s">
        <v>8190</v>
      </c>
      <c r="B13">
        <v>13</v>
      </c>
      <c r="C13">
        <v>15</v>
      </c>
      <c r="D13">
        <v>18</v>
      </c>
      <c r="E13">
        <v>20</v>
      </c>
      <c r="F13">
        <v>26</v>
      </c>
      <c r="H13" t="s">
        <v>8765</v>
      </c>
      <c r="I13" t="s">
        <v>8316</v>
      </c>
      <c r="J13">
        <v>770026</v>
      </c>
      <c r="K13" t="s">
        <v>8774</v>
      </c>
    </row>
    <row r="14" spans="1:11" x14ac:dyDescent="0.3">
      <c r="A14" t="s">
        <v>8191</v>
      </c>
      <c r="B14">
        <v>38</v>
      </c>
      <c r="C14">
        <v>45</v>
      </c>
      <c r="D14">
        <v>53</v>
      </c>
      <c r="E14">
        <v>60</v>
      </c>
      <c r="F14">
        <v>76</v>
      </c>
      <c r="H14" t="s">
        <v>8765</v>
      </c>
      <c r="I14" t="s">
        <v>8775</v>
      </c>
      <c r="J14">
        <v>220182</v>
      </c>
      <c r="K14" t="s">
        <v>8776</v>
      </c>
    </row>
    <row r="15" spans="1:11" x14ac:dyDescent="0.3">
      <c r="A15" t="s">
        <v>8189</v>
      </c>
      <c r="B15">
        <v>19</v>
      </c>
      <c r="C15">
        <v>22</v>
      </c>
      <c r="D15">
        <v>26</v>
      </c>
      <c r="E15">
        <v>30</v>
      </c>
      <c r="F15">
        <v>38</v>
      </c>
      <c r="H15" t="s">
        <v>8765</v>
      </c>
      <c r="I15" t="s">
        <v>8315</v>
      </c>
      <c r="J15">
        <v>770030</v>
      </c>
      <c r="K15" t="s">
        <v>8777</v>
      </c>
    </row>
    <row r="16" spans="1:11" x14ac:dyDescent="0.3">
      <c r="A16" t="s">
        <v>1797</v>
      </c>
      <c r="B16" t="s">
        <v>8321</v>
      </c>
      <c r="C16" t="s">
        <v>8321</v>
      </c>
      <c r="D16" t="s">
        <v>8321</v>
      </c>
      <c r="E16" t="s">
        <v>8321</v>
      </c>
      <c r="F16" t="s">
        <v>8321</v>
      </c>
      <c r="H16" t="s">
        <v>8765</v>
      </c>
      <c r="I16" t="s">
        <v>8778</v>
      </c>
      <c r="J16">
        <v>770032</v>
      </c>
      <c r="K16" t="s">
        <v>8779</v>
      </c>
    </row>
    <row r="17" spans="8:11" x14ac:dyDescent="0.3">
      <c r="H17" t="s">
        <v>8765</v>
      </c>
      <c r="I17" t="s">
        <v>8780</v>
      </c>
      <c r="J17">
        <v>770034</v>
      </c>
      <c r="K17" t="s">
        <v>8781</v>
      </c>
    </row>
    <row r="18" spans="8:11" x14ac:dyDescent="0.3">
      <c r="H18" t="s">
        <v>639</v>
      </c>
      <c r="I18" t="s">
        <v>8782</v>
      </c>
      <c r="J18">
        <v>770024</v>
      </c>
      <c r="K18" t="s">
        <v>8783</v>
      </c>
    </row>
    <row r="19" spans="8:11" x14ac:dyDescent="0.3">
      <c r="H19" t="s">
        <v>639</v>
      </c>
      <c r="I19" t="s">
        <v>7379</v>
      </c>
      <c r="J19">
        <v>770109</v>
      </c>
      <c r="K19" t="s">
        <v>8784</v>
      </c>
    </row>
    <row r="20" spans="8:11" x14ac:dyDescent="0.3">
      <c r="H20" t="s">
        <v>639</v>
      </c>
      <c r="I20" t="s">
        <v>8785</v>
      </c>
      <c r="J20">
        <v>770091</v>
      </c>
      <c r="K20" t="s">
        <v>8786</v>
      </c>
    </row>
    <row r="21" spans="8:11" x14ac:dyDescent="0.3">
      <c r="H21" t="s">
        <v>639</v>
      </c>
      <c r="I21" t="s">
        <v>8318</v>
      </c>
      <c r="J21">
        <v>770090</v>
      </c>
      <c r="K21" t="s">
        <v>8787</v>
      </c>
    </row>
    <row r="22" spans="8:11" x14ac:dyDescent="0.3">
      <c r="H22" t="s">
        <v>639</v>
      </c>
      <c r="I22" t="s">
        <v>8788</v>
      </c>
      <c r="J22">
        <v>770107</v>
      </c>
      <c r="K22" t="s">
        <v>8789</v>
      </c>
    </row>
    <row r="23" spans="8:11" x14ac:dyDescent="0.3">
      <c r="H23" t="s">
        <v>639</v>
      </c>
      <c r="I23" t="s">
        <v>8790</v>
      </c>
      <c r="J23">
        <v>770096</v>
      </c>
      <c r="K23" t="s">
        <v>8791</v>
      </c>
    </row>
    <row r="24" spans="8:11" x14ac:dyDescent="0.3">
      <c r="H24" t="s">
        <v>639</v>
      </c>
      <c r="I24" t="s">
        <v>8792</v>
      </c>
      <c r="J24">
        <v>770014</v>
      </c>
      <c r="K24" t="s">
        <v>8793</v>
      </c>
    </row>
    <row r="25" spans="8:11" x14ac:dyDescent="0.3">
      <c r="H25" t="s">
        <v>639</v>
      </c>
      <c r="I25" t="s">
        <v>8317</v>
      </c>
      <c r="J25">
        <v>770016</v>
      </c>
      <c r="K25" t="s">
        <v>8794</v>
      </c>
    </row>
    <row r="26" spans="8:11" x14ac:dyDescent="0.3">
      <c r="H26" t="s">
        <v>639</v>
      </c>
      <c r="I26" t="s">
        <v>8795</v>
      </c>
      <c r="J26">
        <v>770019</v>
      </c>
      <c r="K26" t="s">
        <v>8796</v>
      </c>
    </row>
    <row r="27" spans="8:11" x14ac:dyDescent="0.3">
      <c r="H27" t="s">
        <v>8296</v>
      </c>
      <c r="I27" t="s">
        <v>8797</v>
      </c>
      <c r="J27">
        <v>220173</v>
      </c>
      <c r="K27" t="s">
        <v>8798</v>
      </c>
    </row>
    <row r="28" spans="8:11" x14ac:dyDescent="0.3">
      <c r="H28" t="s">
        <v>8296</v>
      </c>
      <c r="I28" t="s">
        <v>8799</v>
      </c>
      <c r="J28">
        <v>220181</v>
      </c>
      <c r="K28" t="s">
        <v>8800</v>
      </c>
    </row>
    <row r="29" spans="8:11" x14ac:dyDescent="0.3">
      <c r="H29" t="s">
        <v>8296</v>
      </c>
      <c r="I29" t="s">
        <v>8801</v>
      </c>
      <c r="J29">
        <v>220175</v>
      </c>
      <c r="K29" t="s">
        <v>8802</v>
      </c>
    </row>
    <row r="30" spans="8:11" x14ac:dyDescent="0.3">
      <c r="H30" t="s">
        <v>8296</v>
      </c>
      <c r="I30" t="s">
        <v>8319</v>
      </c>
      <c r="J30">
        <v>220167</v>
      </c>
      <c r="K30" t="s">
        <v>8803</v>
      </c>
    </row>
    <row r="31" spans="8:11" x14ac:dyDescent="0.3">
      <c r="H31" t="s">
        <v>8296</v>
      </c>
      <c r="I31" t="s">
        <v>8804</v>
      </c>
      <c r="J31">
        <v>220185</v>
      </c>
      <c r="K31" t="s">
        <v>8805</v>
      </c>
    </row>
    <row r="32" spans="8:11" x14ac:dyDescent="0.3">
      <c r="H32" t="s">
        <v>8296</v>
      </c>
      <c r="I32" t="s">
        <v>8806</v>
      </c>
      <c r="J32">
        <v>220180</v>
      </c>
      <c r="K32" t="s">
        <v>8807</v>
      </c>
    </row>
    <row r="33" spans="8:11" x14ac:dyDescent="0.3">
      <c r="H33" t="s">
        <v>8297</v>
      </c>
      <c r="I33" t="s">
        <v>8808</v>
      </c>
      <c r="J33">
        <v>770038</v>
      </c>
      <c r="K33" t="s">
        <v>8809</v>
      </c>
    </row>
    <row r="34" spans="8:11" x14ac:dyDescent="0.3">
      <c r="H34" t="s">
        <v>8297</v>
      </c>
      <c r="I34" t="s">
        <v>8810</v>
      </c>
      <c r="J34">
        <v>770036</v>
      </c>
      <c r="K34" t="s">
        <v>8811</v>
      </c>
    </row>
    <row r="35" spans="8:11" x14ac:dyDescent="0.3">
      <c r="H35" t="s">
        <v>8297</v>
      </c>
      <c r="I35" t="s">
        <v>8320</v>
      </c>
      <c r="J35">
        <v>770113</v>
      </c>
      <c r="K35" t="s">
        <v>8812</v>
      </c>
    </row>
    <row r="36" spans="8:11" x14ac:dyDescent="0.3">
      <c r="H36" t="s">
        <v>8297</v>
      </c>
      <c r="I36" t="s">
        <v>7335</v>
      </c>
      <c r="J36">
        <v>770106</v>
      </c>
      <c r="K36" t="s">
        <v>8813</v>
      </c>
    </row>
    <row r="37" spans="8:11" x14ac:dyDescent="0.3">
      <c r="H37" t="s">
        <v>8297</v>
      </c>
      <c r="I37" t="s">
        <v>8814</v>
      </c>
      <c r="J37">
        <v>220187</v>
      </c>
      <c r="K37" t="s">
        <v>8815</v>
      </c>
    </row>
    <row r="38" spans="8:11" x14ac:dyDescent="0.3">
      <c r="H38" t="s">
        <v>8297</v>
      </c>
      <c r="I38" t="s">
        <v>8816</v>
      </c>
      <c r="J38">
        <v>770125</v>
      </c>
      <c r="K38" t="s">
        <v>8817</v>
      </c>
    </row>
    <row r="39" spans="8:11" x14ac:dyDescent="0.3">
      <c r="H39" t="s">
        <v>8747</v>
      </c>
      <c r="I39" t="s">
        <v>8818</v>
      </c>
      <c r="J39">
        <v>770084</v>
      </c>
      <c r="K39" t="s">
        <v>8819</v>
      </c>
    </row>
    <row r="40" spans="8:11" x14ac:dyDescent="0.3">
      <c r="H40" t="s">
        <v>8747</v>
      </c>
      <c r="I40" t="s">
        <v>8820</v>
      </c>
      <c r="J40">
        <v>770081</v>
      </c>
      <c r="K40" t="s">
        <v>8821</v>
      </c>
    </row>
    <row r="41" spans="8:11" x14ac:dyDescent="0.3">
      <c r="H41" t="s">
        <v>8747</v>
      </c>
      <c r="I41" t="s">
        <v>8313</v>
      </c>
      <c r="J41">
        <v>770045</v>
      </c>
      <c r="K41" t="s">
        <v>8822</v>
      </c>
    </row>
    <row r="42" spans="8:11" x14ac:dyDescent="0.3">
      <c r="H42" t="s">
        <v>8747</v>
      </c>
      <c r="I42" t="s">
        <v>8823</v>
      </c>
      <c r="J42">
        <v>770082</v>
      </c>
      <c r="K42" t="s">
        <v>8824</v>
      </c>
    </row>
    <row r="43" spans="8:11" x14ac:dyDescent="0.3">
      <c r="H43" t="s">
        <v>8747</v>
      </c>
      <c r="I43" t="s">
        <v>8314</v>
      </c>
      <c r="J43">
        <v>770046</v>
      </c>
      <c r="K43" t="s">
        <v>8825</v>
      </c>
    </row>
    <row r="44" spans="8:11" x14ac:dyDescent="0.3">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8371</v>
      </c>
      <c r="D1" s="85" t="s">
        <v>8372</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7092</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7314</v>
      </c>
      <c r="B7" s="1">
        <f>IF(DayNight="Day",83,79)</f>
        <v>79</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3">
      <c r="A13" s="1">
        <f t="shared" ref="A13" si="5">A4</f>
        <v>102</v>
      </c>
      <c r="B13" s="1">
        <f t="shared" si="3"/>
        <v>64</v>
      </c>
      <c r="C13" s="9" t="str">
        <f t="shared" si="4"/>
        <v>"ally_instance_ids": [],</v>
      </c>
      <c r="D13" s="1" t="s">
        <v>8558</v>
      </c>
      <c r="E13" s="1" t="str">
        <f>IF(DayNight&lt;&gt;"Day","",_xlfn.IFNA(MATCH(A13,Main!$I$126:$I$128,0),""))</f>
        <v/>
      </c>
    </row>
    <row r="14" spans="1:6" x14ac:dyDescent="0.3">
      <c r="A14" s="1">
        <f t="shared" ref="A14" si="6">A5</f>
        <v>104</v>
      </c>
      <c r="B14" s="1">
        <f t="shared" si="3"/>
        <v>112</v>
      </c>
      <c r="C14" s="9" t="str">
        <f t="shared" si="4"/>
        <v>"ally_instance_ids": [],</v>
      </c>
      <c r="D14" s="1" t="s">
        <v>8558</v>
      </c>
      <c r="E14" s="1" t="str">
        <f>IF(DayNight&lt;&gt;"Day","",_xlfn.IFNA(MATCH(A14,Main!$I$126:$I$128,0),""))</f>
        <v/>
      </c>
    </row>
    <row r="15" spans="1:6" x14ac:dyDescent="0.3">
      <c r="A15" s="1">
        <f t="shared" ref="A15" si="7">A6</f>
        <v>105</v>
      </c>
      <c r="B15" s="1">
        <f t="shared" si="3"/>
        <v>136</v>
      </c>
      <c r="C15" s="9" t="str">
        <f t="shared" si="4"/>
        <v>"ally_instance_ids": [],</v>
      </c>
      <c r="D15" s="1" t="s">
        <v>8558</v>
      </c>
      <c r="E15" s="1" t="str">
        <f>IF(DayNight&lt;&gt;"Day","",_xlfn.IFNA(MATCH(A15,Main!$I$126:$I$128,0),""))</f>
        <v/>
      </c>
    </row>
    <row r="16" spans="1:6" x14ac:dyDescent="0.3">
      <c r="A16" s="1">
        <f t="shared" ref="A16" si="8">A7</f>
        <v>106</v>
      </c>
      <c r="B16" s="1">
        <f t="shared" si="3"/>
        <v>160</v>
      </c>
      <c r="C16" s="9" t="str">
        <f t="shared" si="4"/>
        <v>"ally_instance_ids": [],</v>
      </c>
      <c r="D16" s="1" t="s">
        <v>8558</v>
      </c>
      <c r="E16" s="1" t="str">
        <f>IF(DayNight&lt;&gt;"Day","",_xlfn.IFNA(MATCH(A16,Main!$I$126:$I$128,0),""))</f>
        <v/>
      </c>
    </row>
    <row r="17" spans="1:5" x14ac:dyDescent="0.3">
      <c r="A17" s="1">
        <f t="shared" ref="A17" si="9">A8</f>
        <v>107</v>
      </c>
      <c r="B17" s="1">
        <f t="shared" si="3"/>
        <v>184</v>
      </c>
      <c r="C17" s="9" t="str">
        <f t="shared" si="4"/>
        <v>"ally_instance_ids": [],</v>
      </c>
      <c r="D17" s="1" t="s">
        <v>8558</v>
      </c>
      <c r="E17" s="1" t="str">
        <f>IF(DayNight&lt;&gt;"Day","",_xlfn.IFNA(MATCH(A17,Main!$I$126:$I$128,0),""))</f>
        <v/>
      </c>
    </row>
    <row r="18" spans="1:5" x14ac:dyDescent="0.3">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3">
      <c r="A35" s="1">
        <f t="shared" ref="A35" si="4">A4</f>
        <v>7119</v>
      </c>
      <c r="B35" s="1">
        <f t="shared" si="2"/>
        <v>64</v>
      </c>
      <c r="C35" s="9" t="str">
        <f t="shared" si="3"/>
        <v>"ally_instance_ids": [],</v>
      </c>
      <c r="D35" s="1" t="s">
        <v>8558</v>
      </c>
      <c r="E35" s="1" t="str">
        <f>IF(DayNight&lt;&gt;"Night","",_xlfn.IFNA(MATCH(A35,Main!$I$126:$I$128,0),""))</f>
        <v/>
      </c>
    </row>
    <row r="36" spans="1:5" x14ac:dyDescent="0.3">
      <c r="A36" s="1">
        <f t="shared" ref="A36" si="5">A5</f>
        <v>7120</v>
      </c>
      <c r="B36" s="1">
        <f t="shared" si="2"/>
        <v>88</v>
      </c>
      <c r="C36" s="9" t="str">
        <f t="shared" si="3"/>
        <v>"ally_instance_ids": [],</v>
      </c>
      <c r="D36" s="1" t="s">
        <v>8558</v>
      </c>
      <c r="E36" s="1" t="str">
        <f>IF(DayNight&lt;&gt;"Night","",_xlfn.IFNA(MATCH(A36,Main!$I$126:$I$128,0),""))</f>
        <v/>
      </c>
    </row>
    <row r="37" spans="1:5" x14ac:dyDescent="0.3">
      <c r="A37" s="1">
        <f t="shared" ref="A37" si="6">A6</f>
        <v>7121</v>
      </c>
      <c r="B37" s="1">
        <f t="shared" si="2"/>
        <v>112</v>
      </c>
      <c r="C37" s="9" t="str">
        <f t="shared" si="3"/>
        <v>"ally_instance_ids": [],</v>
      </c>
      <c r="D37" s="1" t="s">
        <v>8558</v>
      </c>
      <c r="E37" s="1" t="str">
        <f>IF(DayNight&lt;&gt;"Night","",_xlfn.IFNA(MATCH(A37,Main!$I$126:$I$128,0),""))</f>
        <v/>
      </c>
    </row>
    <row r="38" spans="1:5" x14ac:dyDescent="0.3">
      <c r="A38" s="1">
        <f t="shared" ref="A38" si="7">A7</f>
        <v>7122</v>
      </c>
      <c r="B38" s="1">
        <f t="shared" si="2"/>
        <v>136</v>
      </c>
      <c r="C38" s="9" t="str">
        <f t="shared" si="3"/>
        <v>"ally_instance_ids": [],</v>
      </c>
      <c r="D38" s="1" t="s">
        <v>8558</v>
      </c>
      <c r="E38" s="1" t="str">
        <f>IF(DayNight&lt;&gt;"Night","",_xlfn.IFNA(MATCH(A38,Main!$I$126:$I$128,0),""))</f>
        <v/>
      </c>
    </row>
    <row r="39" spans="1:5" x14ac:dyDescent="0.3">
      <c r="A39" s="1">
        <f t="shared" ref="A39" si="8">A8</f>
        <v>7123</v>
      </c>
      <c r="B39" s="1">
        <f t="shared" si="2"/>
        <v>160</v>
      </c>
      <c r="C39" s="9" t="str">
        <f t="shared" si="3"/>
        <v>"ally_instance_ids": [],</v>
      </c>
      <c r="D39" s="1" t="s">
        <v>8558</v>
      </c>
      <c r="E39" s="1" t="str">
        <f>IF(DayNight&lt;&gt;"Night","",_xlfn.IFNA(MATCH(A39,Main!$I$126:$I$128,0),""))</f>
        <v/>
      </c>
    </row>
    <row r="40" spans="1:5" x14ac:dyDescent="0.3">
      <c r="A40" s="1">
        <f t="shared" ref="A40" si="9">A9</f>
        <v>7124</v>
      </c>
      <c r="B40" s="1">
        <f t="shared" si="2"/>
        <v>184</v>
      </c>
      <c r="C40" s="9" t="str">
        <f t="shared" si="3"/>
        <v>"ally_instance_ids": [],</v>
      </c>
      <c r="D40" s="1" t="s">
        <v>8558</v>
      </c>
      <c r="E40" s="1" t="str">
        <f>IF(DayNight&lt;&gt;"Night","",_xlfn.IFNA(MATCH(A40,Main!$I$126:$I$128,0),""))</f>
        <v/>
      </c>
    </row>
    <row r="41" spans="1:5" x14ac:dyDescent="0.3">
      <c r="A41" s="1">
        <f t="shared" ref="A41" si="10">A10</f>
        <v>7126</v>
      </c>
      <c r="B41" s="1">
        <f t="shared" si="2"/>
        <v>208</v>
      </c>
      <c r="C41" s="9" t="str">
        <f t="shared" si="3"/>
        <v>"ally_instance_ids": [],</v>
      </c>
      <c r="D41" s="1" t="s">
        <v>8558</v>
      </c>
      <c r="E41" s="1" t="str">
        <f>IF(DayNight&lt;&gt;"Night","",_xlfn.IFNA(MATCH(A41,Main!$I$126:$I$128,0),""))</f>
        <v/>
      </c>
    </row>
    <row r="42" spans="1:5" x14ac:dyDescent="0.3">
      <c r="A42" s="1">
        <f t="shared" ref="A42" si="11">A11</f>
        <v>7127</v>
      </c>
      <c r="B42" s="1">
        <f t="shared" si="2"/>
        <v>232</v>
      </c>
      <c r="C42" s="9" t="str">
        <f t="shared" si="3"/>
        <v>"ally_instance_ids": [],</v>
      </c>
      <c r="D42" s="1" t="s">
        <v>8558</v>
      </c>
      <c r="E42" s="1" t="str">
        <f>IF(DayNight&lt;&gt;"Night","",_xlfn.IFNA(MATCH(A42,Main!$I$126:$I$128,0),""))</f>
        <v/>
      </c>
    </row>
    <row r="43" spans="1:5" x14ac:dyDescent="0.3">
      <c r="A43" s="1">
        <f t="shared" ref="A43" si="12">A12</f>
        <v>7128</v>
      </c>
      <c r="B43" s="1">
        <f t="shared" si="2"/>
        <v>256</v>
      </c>
      <c r="C43" s="9" t="str">
        <f t="shared" si="3"/>
        <v>"ally_instance_ids": [],</v>
      </c>
      <c r="D43" s="1" t="s">
        <v>8558</v>
      </c>
      <c r="E43" s="1" t="str">
        <f>IF(DayNight&lt;&gt;"Night","",_xlfn.IFNA(MATCH(A43,Main!$I$126:$I$128,0),""))</f>
        <v/>
      </c>
    </row>
    <row r="44" spans="1:5" x14ac:dyDescent="0.3">
      <c r="A44" s="1">
        <f t="shared" ref="A44" si="13">A13</f>
        <v>7129</v>
      </c>
      <c r="B44" s="1">
        <f t="shared" si="2"/>
        <v>280</v>
      </c>
      <c r="C44" s="9" t="str">
        <f t="shared" si="3"/>
        <v>"ally_instance_ids": [],</v>
      </c>
      <c r="D44" s="1" t="s">
        <v>8558</v>
      </c>
      <c r="E44" s="1" t="str">
        <f>IF(DayNight&lt;&gt;"Night","",_xlfn.IFNA(MATCH(A44,Main!$I$126:$I$128,0),""))</f>
        <v/>
      </c>
    </row>
    <row r="45" spans="1:5" x14ac:dyDescent="0.3">
      <c r="A45" s="1">
        <f t="shared" ref="A45" si="14">A14</f>
        <v>7130</v>
      </c>
      <c r="B45" s="1">
        <f t="shared" si="2"/>
        <v>304</v>
      </c>
      <c r="C45" s="9" t="str">
        <f t="shared" si="3"/>
        <v>"ally_instance_ids": [],</v>
      </c>
      <c r="D45" s="1" t="s">
        <v>8558</v>
      </c>
      <c r="E45" s="1" t="str">
        <f>IF(DayNight&lt;&gt;"Night","",_xlfn.IFNA(MATCH(A45,Main!$I$126:$I$128,0),""))</f>
        <v/>
      </c>
    </row>
    <row r="46" spans="1:5" x14ac:dyDescent="0.3">
      <c r="A46" s="1">
        <f t="shared" ref="A46" si="15">A15</f>
        <v>7131</v>
      </c>
      <c r="B46" s="1">
        <f t="shared" si="2"/>
        <v>328</v>
      </c>
      <c r="C46" s="9" t="str">
        <f t="shared" si="3"/>
        <v>"ally_instance_ids": [],</v>
      </c>
      <c r="D46" s="1" t="s">
        <v>8558</v>
      </c>
      <c r="E46" s="1" t="str">
        <f>IF(DayNight&lt;&gt;"Night","",_xlfn.IFNA(MATCH(A46,Main!$I$126:$I$128,0),""))</f>
        <v/>
      </c>
    </row>
    <row r="47" spans="1:5" x14ac:dyDescent="0.3">
      <c r="A47" s="1">
        <f t="shared" ref="A47" si="16">A16</f>
        <v>7132</v>
      </c>
      <c r="B47" s="1">
        <f t="shared" si="2"/>
        <v>352</v>
      </c>
      <c r="C47" s="9" t="str">
        <f t="shared" si="3"/>
        <v>"ally_instance_ids": [],</v>
      </c>
      <c r="D47" s="1" t="s">
        <v>8558</v>
      </c>
      <c r="E47" s="1" t="str">
        <f>IF(DayNight&lt;&gt;"Night","",_xlfn.IFNA(MATCH(A47,Main!$I$126:$I$128,0),""))</f>
        <v/>
      </c>
    </row>
    <row r="48" spans="1:5" x14ac:dyDescent="0.3">
      <c r="A48" s="1">
        <f t="shared" ref="A48" si="17">A17</f>
        <v>7133</v>
      </c>
      <c r="B48" s="1">
        <f t="shared" si="2"/>
        <v>376</v>
      </c>
      <c r="C48" s="9" t="str">
        <f t="shared" si="3"/>
        <v>"ally_instance_ids": [],</v>
      </c>
      <c r="D48" s="1" t="s">
        <v>8558</v>
      </c>
      <c r="E48" s="1" t="str">
        <f>IF(DayNight&lt;&gt;"Night","",_xlfn.IFNA(MATCH(A48,Main!$I$126:$I$128,0),""))</f>
        <v/>
      </c>
    </row>
    <row r="49" spans="1:5" x14ac:dyDescent="0.3">
      <c r="A49" s="1">
        <f t="shared" ref="A49" si="18">A18</f>
        <v>7134</v>
      </c>
      <c r="B49" s="1">
        <f t="shared" si="2"/>
        <v>400</v>
      </c>
      <c r="C49" s="9" t="str">
        <f t="shared" si="3"/>
        <v>"ally_instance_ids": [],</v>
      </c>
      <c r="D49" s="1" t="s">
        <v>8558</v>
      </c>
      <c r="E49" s="1" t="str">
        <f>IF(DayNight&lt;&gt;"Night","",_xlfn.IFNA(MATCH(A49,Main!$I$126:$I$128,0),""))</f>
        <v/>
      </c>
    </row>
    <row r="50" spans="1:5" x14ac:dyDescent="0.3">
      <c r="A50" s="1">
        <f t="shared" ref="A50" si="19">A19</f>
        <v>7135</v>
      </c>
      <c r="B50" s="1">
        <f t="shared" si="2"/>
        <v>424</v>
      </c>
      <c r="C50" s="9" t="str">
        <f t="shared" si="3"/>
        <v>"ally_instance_ids": [],</v>
      </c>
      <c r="D50" s="1" t="s">
        <v>8558</v>
      </c>
      <c r="E50" s="1" t="str">
        <f>IF(DayNight&lt;&gt;"Night","",_xlfn.IFNA(MATCH(A50,Main!$I$126:$I$128,0),""))</f>
        <v/>
      </c>
    </row>
    <row r="51" spans="1:5" x14ac:dyDescent="0.3">
      <c r="A51" s="1">
        <f t="shared" ref="A51" si="20">A20</f>
        <v>7136</v>
      </c>
      <c r="B51" s="1">
        <f t="shared" si="2"/>
        <v>448</v>
      </c>
      <c r="C51" s="9" t="str">
        <f t="shared" si="3"/>
        <v>"ally_instance_ids": [],</v>
      </c>
      <c r="D51" s="1" t="s">
        <v>8558</v>
      </c>
      <c r="E51" s="1" t="str">
        <f>IF(DayNight&lt;&gt;"Night","",_xlfn.IFNA(MATCH(A51,Main!$I$126:$I$128,0),""))</f>
        <v/>
      </c>
    </row>
    <row r="52" spans="1:5" x14ac:dyDescent="0.3">
      <c r="A52" s="1">
        <f t="shared" ref="A52" si="21">A21</f>
        <v>7137</v>
      </c>
      <c r="B52" s="1">
        <f t="shared" si="2"/>
        <v>472</v>
      </c>
      <c r="C52" s="9" t="str">
        <f t="shared" si="3"/>
        <v>"ally_instance_ids": [],</v>
      </c>
      <c r="D52" s="1" t="s">
        <v>8558</v>
      </c>
      <c r="E52" s="1" t="str">
        <f>IF(DayNight&lt;&gt;"Night","",_xlfn.IFNA(MATCH(A52,Main!$I$126:$I$128,0),""))</f>
        <v/>
      </c>
    </row>
    <row r="53" spans="1:5" x14ac:dyDescent="0.3">
      <c r="A53" s="1">
        <f t="shared" ref="A53" si="22">A22</f>
        <v>7138</v>
      </c>
      <c r="B53" s="1">
        <f t="shared" si="2"/>
        <v>496</v>
      </c>
      <c r="C53" s="9" t="str">
        <f t="shared" si="3"/>
        <v>"ally_instance_ids": [],</v>
      </c>
      <c r="D53" s="1" t="s">
        <v>8558</v>
      </c>
      <c r="E53" s="1" t="str">
        <f>IF(DayNight&lt;&gt;"Night","",_xlfn.IFNA(MATCH(A53,Main!$I$126:$I$128,0),""))</f>
        <v/>
      </c>
    </row>
    <row r="54" spans="1:5" x14ac:dyDescent="0.3">
      <c r="A54" s="1">
        <f t="shared" ref="A54" si="23">A23</f>
        <v>7139</v>
      </c>
      <c r="B54" s="1">
        <f t="shared" si="2"/>
        <v>520</v>
      </c>
      <c r="C54" s="9" t="str">
        <f t="shared" si="3"/>
        <v>"ally_instance_ids": [],</v>
      </c>
      <c r="D54" s="1" t="s">
        <v>8558</v>
      </c>
      <c r="E54" s="1" t="str">
        <f>IF(DayNight&lt;&gt;"Night","",_xlfn.IFNA(MATCH(A54,Main!$I$126:$I$128,0),""))</f>
        <v/>
      </c>
    </row>
    <row r="55" spans="1:5" x14ac:dyDescent="0.3">
      <c r="A55" s="1">
        <f t="shared" ref="A55" si="24">A24</f>
        <v>7140</v>
      </c>
      <c r="B55" s="1">
        <f t="shared" si="2"/>
        <v>544</v>
      </c>
      <c r="C55" s="9" t="str">
        <f t="shared" si="3"/>
        <v>"ally_instance_ids": [],</v>
      </c>
      <c r="D55" s="1" t="s">
        <v>8558</v>
      </c>
      <c r="E55" s="1" t="str">
        <f>IF(DayNight&lt;&gt;"Night","",_xlfn.IFNA(MATCH(A55,Main!$I$126:$I$128,0),""))</f>
        <v/>
      </c>
    </row>
    <row r="56" spans="1:5" x14ac:dyDescent="0.3">
      <c r="A56" s="1">
        <f t="shared" ref="A56" si="25">A25</f>
        <v>7141</v>
      </c>
      <c r="B56" s="1">
        <f t="shared" si="2"/>
        <v>568</v>
      </c>
      <c r="C56" s="9" t="str">
        <f t="shared" si="3"/>
        <v>"ally_instance_ids": [],</v>
      </c>
      <c r="D56" s="1" t="s">
        <v>8558</v>
      </c>
      <c r="E56" s="1" t="str">
        <f>IF(DayNight&lt;&gt;"Night","",_xlfn.IFNA(MATCH(A56,Main!$I$126:$I$128,0),""))</f>
        <v/>
      </c>
    </row>
    <row r="57" spans="1:5" x14ac:dyDescent="0.3">
      <c r="A57" s="1">
        <f t="shared" ref="A57" si="26">A26</f>
        <v>7142</v>
      </c>
      <c r="B57" s="1">
        <f t="shared" si="2"/>
        <v>592</v>
      </c>
      <c r="C57" s="9" t="str">
        <f t="shared" si="3"/>
        <v>"ally_instance_ids": [],</v>
      </c>
      <c r="D57" s="1" t="s">
        <v>8558</v>
      </c>
      <c r="E57" s="1" t="str">
        <f>IF(DayNight&lt;&gt;"Night","",_xlfn.IFNA(MATCH(A57,Main!$I$126:$I$128,0),""))</f>
        <v/>
      </c>
    </row>
    <row r="58" spans="1:5" x14ac:dyDescent="0.3">
      <c r="A58" s="1">
        <f t="shared" ref="A58" si="27">A27</f>
        <v>7143</v>
      </c>
      <c r="B58" s="1">
        <f t="shared" si="2"/>
        <v>616</v>
      </c>
      <c r="C58" s="9" t="str">
        <f t="shared" si="3"/>
        <v>"ally_instance_ids": [],</v>
      </c>
      <c r="D58" s="1" t="s">
        <v>8558</v>
      </c>
      <c r="E58" s="1" t="str">
        <f>IF(DayNight&lt;&gt;"Night","",_xlfn.IFNA(MATCH(A58,Main!$I$126:$I$128,0),""))</f>
        <v/>
      </c>
    </row>
    <row r="59" spans="1:5" x14ac:dyDescent="0.3">
      <c r="A59" s="1">
        <f t="shared" ref="A59" si="28">A28</f>
        <v>7144</v>
      </c>
      <c r="B59" s="1">
        <f t="shared" si="2"/>
        <v>640</v>
      </c>
      <c r="C59" s="9" t="str">
        <f t="shared" si="3"/>
        <v>"ally_instance_ids": [],</v>
      </c>
      <c r="D59" s="1" t="s">
        <v>8558</v>
      </c>
      <c r="E59" s="1" t="str">
        <f>IF(DayNight&lt;&gt;"Night","",_xlfn.IFNA(MATCH(A59,Main!$I$126:$I$128,0),""))</f>
        <v/>
      </c>
    </row>
    <row r="60" spans="1:5" x14ac:dyDescent="0.3">
      <c r="A60" s="1">
        <f t="shared" ref="A60" si="29">A29</f>
        <v>7145</v>
      </c>
      <c r="B60" s="1">
        <f t="shared" si="2"/>
        <v>664</v>
      </c>
      <c r="C60" s="9" t="str">
        <f t="shared" si="3"/>
        <v>"ally_instance_ids": [],</v>
      </c>
      <c r="D60" s="1" t="s">
        <v>8558</v>
      </c>
      <c r="E60" s="1" t="str">
        <f>IF(DayNight&lt;&gt;"Night","",_xlfn.IFNA(MATCH(A60,Main!$I$126:$I$128,0),""))</f>
        <v/>
      </c>
    </row>
    <row r="61" spans="1:5" x14ac:dyDescent="0.3">
      <c r="A61" s="1">
        <f t="shared" ref="A61" si="30">A30</f>
        <v>7146</v>
      </c>
      <c r="B61" s="1">
        <f t="shared" si="2"/>
        <v>688</v>
      </c>
      <c r="C61" s="9" t="str">
        <f t="shared" si="3"/>
        <v>"ally_instance_ids": [],</v>
      </c>
      <c r="D61" s="1" t="s">
        <v>8558</v>
      </c>
      <c r="E61" s="1" t="str">
        <f>IF(DayNight&lt;&gt;"Night","",_xlfn.IFNA(MATCH(A61,Main!$I$126:$I$128,0),""))</f>
        <v/>
      </c>
    </row>
    <row r="62" spans="1:5" x14ac:dyDescent="0.3">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"7173",</v>
      </c>
    </row>
    <row r="3" spans="1:3" x14ac:dyDescent="0.3">
      <c r="A3" t="s">
        <v>8276</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9157</v>
      </c>
      <c r="C20" s="1">
        <v>2</v>
      </c>
      <c r="D20" s="189" t="s">
        <v>9158</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7091</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7307</v>
      </c>
      <c r="C27" s="1">
        <v>6</v>
      </c>
      <c r="D27" t="s">
        <v>7308</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8068</v>
      </c>
      <c r="C29" s="1">
        <v>3</v>
      </c>
      <c r="D29" s="189" t="s">
        <v>8069</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8060</v>
      </c>
      <c r="C41" s="1">
        <v>2</v>
      </c>
      <c r="D41" s="189" t="s">
        <v>8061</v>
      </c>
      <c r="E41" s="1">
        <v>0</v>
      </c>
      <c r="F41" s="1">
        <v>100</v>
      </c>
      <c r="G41" s="1">
        <v>200</v>
      </c>
      <c r="H41" s="1">
        <v>350</v>
      </c>
      <c r="I41" s="1">
        <v>550</v>
      </c>
      <c r="J41" s="1">
        <v>1</v>
      </c>
      <c r="K41" s="1">
        <v>0</v>
      </c>
    </row>
    <row r="42" spans="1:11" x14ac:dyDescent="0.3">
      <c r="A42" s="1">
        <v>31</v>
      </c>
      <c r="B42" t="s">
        <v>5776</v>
      </c>
      <c r="C42" s="1">
        <v>6</v>
      </c>
      <c r="D42" t="s">
        <v>5775</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31"/>
  <sheetViews>
    <sheetView topLeftCell="Z1" workbookViewId="0">
      <pane ySplit="1" topLeftCell="A407" activePane="bottomLeft" state="frozen"/>
      <selection activeCell="AG431" sqref="AG431"/>
      <selection pane="bottomLeft" activeCell="AG431" sqref="AG431"/>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3">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3">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3">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3">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3">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3">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3">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3">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3">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3">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3">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3">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3">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3">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3">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3">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3">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3">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3">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3">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3">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3">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3">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3">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3">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3">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3">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3">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3">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3">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3">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3">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3">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9074</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3">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9075</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row r="420" spans="1:50" x14ac:dyDescent="0.3">
      <c r="A420">
        <v>421</v>
      </c>
      <c r="B420" t="s">
        <v>9112</v>
      </c>
      <c r="C420" t="s">
        <v>9113</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9114</v>
      </c>
      <c r="AM420" s="1">
        <v>0.48</v>
      </c>
      <c r="AN420" s="1">
        <v>0.48</v>
      </c>
      <c r="AO420" s="1">
        <v>0.08</v>
      </c>
      <c r="AP420" s="1">
        <v>0.25</v>
      </c>
      <c r="AQ420" s="1">
        <v>3</v>
      </c>
      <c r="AR420" t="s">
        <v>1567</v>
      </c>
      <c r="AS420">
        <v>0</v>
      </c>
      <c r="AT420" t="s">
        <v>9115</v>
      </c>
      <c r="AU420">
        <v>10</v>
      </c>
      <c r="AV420">
        <v>19084</v>
      </c>
      <c r="AX420">
        <v>0</v>
      </c>
    </row>
    <row r="421" spans="1:50" x14ac:dyDescent="0.3">
      <c r="A421">
        <v>422</v>
      </c>
      <c r="B421" t="s">
        <v>9126</v>
      </c>
      <c r="C421" t="s">
        <v>9127</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9154</v>
      </c>
      <c r="AH421" s="1">
        <v>3060</v>
      </c>
      <c r="AI421" t="s">
        <v>1843</v>
      </c>
      <c r="AJ421">
        <v>0</v>
      </c>
      <c r="AK421" s="1" t="s">
        <v>481</v>
      </c>
      <c r="AL421" s="1" t="s">
        <v>9128</v>
      </c>
      <c r="AM421" s="1">
        <v>0.3</v>
      </c>
      <c r="AN421" s="1">
        <v>0.23</v>
      </c>
      <c r="AO421" s="1">
        <v>0.15</v>
      </c>
      <c r="AP421" s="1">
        <v>0.38</v>
      </c>
      <c r="AQ421" s="1">
        <v>3</v>
      </c>
      <c r="AR421" t="s">
        <v>9129</v>
      </c>
      <c r="AS421">
        <v>0</v>
      </c>
      <c r="AT421" t="s">
        <v>9130</v>
      </c>
      <c r="AU421">
        <v>10</v>
      </c>
      <c r="AV421">
        <v>20096</v>
      </c>
      <c r="AX421">
        <v>0</v>
      </c>
    </row>
    <row r="422" spans="1:50" x14ac:dyDescent="0.3">
      <c r="A422">
        <v>423</v>
      </c>
      <c r="B422" t="s">
        <v>9131</v>
      </c>
      <c r="C422" t="s">
        <v>9132</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9155</v>
      </c>
      <c r="AH422" s="1">
        <v>3600</v>
      </c>
      <c r="AI422" t="s">
        <v>1843</v>
      </c>
      <c r="AJ422">
        <v>0</v>
      </c>
      <c r="AK422" s="1" t="s">
        <v>9133</v>
      </c>
      <c r="AL422" s="1" t="s">
        <v>9134</v>
      </c>
      <c r="AM422" s="1">
        <v>0.48</v>
      </c>
      <c r="AN422" s="1">
        <v>0.48</v>
      </c>
      <c r="AO422" s="1">
        <v>0.08</v>
      </c>
      <c r="AP422" s="1">
        <v>0.25</v>
      </c>
      <c r="AQ422" s="1">
        <v>3</v>
      </c>
      <c r="AR422" t="s">
        <v>1473</v>
      </c>
      <c r="AS422">
        <v>0</v>
      </c>
      <c r="AT422" t="s">
        <v>9135</v>
      </c>
      <c r="AU422">
        <v>10</v>
      </c>
      <c r="AV422">
        <v>19085</v>
      </c>
      <c r="AX422">
        <v>0</v>
      </c>
    </row>
    <row r="423" spans="1:50" x14ac:dyDescent="0.3">
      <c r="A423">
        <v>424</v>
      </c>
      <c r="B423" t="s">
        <v>9136</v>
      </c>
      <c r="C423" t="s">
        <v>9137</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9156</v>
      </c>
      <c r="AH423" s="1">
        <v>3060</v>
      </c>
      <c r="AI423" t="s">
        <v>1843</v>
      </c>
      <c r="AJ423">
        <v>0</v>
      </c>
      <c r="AK423" s="1" t="s">
        <v>9138</v>
      </c>
      <c r="AL423" s="1" t="s">
        <v>9139</v>
      </c>
      <c r="AM423" s="1">
        <v>0.3</v>
      </c>
      <c r="AN423" s="1">
        <v>0.23</v>
      </c>
      <c r="AO423" s="1">
        <v>0.15</v>
      </c>
      <c r="AP423" s="1">
        <v>0.38</v>
      </c>
      <c r="AQ423" s="1">
        <v>3</v>
      </c>
      <c r="AR423" t="s">
        <v>9140</v>
      </c>
      <c r="AS423">
        <v>0</v>
      </c>
      <c r="AT423" t="s">
        <v>9141</v>
      </c>
      <c r="AU423">
        <v>10</v>
      </c>
      <c r="AV423">
        <v>20088</v>
      </c>
      <c r="AX423">
        <v>0</v>
      </c>
    </row>
    <row r="424" spans="1:50" x14ac:dyDescent="0.3">
      <c r="A424">
        <v>425</v>
      </c>
      <c r="B424" t="s">
        <v>9142</v>
      </c>
      <c r="C424" t="s">
        <v>9143</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9144</v>
      </c>
      <c r="AL424" s="1" t="s">
        <v>9145</v>
      </c>
      <c r="AM424" s="1">
        <v>0.08</v>
      </c>
      <c r="AN424" s="1">
        <v>0.5</v>
      </c>
      <c r="AO424" s="1">
        <v>0.3</v>
      </c>
      <c r="AP424" s="1">
        <v>0.3</v>
      </c>
      <c r="AQ424" s="1">
        <v>3</v>
      </c>
      <c r="AR424" t="s">
        <v>1761</v>
      </c>
      <c r="AS424">
        <v>0</v>
      </c>
      <c r="AT424" t="s">
        <v>1806</v>
      </c>
      <c r="AU424">
        <v>10</v>
      </c>
      <c r="AV424">
        <v>19086</v>
      </c>
      <c r="AX424">
        <v>0</v>
      </c>
    </row>
    <row r="425" spans="1:50" x14ac:dyDescent="0.3">
      <c r="A425">
        <v>426</v>
      </c>
      <c r="B425" t="s">
        <v>9183</v>
      </c>
      <c r="C425" t="s">
        <v>9184</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9185</v>
      </c>
      <c r="AL425" s="1" t="s">
        <v>9186</v>
      </c>
      <c r="AM425" s="1">
        <v>0.45</v>
      </c>
      <c r="AN425" s="1">
        <v>0.15</v>
      </c>
      <c r="AO425" s="1">
        <v>0.3</v>
      </c>
      <c r="AP425" s="1">
        <v>0.15</v>
      </c>
      <c r="AQ425" s="1">
        <v>3</v>
      </c>
      <c r="AR425" t="s">
        <v>9187</v>
      </c>
      <c r="AS425">
        <v>0</v>
      </c>
      <c r="AT425" t="s">
        <v>9188</v>
      </c>
      <c r="AU425">
        <v>10</v>
      </c>
      <c r="AV425">
        <v>18092</v>
      </c>
      <c r="AX425">
        <v>0</v>
      </c>
    </row>
    <row r="426" spans="1:50" x14ac:dyDescent="0.3">
      <c r="A426">
        <v>427</v>
      </c>
      <c r="B426" t="s">
        <v>9189</v>
      </c>
      <c r="C426" t="s">
        <v>9190</v>
      </c>
      <c r="D426">
        <v>5</v>
      </c>
      <c r="E426">
        <v>2</v>
      </c>
      <c r="F426">
        <v>19</v>
      </c>
      <c r="G426" s="1" t="s">
        <v>335</v>
      </c>
      <c r="H426" s="1" t="s">
        <v>328</v>
      </c>
      <c r="I426" s="1" t="s">
        <v>328</v>
      </c>
      <c r="J426" s="1" t="s">
        <v>328</v>
      </c>
      <c r="K426" s="1" t="s">
        <v>328</v>
      </c>
      <c r="L426" s="1" t="s">
        <v>328</v>
      </c>
      <c r="M426" s="1" t="s">
        <v>328</v>
      </c>
      <c r="N426" s="1" t="s">
        <v>8617</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9222</v>
      </c>
      <c r="AH426" s="1">
        <v>3300</v>
      </c>
      <c r="AI426" t="s">
        <v>1843</v>
      </c>
      <c r="AJ426">
        <v>0</v>
      </c>
      <c r="AK426" s="1" t="s">
        <v>5403</v>
      </c>
      <c r="AL426" s="1" t="s">
        <v>9191</v>
      </c>
      <c r="AM426" s="1">
        <v>0.08</v>
      </c>
      <c r="AN426" s="1">
        <v>0.5</v>
      </c>
      <c r="AO426" s="1">
        <v>0.3</v>
      </c>
      <c r="AP426" s="1">
        <v>0.3</v>
      </c>
      <c r="AQ426" s="1">
        <v>3</v>
      </c>
      <c r="AR426" t="s">
        <v>8154</v>
      </c>
      <c r="AS426">
        <v>0</v>
      </c>
      <c r="AT426" t="s">
        <v>9192</v>
      </c>
      <c r="AU426">
        <v>10</v>
      </c>
      <c r="AV426">
        <v>19087</v>
      </c>
      <c r="AX426">
        <v>0</v>
      </c>
    </row>
    <row r="427" spans="1:50" x14ac:dyDescent="0.3">
      <c r="A427">
        <v>428</v>
      </c>
      <c r="B427" t="s">
        <v>9193</v>
      </c>
      <c r="C427" t="s">
        <v>9194</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9223</v>
      </c>
      <c r="AH427" s="1">
        <v>2820</v>
      </c>
      <c r="AI427" t="s">
        <v>1843</v>
      </c>
      <c r="AJ427">
        <v>0</v>
      </c>
      <c r="AK427" s="1" t="s">
        <v>9195</v>
      </c>
      <c r="AL427" s="1" t="s">
        <v>9196</v>
      </c>
      <c r="AM427" s="1">
        <v>0.55000000000000004</v>
      </c>
      <c r="AN427" s="1">
        <v>0.23</v>
      </c>
      <c r="AO427" s="1">
        <v>0.23</v>
      </c>
      <c r="AP427" s="1">
        <v>0.23</v>
      </c>
      <c r="AQ427" s="1">
        <v>3</v>
      </c>
      <c r="AR427" t="s">
        <v>1565</v>
      </c>
      <c r="AS427">
        <v>0</v>
      </c>
      <c r="AT427" t="s">
        <v>9197</v>
      </c>
      <c r="AU427">
        <v>10</v>
      </c>
      <c r="AV427">
        <v>18093</v>
      </c>
      <c r="AX427">
        <v>0</v>
      </c>
    </row>
    <row r="428" spans="1:50" x14ac:dyDescent="0.3">
      <c r="A428">
        <v>429</v>
      </c>
      <c r="B428" t="s">
        <v>9198</v>
      </c>
      <c r="C428" t="s">
        <v>9199</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9161</v>
      </c>
      <c r="AH428" s="1">
        <v>3600</v>
      </c>
      <c r="AI428" t="s">
        <v>1843</v>
      </c>
      <c r="AJ428">
        <v>0</v>
      </c>
      <c r="AK428" s="1" t="s">
        <v>9200</v>
      </c>
      <c r="AL428" s="1" t="s">
        <v>9201</v>
      </c>
      <c r="AM428" s="1">
        <v>0.3</v>
      </c>
      <c r="AN428" s="1">
        <v>0.23</v>
      </c>
      <c r="AO428" s="1">
        <v>0.15</v>
      </c>
      <c r="AP428" s="1">
        <v>0.38</v>
      </c>
      <c r="AQ428" s="1">
        <v>3</v>
      </c>
      <c r="AR428" t="s">
        <v>1757</v>
      </c>
      <c r="AS428">
        <v>0</v>
      </c>
      <c r="AT428" t="s">
        <v>9202</v>
      </c>
      <c r="AU428">
        <v>10</v>
      </c>
      <c r="AV428">
        <v>20089</v>
      </c>
      <c r="AX428">
        <v>0</v>
      </c>
    </row>
    <row r="429" spans="1:50" x14ac:dyDescent="0.3">
      <c r="A429">
        <v>430</v>
      </c>
      <c r="B429" t="s">
        <v>9203</v>
      </c>
      <c r="C429" t="s">
        <v>9204</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9171</v>
      </c>
      <c r="AH429" s="1">
        <v>3120</v>
      </c>
      <c r="AI429" t="s">
        <v>1843</v>
      </c>
      <c r="AJ429">
        <v>0</v>
      </c>
      <c r="AK429" s="1" t="s">
        <v>9205</v>
      </c>
      <c r="AL429" s="1" t="s">
        <v>9206</v>
      </c>
      <c r="AM429" s="1">
        <v>0.3</v>
      </c>
      <c r="AN429" s="1">
        <v>0.25</v>
      </c>
      <c r="AO429" s="1">
        <v>0.12</v>
      </c>
      <c r="AP429" s="1">
        <v>0.38</v>
      </c>
      <c r="AQ429" s="1">
        <v>3</v>
      </c>
      <c r="AR429" t="s">
        <v>1583</v>
      </c>
      <c r="AS429">
        <v>0</v>
      </c>
      <c r="AT429" t="s">
        <v>9207</v>
      </c>
      <c r="AU429">
        <v>10</v>
      </c>
      <c r="AV429">
        <v>20090</v>
      </c>
      <c r="AX429">
        <v>0</v>
      </c>
    </row>
    <row r="430" spans="1:50" x14ac:dyDescent="0.3">
      <c r="A430">
        <v>431</v>
      </c>
      <c r="B430" t="s">
        <v>9208</v>
      </c>
      <c r="C430" t="s">
        <v>9209</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9178</v>
      </c>
      <c r="AH430" s="1">
        <v>3060</v>
      </c>
      <c r="AI430" t="s">
        <v>1843</v>
      </c>
      <c r="AJ430">
        <v>0</v>
      </c>
      <c r="AK430" s="1" t="s">
        <v>9210</v>
      </c>
      <c r="AL430" s="1" t="s">
        <v>9211</v>
      </c>
      <c r="AM430" s="1">
        <v>0.3</v>
      </c>
      <c r="AN430" s="1">
        <v>0.23</v>
      </c>
      <c r="AO430" s="1">
        <v>0.15</v>
      </c>
      <c r="AP430" s="1">
        <v>0.38</v>
      </c>
      <c r="AQ430" s="1">
        <v>3</v>
      </c>
      <c r="AR430" t="s">
        <v>8624</v>
      </c>
      <c r="AS430">
        <v>0</v>
      </c>
      <c r="AT430" t="s">
        <v>1806</v>
      </c>
      <c r="AU430">
        <v>10</v>
      </c>
      <c r="AV430">
        <v>20092</v>
      </c>
      <c r="AX430">
        <v>0</v>
      </c>
    </row>
    <row r="431" spans="1:50" x14ac:dyDescent="0.3">
      <c r="A431">
        <v>432</v>
      </c>
      <c r="B431" t="s">
        <v>9225</v>
      </c>
      <c r="C431" t="s">
        <v>9226</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9227</v>
      </c>
      <c r="AL431" s="1" t="s">
        <v>9228</v>
      </c>
      <c r="AM431" s="1">
        <v>0.45</v>
      </c>
      <c r="AN431" s="1">
        <v>0.15</v>
      </c>
      <c r="AO431" s="1">
        <v>0.3</v>
      </c>
      <c r="AP431" s="1">
        <v>0.15</v>
      </c>
      <c r="AQ431" s="1">
        <v>3</v>
      </c>
      <c r="AR431" t="s">
        <v>1521</v>
      </c>
      <c r="AS431">
        <v>0</v>
      </c>
      <c r="AT431" t="s">
        <v>9229</v>
      </c>
      <c r="AU431">
        <v>10</v>
      </c>
      <c r="AV431">
        <v>18092</v>
      </c>
      <c r="AX431">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1"/>
  <sheetViews>
    <sheetView workbookViewId="0">
      <pane ySplit="1" topLeftCell="A627" activePane="bottomLeft" state="frozen"/>
      <selection activeCell="AG431" sqref="AG431"/>
      <selection pane="bottomLeft" activeCell="AG431" sqref="AG431"/>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3">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3">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3">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3">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3">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3">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3">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9076</v>
      </c>
      <c r="C634" s="208" t="s">
        <v>9077</v>
      </c>
      <c r="D634" t="s">
        <v>9078</v>
      </c>
      <c r="E634" t="s">
        <v>328</v>
      </c>
      <c r="F634" t="s">
        <v>328</v>
      </c>
      <c r="G634" t="s">
        <v>9079</v>
      </c>
      <c r="H634" t="s">
        <v>9080</v>
      </c>
      <c r="I634" t="s">
        <v>9081</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9082</v>
      </c>
      <c r="AK634" t="s">
        <v>9083</v>
      </c>
      <c r="AL634">
        <v>13</v>
      </c>
      <c r="AM634" t="s">
        <v>470</v>
      </c>
      <c r="AN634" t="s">
        <v>5727</v>
      </c>
      <c r="AO634" t="s">
        <v>9084</v>
      </c>
      <c r="AP634">
        <v>0</v>
      </c>
      <c r="AQ634" t="s">
        <v>1140</v>
      </c>
      <c r="AR634" t="s">
        <v>1141</v>
      </c>
      <c r="AS634" t="s">
        <v>1142</v>
      </c>
      <c r="AT634" t="s">
        <v>328</v>
      </c>
      <c r="AU634">
        <v>50</v>
      </c>
      <c r="AV634">
        <v>0</v>
      </c>
      <c r="AW634" t="s">
        <v>9085</v>
      </c>
      <c r="AX634" t="s">
        <v>331</v>
      </c>
      <c r="AY634">
        <v>5</v>
      </c>
      <c r="AZ634">
        <v>0</v>
      </c>
      <c r="BA634" t="s">
        <v>328</v>
      </c>
      <c r="BB634" t="s">
        <v>328</v>
      </c>
      <c r="BC634" t="s">
        <v>328</v>
      </c>
      <c r="BD634">
        <v>10402</v>
      </c>
      <c r="BE634">
        <v>0</v>
      </c>
    </row>
    <row r="635" spans="1:57" x14ac:dyDescent="0.3">
      <c r="A635">
        <v>404</v>
      </c>
      <c r="B635" t="s">
        <v>9086</v>
      </c>
      <c r="C635" s="208" t="s">
        <v>9087</v>
      </c>
      <c r="D635" t="s">
        <v>9087</v>
      </c>
      <c r="E635" t="s">
        <v>328</v>
      </c>
      <c r="F635" t="s">
        <v>328</v>
      </c>
      <c r="G635" t="s">
        <v>9088</v>
      </c>
      <c r="H635" t="s">
        <v>9089</v>
      </c>
      <c r="I635" t="s">
        <v>9090</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9091</v>
      </c>
      <c r="AK635" t="s">
        <v>9092</v>
      </c>
      <c r="AL635">
        <v>14</v>
      </c>
      <c r="AM635" t="s">
        <v>398</v>
      </c>
      <c r="AN635" t="s">
        <v>9093</v>
      </c>
      <c r="AO635" t="s">
        <v>9094</v>
      </c>
      <c r="AP635">
        <v>0</v>
      </c>
      <c r="AQ635" t="s">
        <v>1130</v>
      </c>
      <c r="AR635" t="s">
        <v>1154</v>
      </c>
      <c r="AS635" t="s">
        <v>1129</v>
      </c>
      <c r="AT635" t="s">
        <v>328</v>
      </c>
      <c r="AU635">
        <v>62</v>
      </c>
      <c r="AV635">
        <v>0</v>
      </c>
      <c r="AW635" t="s">
        <v>9085</v>
      </c>
      <c r="AX635" t="s">
        <v>331</v>
      </c>
      <c r="AY635">
        <v>5</v>
      </c>
      <c r="AZ635">
        <v>0</v>
      </c>
      <c r="BA635" t="s">
        <v>328</v>
      </c>
      <c r="BB635" t="s">
        <v>328</v>
      </c>
      <c r="BC635" t="s">
        <v>4720</v>
      </c>
      <c r="BD635">
        <v>10202</v>
      </c>
      <c r="BE635">
        <v>0</v>
      </c>
    </row>
    <row r="636" spans="1:57" x14ac:dyDescent="0.3">
      <c r="A636">
        <v>405</v>
      </c>
      <c r="B636" t="s">
        <v>9095</v>
      </c>
      <c r="C636" s="208" t="s">
        <v>9096</v>
      </c>
      <c r="D636" t="s">
        <v>9097</v>
      </c>
      <c r="E636" t="s">
        <v>328</v>
      </c>
      <c r="F636" t="s">
        <v>328</v>
      </c>
      <c r="G636" t="s">
        <v>9098</v>
      </c>
      <c r="H636" t="s">
        <v>9099</v>
      </c>
      <c r="I636" t="s">
        <v>9100</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9101</v>
      </c>
      <c r="AK636" t="s">
        <v>328</v>
      </c>
      <c r="AL636">
        <v>19</v>
      </c>
      <c r="AM636" t="s">
        <v>1806</v>
      </c>
      <c r="AN636" t="s">
        <v>9102</v>
      </c>
      <c r="AO636" t="s">
        <v>9103</v>
      </c>
      <c r="AP636">
        <v>0</v>
      </c>
      <c r="AQ636" t="s">
        <v>1130</v>
      </c>
      <c r="AR636" t="s">
        <v>1154</v>
      </c>
      <c r="AS636" t="s">
        <v>1129</v>
      </c>
      <c r="AT636" t="s">
        <v>328</v>
      </c>
      <c r="AU636">
        <v>64</v>
      </c>
      <c r="AV636">
        <v>0</v>
      </c>
      <c r="AW636" t="s">
        <v>9085</v>
      </c>
      <c r="AX636" t="s">
        <v>331</v>
      </c>
      <c r="AY636">
        <v>4</v>
      </c>
      <c r="AZ636">
        <v>0</v>
      </c>
      <c r="BA636" t="s">
        <v>328</v>
      </c>
      <c r="BB636" t="s">
        <v>328</v>
      </c>
      <c r="BC636" t="s">
        <v>328</v>
      </c>
      <c r="BD636">
        <v>10402</v>
      </c>
      <c r="BE636">
        <v>0</v>
      </c>
    </row>
    <row r="637" spans="1:57" x14ac:dyDescent="0.3">
      <c r="A637">
        <v>406</v>
      </c>
      <c r="B637" t="s">
        <v>9104</v>
      </c>
      <c r="C637" s="208" t="s">
        <v>9105</v>
      </c>
      <c r="D637" t="s">
        <v>9105</v>
      </c>
      <c r="E637" t="s">
        <v>328</v>
      </c>
      <c r="F637" t="s">
        <v>328</v>
      </c>
      <c r="G637" t="s">
        <v>9106</v>
      </c>
      <c r="H637" t="s">
        <v>9107</v>
      </c>
      <c r="I637" t="s">
        <v>9108</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9109</v>
      </c>
      <c r="AK637" t="s">
        <v>9110</v>
      </c>
      <c r="AL637">
        <v>19</v>
      </c>
      <c r="AM637" t="s">
        <v>4858</v>
      </c>
      <c r="AN637" t="s">
        <v>9111</v>
      </c>
      <c r="AO637" t="s">
        <v>5155</v>
      </c>
      <c r="AP637">
        <v>0</v>
      </c>
      <c r="AQ637" t="s">
        <v>1167</v>
      </c>
      <c r="AR637" t="s">
        <v>1168</v>
      </c>
      <c r="AS637" t="s">
        <v>6971</v>
      </c>
      <c r="AT637" t="s">
        <v>328</v>
      </c>
      <c r="AU637">
        <v>109</v>
      </c>
      <c r="AV637">
        <v>0</v>
      </c>
      <c r="AW637" t="s">
        <v>9085</v>
      </c>
      <c r="AX637" t="s">
        <v>331</v>
      </c>
      <c r="AY637">
        <v>5</v>
      </c>
      <c r="AZ637">
        <v>0</v>
      </c>
      <c r="BA637" t="s">
        <v>328</v>
      </c>
      <c r="BB637" t="s">
        <v>328</v>
      </c>
      <c r="BC637" t="s">
        <v>4720</v>
      </c>
      <c r="BD637">
        <v>10202</v>
      </c>
      <c r="BE637">
        <v>0</v>
      </c>
    </row>
    <row r="638" spans="1:57" x14ac:dyDescent="0.3">
      <c r="A638">
        <v>20196</v>
      </c>
      <c r="B638" t="s">
        <v>9118</v>
      </c>
      <c r="C638" s="208" t="s">
        <v>9153</v>
      </c>
      <c r="D638" t="s">
        <v>9119</v>
      </c>
      <c r="E638" t="s">
        <v>9116</v>
      </c>
      <c r="F638" t="s">
        <v>9117</v>
      </c>
      <c r="G638" t="s">
        <v>9120</v>
      </c>
      <c r="H638" t="s">
        <v>9121</v>
      </c>
      <c r="I638" t="s">
        <v>9122</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9123</v>
      </c>
      <c r="AK638" t="s">
        <v>1221</v>
      </c>
      <c r="AL638">
        <v>13</v>
      </c>
      <c r="AM638" t="s">
        <v>4719</v>
      </c>
      <c r="AN638" t="s">
        <v>9124</v>
      </c>
      <c r="AO638" t="s">
        <v>9125</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9160</v>
      </c>
      <c r="C639" s="208" t="s">
        <v>9161</v>
      </c>
      <c r="D639" t="s">
        <v>9161</v>
      </c>
      <c r="E639" t="s">
        <v>328</v>
      </c>
      <c r="F639" t="s">
        <v>328</v>
      </c>
      <c r="G639" t="s">
        <v>9162</v>
      </c>
      <c r="H639" t="s">
        <v>9163</v>
      </c>
      <c r="I639" t="s">
        <v>9164</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9165</v>
      </c>
      <c r="AK639" t="s">
        <v>9166</v>
      </c>
      <c r="AL639">
        <v>13</v>
      </c>
      <c r="AM639" t="s">
        <v>1806</v>
      </c>
      <c r="AN639" t="s">
        <v>9167</v>
      </c>
      <c r="AO639" t="s">
        <v>4817</v>
      </c>
      <c r="AP639">
        <v>0</v>
      </c>
      <c r="AQ639" t="s">
        <v>1118</v>
      </c>
      <c r="AR639" t="s">
        <v>1119</v>
      </c>
      <c r="AS639" t="s">
        <v>4761</v>
      </c>
      <c r="AT639" t="s">
        <v>328</v>
      </c>
      <c r="AU639">
        <v>1006</v>
      </c>
      <c r="AV639">
        <v>1</v>
      </c>
      <c r="AW639" t="s">
        <v>9168</v>
      </c>
      <c r="AX639" t="s">
        <v>9169</v>
      </c>
      <c r="AY639">
        <v>7</v>
      </c>
      <c r="AZ639">
        <v>0</v>
      </c>
      <c r="BA639" t="s">
        <v>328</v>
      </c>
      <c r="BB639" t="s">
        <v>328</v>
      </c>
      <c r="BC639" t="s">
        <v>5386</v>
      </c>
      <c r="BD639">
        <v>0</v>
      </c>
      <c r="BE639">
        <v>0</v>
      </c>
    </row>
    <row r="640" spans="1:57" x14ac:dyDescent="0.3">
      <c r="A640">
        <v>1046</v>
      </c>
      <c r="B640" t="s">
        <v>9170</v>
      </c>
      <c r="C640" s="208" t="s">
        <v>9171</v>
      </c>
      <c r="D640" t="s">
        <v>9171</v>
      </c>
      <c r="E640" t="s">
        <v>328</v>
      </c>
      <c r="F640" t="s">
        <v>328</v>
      </c>
      <c r="G640" t="s">
        <v>9172</v>
      </c>
      <c r="H640" t="s">
        <v>9173</v>
      </c>
      <c r="I640" t="s">
        <v>9174</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9175</v>
      </c>
      <c r="AK640" t="s">
        <v>328</v>
      </c>
      <c r="AL640">
        <v>13</v>
      </c>
      <c r="AM640" t="s">
        <v>398</v>
      </c>
      <c r="AN640" t="s">
        <v>4795</v>
      </c>
      <c r="AO640" t="s">
        <v>5743</v>
      </c>
      <c r="AP640">
        <v>0</v>
      </c>
      <c r="AQ640" t="s">
        <v>1744</v>
      </c>
      <c r="AR640" t="s">
        <v>1743</v>
      </c>
      <c r="AS640" t="s">
        <v>1745</v>
      </c>
      <c r="AT640" t="s">
        <v>328</v>
      </c>
      <c r="AU640">
        <v>1028</v>
      </c>
      <c r="AV640">
        <v>1</v>
      </c>
      <c r="AW640" t="s">
        <v>9168</v>
      </c>
      <c r="AX640" t="s">
        <v>9176</v>
      </c>
      <c r="AY640">
        <v>7</v>
      </c>
      <c r="AZ640">
        <v>0</v>
      </c>
      <c r="BA640" t="s">
        <v>328</v>
      </c>
      <c r="BB640" t="s">
        <v>328</v>
      </c>
      <c r="BC640" t="s">
        <v>5386</v>
      </c>
      <c r="BD640">
        <v>0</v>
      </c>
      <c r="BE640">
        <v>0</v>
      </c>
    </row>
    <row r="641" spans="1:57" x14ac:dyDescent="0.3">
      <c r="A641">
        <v>20288</v>
      </c>
      <c r="B641" t="s">
        <v>9177</v>
      </c>
      <c r="C641" s="208" t="s">
        <v>9178</v>
      </c>
      <c r="D641" t="s">
        <v>9178</v>
      </c>
      <c r="E641" t="s">
        <v>328</v>
      </c>
      <c r="F641" t="s">
        <v>328</v>
      </c>
      <c r="G641" t="s">
        <v>9179</v>
      </c>
      <c r="H641" t="s">
        <v>9180</v>
      </c>
      <c r="I641" t="s">
        <v>9181</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9159</v>
      </c>
      <c r="AK641" t="s">
        <v>9182</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292" activePane="bottomLeft" state="frozen"/>
      <selection activeCell="AG426" sqref="AG426:AG430"/>
      <selection pane="bottomLeft" activeCell="AG426" sqref="AG426:AG430"/>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9212</v>
      </c>
      <c r="C6" t="s">
        <v>9213</v>
      </c>
      <c r="D6" t="s">
        <v>9214</v>
      </c>
      <c r="E6" t="s">
        <v>9215</v>
      </c>
      <c r="F6" t="s">
        <v>6784</v>
      </c>
      <c r="G6" t="s">
        <v>4485</v>
      </c>
      <c r="H6" t="s">
        <v>9216</v>
      </c>
      <c r="I6">
        <v>1</v>
      </c>
      <c r="J6">
        <v>1</v>
      </c>
      <c r="K6" t="s">
        <v>972</v>
      </c>
      <c r="L6">
        <v>1</v>
      </c>
      <c r="M6">
        <v>129</v>
      </c>
      <c r="N6" t="s">
        <v>973</v>
      </c>
      <c r="O6">
        <v>10</v>
      </c>
      <c r="P6">
        <v>0</v>
      </c>
      <c r="Q6">
        <v>5</v>
      </c>
      <c r="R6">
        <v>760010</v>
      </c>
      <c r="S6">
        <v>2</v>
      </c>
      <c r="T6">
        <v>30015</v>
      </c>
      <c r="U6">
        <v>760013</v>
      </c>
      <c r="V6">
        <v>760014</v>
      </c>
      <c r="W6" t="s">
        <v>9217</v>
      </c>
      <c r="X6" t="s">
        <v>9218</v>
      </c>
      <c r="Y6" t="s">
        <v>9219</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9220</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6453</v>
      </c>
      <c r="C7" t="s">
        <v>6454</v>
      </c>
      <c r="D7" t="s">
        <v>6455</v>
      </c>
      <c r="E7" t="s">
        <v>6456</v>
      </c>
      <c r="G7" t="s">
        <v>4485</v>
      </c>
      <c r="H7" t="s">
        <v>6457</v>
      </c>
      <c r="I7">
        <v>1</v>
      </c>
      <c r="J7">
        <v>1</v>
      </c>
      <c r="K7" t="s">
        <v>993</v>
      </c>
      <c r="L7">
        <v>1</v>
      </c>
      <c r="M7">
        <v>119</v>
      </c>
      <c r="N7" t="s">
        <v>973</v>
      </c>
      <c r="O7">
        <v>10</v>
      </c>
      <c r="P7">
        <v>0</v>
      </c>
      <c r="Q7">
        <v>5</v>
      </c>
      <c r="R7">
        <v>750397</v>
      </c>
      <c r="S7">
        <v>1</v>
      </c>
      <c r="T7">
        <v>750399</v>
      </c>
      <c r="U7">
        <v>750400</v>
      </c>
      <c r="V7">
        <v>750401</v>
      </c>
      <c r="W7" t="s">
        <v>6458</v>
      </c>
      <c r="X7" t="s">
        <v>6459</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6460</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5652</v>
      </c>
      <c r="C9" t="s">
        <v>5653</v>
      </c>
      <c r="D9" t="s">
        <v>5653</v>
      </c>
      <c r="E9" t="s">
        <v>5654</v>
      </c>
      <c r="G9" t="s">
        <v>4485</v>
      </c>
      <c r="H9" t="s">
        <v>5655</v>
      </c>
      <c r="I9">
        <v>1</v>
      </c>
      <c r="J9">
        <v>1</v>
      </c>
      <c r="K9" t="s">
        <v>972</v>
      </c>
      <c r="L9">
        <v>1</v>
      </c>
      <c r="M9">
        <v>117</v>
      </c>
      <c r="N9" t="s">
        <v>973</v>
      </c>
      <c r="O9">
        <v>10</v>
      </c>
      <c r="P9">
        <v>0</v>
      </c>
      <c r="Q9">
        <v>5</v>
      </c>
      <c r="R9">
        <v>750276</v>
      </c>
      <c r="S9">
        <v>1</v>
      </c>
      <c r="T9">
        <v>750278</v>
      </c>
      <c r="U9">
        <v>750279</v>
      </c>
      <c r="V9">
        <v>750280</v>
      </c>
      <c r="W9" t="s">
        <v>5656</v>
      </c>
      <c r="X9" t="s">
        <v>5657</v>
      </c>
      <c r="Y9" t="s">
        <v>5658</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5659</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8331</v>
      </c>
      <c r="C11" t="s">
        <v>8332</v>
      </c>
      <c r="D11" t="s">
        <v>8332</v>
      </c>
      <c r="E11" t="s">
        <v>8333</v>
      </c>
      <c r="F11" t="s">
        <v>6784</v>
      </c>
      <c r="G11" t="s">
        <v>4485</v>
      </c>
      <c r="H11" t="s">
        <v>8334</v>
      </c>
      <c r="I11">
        <v>1</v>
      </c>
      <c r="J11">
        <v>1</v>
      </c>
      <c r="K11" t="s">
        <v>972</v>
      </c>
      <c r="L11">
        <v>1</v>
      </c>
      <c r="M11">
        <v>126</v>
      </c>
      <c r="N11" t="s">
        <v>973</v>
      </c>
      <c r="O11">
        <v>10</v>
      </c>
      <c r="P11">
        <v>0</v>
      </c>
      <c r="Q11">
        <v>5</v>
      </c>
      <c r="R11">
        <v>750885</v>
      </c>
      <c r="S11">
        <v>1</v>
      </c>
      <c r="T11">
        <v>750887</v>
      </c>
      <c r="U11">
        <v>750888</v>
      </c>
      <c r="V11">
        <v>750889</v>
      </c>
      <c r="W11" t="s">
        <v>8335</v>
      </c>
      <c r="X11" t="s">
        <v>8336</v>
      </c>
      <c r="Y11" t="s">
        <v>8337</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8338</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6785</v>
      </c>
      <c r="C13" t="s">
        <v>6786</v>
      </c>
      <c r="D13" t="s">
        <v>6786</v>
      </c>
      <c r="E13" t="s">
        <v>6787</v>
      </c>
      <c r="F13" t="s">
        <v>6784</v>
      </c>
      <c r="G13" t="s">
        <v>4485</v>
      </c>
      <c r="H13" t="s">
        <v>6788</v>
      </c>
      <c r="I13">
        <v>1</v>
      </c>
      <c r="J13">
        <v>1</v>
      </c>
      <c r="K13" t="s">
        <v>975</v>
      </c>
      <c r="L13">
        <v>1</v>
      </c>
      <c r="M13">
        <v>121</v>
      </c>
      <c r="N13" t="s">
        <v>973</v>
      </c>
      <c r="O13">
        <v>10</v>
      </c>
      <c r="P13">
        <v>0</v>
      </c>
      <c r="Q13">
        <v>5</v>
      </c>
      <c r="R13">
        <v>750579</v>
      </c>
      <c r="S13">
        <v>1</v>
      </c>
      <c r="T13">
        <v>750581</v>
      </c>
      <c r="U13">
        <v>750582</v>
      </c>
      <c r="V13">
        <v>750583</v>
      </c>
      <c r="W13" t="s">
        <v>6789</v>
      </c>
      <c r="X13" t="s">
        <v>6790</v>
      </c>
      <c r="Y13" t="s">
        <v>6791</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6792</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9037</v>
      </c>
      <c r="C15" t="s">
        <v>9038</v>
      </c>
      <c r="D15" t="s">
        <v>9038</v>
      </c>
      <c r="E15" t="s">
        <v>9039</v>
      </c>
      <c r="F15" t="s">
        <v>6784</v>
      </c>
      <c r="G15" t="s">
        <v>4485</v>
      </c>
      <c r="H15" t="s">
        <v>9040</v>
      </c>
      <c r="I15">
        <v>1</v>
      </c>
      <c r="J15">
        <v>1</v>
      </c>
      <c r="K15" t="s">
        <v>972</v>
      </c>
      <c r="L15">
        <v>1</v>
      </c>
      <c r="M15">
        <v>128</v>
      </c>
      <c r="N15" t="s">
        <v>973</v>
      </c>
      <c r="O15">
        <v>10</v>
      </c>
      <c r="P15">
        <v>0</v>
      </c>
      <c r="Q15">
        <v>5</v>
      </c>
      <c r="R15">
        <v>760002</v>
      </c>
      <c r="S15">
        <v>1</v>
      </c>
      <c r="T15">
        <v>760004</v>
      </c>
      <c r="U15">
        <v>760005</v>
      </c>
      <c r="V15">
        <v>760007</v>
      </c>
      <c r="W15" t="s">
        <v>9041</v>
      </c>
      <c r="X15" t="s">
        <v>9042</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9043</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6349</v>
      </c>
      <c r="C17" t="s">
        <v>6350</v>
      </c>
      <c r="D17" t="s">
        <v>6350</v>
      </c>
      <c r="E17" t="s">
        <v>6351</v>
      </c>
      <c r="G17" t="s">
        <v>4485</v>
      </c>
      <c r="H17" t="s">
        <v>6352</v>
      </c>
      <c r="I17">
        <v>1</v>
      </c>
      <c r="J17">
        <v>1</v>
      </c>
      <c r="K17" t="s">
        <v>972</v>
      </c>
      <c r="L17">
        <v>1</v>
      </c>
      <c r="M17">
        <v>118</v>
      </c>
      <c r="N17" t="s">
        <v>973</v>
      </c>
      <c r="O17">
        <v>10</v>
      </c>
      <c r="P17">
        <v>0</v>
      </c>
      <c r="Q17">
        <v>5</v>
      </c>
      <c r="R17">
        <v>750363</v>
      </c>
      <c r="S17">
        <v>1</v>
      </c>
      <c r="T17">
        <v>750365</v>
      </c>
      <c r="U17">
        <v>750366</v>
      </c>
      <c r="V17">
        <v>750367</v>
      </c>
      <c r="W17" t="s">
        <v>6353</v>
      </c>
      <c r="X17" t="s">
        <v>6354</v>
      </c>
      <c r="Y17" t="s">
        <v>6355</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6356</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9146</v>
      </c>
      <c r="C21" t="s">
        <v>9147</v>
      </c>
      <c r="D21" t="s">
        <v>9147</v>
      </c>
      <c r="E21" t="s">
        <v>9148</v>
      </c>
      <c r="F21" t="s">
        <v>6784</v>
      </c>
      <c r="G21" t="s">
        <v>4485</v>
      </c>
      <c r="H21" t="s">
        <v>9149</v>
      </c>
      <c r="I21">
        <v>3</v>
      </c>
      <c r="J21">
        <v>1</v>
      </c>
      <c r="K21" t="s">
        <v>972</v>
      </c>
      <c r="L21">
        <v>1</v>
      </c>
      <c r="M21">
        <v>127</v>
      </c>
      <c r="N21" t="s">
        <v>973</v>
      </c>
      <c r="O21">
        <v>10</v>
      </c>
      <c r="P21">
        <v>0</v>
      </c>
      <c r="Q21">
        <v>5</v>
      </c>
      <c r="R21">
        <v>750960</v>
      </c>
      <c r="S21">
        <v>2</v>
      </c>
      <c r="T21">
        <v>30012</v>
      </c>
      <c r="U21">
        <v>750963</v>
      </c>
      <c r="V21">
        <v>750964</v>
      </c>
      <c r="W21" t="s">
        <v>9150</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9151</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8128</v>
      </c>
      <c r="C22" t="s">
        <v>8129</v>
      </c>
      <c r="D22" t="s">
        <v>8130</v>
      </c>
      <c r="E22" t="s">
        <v>8131</v>
      </c>
      <c r="F22" t="s">
        <v>6784</v>
      </c>
      <c r="G22" t="s">
        <v>4485</v>
      </c>
      <c r="H22" t="s">
        <v>8132</v>
      </c>
      <c r="I22">
        <v>3</v>
      </c>
      <c r="J22">
        <v>1</v>
      </c>
      <c r="K22" t="s">
        <v>972</v>
      </c>
      <c r="L22">
        <v>1</v>
      </c>
      <c r="M22">
        <v>125</v>
      </c>
      <c r="N22" t="s">
        <v>973</v>
      </c>
      <c r="O22">
        <v>10</v>
      </c>
      <c r="P22">
        <v>0</v>
      </c>
      <c r="Q22">
        <v>5</v>
      </c>
      <c r="R22">
        <v>750870</v>
      </c>
      <c r="S22">
        <v>1</v>
      </c>
      <c r="T22">
        <v>750872</v>
      </c>
      <c r="U22">
        <v>750873</v>
      </c>
      <c r="V22">
        <v>750874</v>
      </c>
      <c r="W22" t="s">
        <v>8133</v>
      </c>
      <c r="X22" t="s">
        <v>8134</v>
      </c>
      <c r="Y22" t="s">
        <v>8135</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8136</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6921</v>
      </c>
      <c r="C24" t="s">
        <v>6922</v>
      </c>
      <c r="D24" t="s">
        <v>6922</v>
      </c>
      <c r="E24" t="s">
        <v>6923</v>
      </c>
      <c r="F24" t="s">
        <v>6784</v>
      </c>
      <c r="G24" t="s">
        <v>4485</v>
      </c>
      <c r="H24" t="s">
        <v>6924</v>
      </c>
      <c r="I24">
        <v>3</v>
      </c>
      <c r="J24">
        <v>1</v>
      </c>
      <c r="K24" t="s">
        <v>984</v>
      </c>
      <c r="L24">
        <v>1</v>
      </c>
      <c r="M24">
        <v>122</v>
      </c>
      <c r="N24" t="s">
        <v>973</v>
      </c>
      <c r="O24">
        <v>10</v>
      </c>
      <c r="P24">
        <v>0</v>
      </c>
      <c r="Q24">
        <v>5</v>
      </c>
      <c r="R24">
        <v>750622</v>
      </c>
      <c r="S24">
        <v>3</v>
      </c>
      <c r="T24">
        <v>1018</v>
      </c>
      <c r="U24">
        <v>750625</v>
      </c>
      <c r="V24">
        <v>750626</v>
      </c>
      <c r="W24" t="s">
        <v>6925</v>
      </c>
      <c r="X24" t="s">
        <v>6926</v>
      </c>
      <c r="Y24" t="s">
        <v>6927</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6928</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6525</v>
      </c>
      <c r="C26" t="s">
        <v>6526</v>
      </c>
      <c r="D26" t="s">
        <v>6526</v>
      </c>
      <c r="E26" t="s">
        <v>6527</v>
      </c>
      <c r="G26" t="s">
        <v>4485</v>
      </c>
      <c r="H26" t="s">
        <v>6528</v>
      </c>
      <c r="I26">
        <v>3</v>
      </c>
      <c r="J26">
        <v>1</v>
      </c>
      <c r="K26" t="s">
        <v>975</v>
      </c>
      <c r="L26">
        <v>1</v>
      </c>
      <c r="M26">
        <v>120</v>
      </c>
      <c r="N26" t="s">
        <v>973</v>
      </c>
      <c r="O26">
        <v>8</v>
      </c>
      <c r="P26">
        <v>0</v>
      </c>
      <c r="Q26">
        <v>5</v>
      </c>
      <c r="R26">
        <v>750409</v>
      </c>
      <c r="S26">
        <v>1</v>
      </c>
      <c r="T26">
        <v>750411</v>
      </c>
      <c r="U26">
        <v>750412</v>
      </c>
      <c r="V26">
        <v>750413</v>
      </c>
      <c r="W26" t="s">
        <v>6529</v>
      </c>
      <c r="X26" t="s">
        <v>6530</v>
      </c>
      <c r="Y26" t="s">
        <v>6531</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6532</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7990</v>
      </c>
      <c r="C27" t="s">
        <v>7991</v>
      </c>
      <c r="D27" t="s">
        <v>7992</v>
      </c>
      <c r="E27" t="s">
        <v>7993</v>
      </c>
      <c r="F27" t="s">
        <v>6784</v>
      </c>
      <c r="G27" t="s">
        <v>4485</v>
      </c>
      <c r="H27" t="s">
        <v>7994</v>
      </c>
      <c r="I27">
        <v>3</v>
      </c>
      <c r="J27">
        <v>1</v>
      </c>
      <c r="K27" t="s">
        <v>984</v>
      </c>
      <c r="L27">
        <v>1</v>
      </c>
      <c r="M27">
        <v>124</v>
      </c>
      <c r="N27" t="s">
        <v>973</v>
      </c>
      <c r="O27">
        <v>10</v>
      </c>
      <c r="P27">
        <v>0</v>
      </c>
      <c r="Q27">
        <v>5</v>
      </c>
      <c r="R27">
        <v>750783</v>
      </c>
      <c r="S27">
        <v>1</v>
      </c>
      <c r="T27">
        <v>750785</v>
      </c>
      <c r="U27">
        <v>750786</v>
      </c>
      <c r="V27">
        <v>750787</v>
      </c>
      <c r="W27" t="s">
        <v>7995</v>
      </c>
      <c r="X27" t="s">
        <v>7996</v>
      </c>
      <c r="Y27" t="s">
        <v>7997</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7998</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6962</v>
      </c>
      <c r="C29" t="s">
        <v>6963</v>
      </c>
      <c r="D29" t="s">
        <v>6963</v>
      </c>
      <c r="E29" t="s">
        <v>6964</v>
      </c>
      <c r="F29" t="s">
        <v>6784</v>
      </c>
      <c r="G29" t="s">
        <v>4485</v>
      </c>
      <c r="H29" t="s">
        <v>6965</v>
      </c>
      <c r="I29">
        <v>1</v>
      </c>
      <c r="J29">
        <v>1</v>
      </c>
      <c r="K29" t="s">
        <v>972</v>
      </c>
      <c r="L29">
        <v>1</v>
      </c>
      <c r="M29">
        <v>123</v>
      </c>
      <c r="N29" t="s">
        <v>973</v>
      </c>
      <c r="O29">
        <v>10</v>
      </c>
      <c r="P29">
        <v>0</v>
      </c>
      <c r="Q29">
        <v>5</v>
      </c>
      <c r="R29">
        <v>750700</v>
      </c>
      <c r="S29">
        <v>1</v>
      </c>
      <c r="T29">
        <v>750702</v>
      </c>
      <c r="U29">
        <v>750703</v>
      </c>
      <c r="V29">
        <v>750704</v>
      </c>
      <c r="W29" t="s">
        <v>6966</v>
      </c>
      <c r="X29" t="s">
        <v>6967</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6968</v>
      </c>
      <c r="AV29" t="s">
        <v>4491</v>
      </c>
      <c r="AW29" t="s">
        <v>4491</v>
      </c>
      <c r="AX29" t="s">
        <v>4491</v>
      </c>
      <c r="AY29">
        <v>181</v>
      </c>
      <c r="AZ29">
        <v>11002</v>
      </c>
      <c r="BA29">
        <v>1</v>
      </c>
      <c r="BB29" t="s">
        <v>6969</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5660</v>
      </c>
      <c r="C36" t="s">
        <v>5664</v>
      </c>
      <c r="D36" t="s">
        <v>5661</v>
      </c>
      <c r="E36" t="s">
        <v>5662</v>
      </c>
      <c r="G36" t="s">
        <v>4485</v>
      </c>
      <c r="H36" t="s">
        <v>5663</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6533</v>
      </c>
      <c r="C42" t="s">
        <v>6541</v>
      </c>
      <c r="D42" t="s">
        <v>6534</v>
      </c>
      <c r="E42" t="s">
        <v>6535</v>
      </c>
      <c r="G42" t="s">
        <v>4485</v>
      </c>
      <c r="H42" t="s">
        <v>6536</v>
      </c>
      <c r="I42">
        <v>1</v>
      </c>
      <c r="J42">
        <v>2</v>
      </c>
      <c r="K42" t="s">
        <v>993</v>
      </c>
      <c r="L42">
        <v>1</v>
      </c>
      <c r="M42">
        <v>218</v>
      </c>
      <c r="N42" t="s">
        <v>6537</v>
      </c>
      <c r="O42">
        <v>8</v>
      </c>
      <c r="P42">
        <v>0</v>
      </c>
      <c r="Q42">
        <v>4</v>
      </c>
      <c r="R42">
        <v>0</v>
      </c>
      <c r="S42">
        <v>1</v>
      </c>
      <c r="T42">
        <v>0</v>
      </c>
      <c r="U42">
        <v>750433</v>
      </c>
      <c r="V42">
        <v>750444</v>
      </c>
      <c r="W42" t="s">
        <v>1806</v>
      </c>
      <c r="X42" t="s">
        <v>6538</v>
      </c>
      <c r="Y42" t="s">
        <v>6539</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6357</v>
      </c>
      <c r="C46" t="s">
        <v>6364</v>
      </c>
      <c r="D46" t="s">
        <v>6358</v>
      </c>
      <c r="E46" t="s">
        <v>6359</v>
      </c>
      <c r="G46" t="s">
        <v>4485</v>
      </c>
      <c r="H46" t="s">
        <v>6360</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9152</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9151</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9151</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9151</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9151</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9221</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9220</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9220</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9220</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9220</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3">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3">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3">
      <c r="B13" s="10" t="s">
        <v>6596</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INDEX($F$28:$F$31,COUNTA(Main!$F$126:$F$128)+1)</f>
        <v>"building_info": "{}",</v>
      </c>
      <c r="F28" t="s">
        <v>7095</v>
      </c>
    </row>
    <row r="29" spans="2:11" x14ac:dyDescent="0.3">
      <c r="B29" s="9" t="s">
        <v>7096</v>
      </c>
      <c r="C29" t="str">
        <f>SUBSTITUTE(SUBSTITUTE(C28,"building1",Main!F126),"spot1",Main!G126)</f>
        <v>"building_info": "{}",</v>
      </c>
      <c r="F29" s="9" t="s">
        <v>7099</v>
      </c>
    </row>
    <row r="30" spans="2:11" x14ac:dyDescent="0.3">
      <c r="B30" s="9" t="s">
        <v>7097</v>
      </c>
      <c r="C30" t="str">
        <f>SUBSTITUTE(SUBSTITUTE(C29,"building2",Main!F127),"spot2",Main!G127)</f>
        <v>"building_info": "{}",</v>
      </c>
      <c r="F30" s="9" t="s">
        <v>7100</v>
      </c>
    </row>
    <row r="31" spans="2:11" x14ac:dyDescent="0.3">
      <c r="B31" s="9" t="s">
        <v>7098</v>
      </c>
      <c r="C31" t="str">
        <f>SUBSTITUTE(SUBSTITUTE(C30,"building3",Main!F128),"spot3",Main!G128)</f>
        <v>"building_info": "{}",</v>
      </c>
      <c r="F31" s="9" t="s">
        <v>7101</v>
      </c>
    </row>
    <row r="33" spans="2:6" x14ac:dyDescent="0.3">
      <c r="B33" s="84" t="s">
        <v>8549</v>
      </c>
    </row>
    <row r="34" spans="2:6" x14ac:dyDescent="0.3">
      <c r="B34" s="9" t="s">
        <v>949</v>
      </c>
      <c r="C34" t="str">
        <f>INDEX($F$34:$F$37,COUNTA(Main!$H$126:$H$128)+1)</f>
        <v>"ally_instance_info": "[]",</v>
      </c>
      <c r="F34" t="s">
        <v>8553</v>
      </c>
    </row>
    <row r="35" spans="2:6" x14ac:dyDescent="0.3">
      <c r="B35" s="9" t="s">
        <v>8550</v>
      </c>
      <c r="C35" t="str">
        <f>SUBSTITUTE(C34,"ally1",Main!H126)</f>
        <v>"ally_instance_info": "[]",</v>
      </c>
      <c r="F35" t="s">
        <v>8554</v>
      </c>
    </row>
    <row r="36" spans="2:6" x14ac:dyDescent="0.3">
      <c r="B36" s="9" t="s">
        <v>8551</v>
      </c>
      <c r="C36" t="str">
        <f>SUBSTITUTE(C35,"ally2",Main!H127)</f>
        <v>"ally_instance_info": "[]",</v>
      </c>
      <c r="F36" t="s">
        <v>8555</v>
      </c>
    </row>
    <row r="37" spans="2:6" x14ac:dyDescent="0.3">
      <c r="B37" s="9" t="s">
        <v>8552</v>
      </c>
      <c r="C37" t="str">
        <f>SUBSTITUTE(C36,"ally3",Main!H128)</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C1" workbookViewId="0">
      <pane ySplit="1" topLeftCell="A292" activePane="bottomLeft" state="frozen"/>
      <selection activeCell="AG426" sqref="AG426:AG430"/>
      <selection pane="bottomLeft" activeCell="AG426" sqref="AG426:AG430"/>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V7" t="s">
        <v>9153</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9161</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9171</v>
      </c>
      <c r="G12" s="9"/>
      <c r="I12" s="9" t="s">
        <v>1629</v>
      </c>
      <c r="J12" s="9" t="s">
        <v>714</v>
      </c>
      <c r="K12" t="s">
        <v>1691</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7109</v>
      </c>
      <c r="F14" s="9" t="s">
        <v>200</v>
      </c>
      <c r="G14" s="9"/>
      <c r="I14" s="9" t="s">
        <v>1610</v>
      </c>
      <c r="J14" s="9" t="s">
        <v>253</v>
      </c>
      <c r="K14" s="9" t="s">
        <v>237</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6652</v>
      </c>
      <c r="F15" s="9" t="s">
        <v>1692</v>
      </c>
      <c r="G15" s="9"/>
      <c r="I15" s="9" t="s">
        <v>81</v>
      </c>
      <c r="J15" s="9" t="s">
        <v>729</v>
      </c>
      <c r="K15" s="9" t="s">
        <v>6984</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7152</v>
      </c>
      <c r="G16" s="9"/>
      <c r="I16" s="9" t="s">
        <v>827</v>
      </c>
      <c r="J16" s="9" t="s">
        <v>6391</v>
      </c>
      <c r="K16" s="9" t="s">
        <v>803</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2135</v>
      </c>
      <c r="K17" s="9" t="s">
        <v>1409</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6466</v>
      </c>
      <c r="F18" s="9" t="s">
        <v>814</v>
      </c>
      <c r="G18" s="9"/>
      <c r="I18" s="9" t="s">
        <v>181</v>
      </c>
      <c r="J18" t="s">
        <v>8081</v>
      </c>
      <c r="K18" s="9" t="s">
        <v>82</v>
      </c>
      <c r="N18" s="9" t="s">
        <v>1656</v>
      </c>
      <c r="O18" s="9" t="s">
        <v>87</v>
      </c>
      <c r="P18" s="9" t="s">
        <v>201</v>
      </c>
      <c r="S18" s="9" t="s">
        <v>796</v>
      </c>
      <c r="T18" s="9" t="s">
        <v>1427</v>
      </c>
      <c r="U18" s="9" t="s">
        <v>9178</v>
      </c>
      <c r="Y18" s="9" t="s">
        <v>786</v>
      </c>
      <c r="Z18" s="9" t="s">
        <v>154</v>
      </c>
      <c r="AD18" s="9" t="s">
        <v>1672</v>
      </c>
      <c r="AE18" s="215" t="s">
        <v>7023</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5683</v>
      </c>
      <c r="F19" t="s">
        <v>6642</v>
      </c>
      <c r="G19" s="9"/>
      <c r="I19" s="9" t="s">
        <v>156</v>
      </c>
      <c r="J19" s="9" t="s">
        <v>1627</v>
      </c>
      <c r="K19" s="9" t="s">
        <v>8881</v>
      </c>
      <c r="N19" s="9" t="s">
        <v>222</v>
      </c>
      <c r="O19" s="9" t="s">
        <v>243</v>
      </c>
      <c r="P19" s="9" t="s">
        <v>185</v>
      </c>
      <c r="T19" s="9" t="s">
        <v>831</v>
      </c>
      <c r="U19" t="s">
        <v>8600</v>
      </c>
      <c r="Y19" s="9" t="s">
        <v>1651</v>
      </c>
      <c r="Z19" s="9" t="s">
        <v>785</v>
      </c>
      <c r="AE19" s="9" t="s">
        <v>3421</v>
      </c>
      <c r="AU19" t="s">
        <v>911</v>
      </c>
      <c r="AV19" t="s">
        <v>6999</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225</v>
      </c>
      <c r="K20" s="9" t="s">
        <v>190</v>
      </c>
      <c r="N20" s="9" t="s">
        <v>1603</v>
      </c>
      <c r="O20" s="9" t="s">
        <v>832</v>
      </c>
      <c r="P20" s="9" t="s">
        <v>132</v>
      </c>
      <c r="T20" s="9" t="s">
        <v>98</v>
      </c>
      <c r="U20" t="s">
        <v>8659</v>
      </c>
      <c r="Y20" t="s">
        <v>9105</v>
      </c>
      <c r="Z20" s="9" t="s">
        <v>1662</v>
      </c>
      <c r="AE20" s="9" t="s">
        <v>824</v>
      </c>
      <c r="AU20" t="s">
        <v>5669</v>
      </c>
      <c r="AV20" t="s">
        <v>8993</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8651</v>
      </c>
      <c r="G21" s="9"/>
      <c r="J21" s="9" t="s">
        <v>1611</v>
      </c>
      <c r="K21" s="9" t="s">
        <v>1645</v>
      </c>
      <c r="N21" s="9" t="s">
        <v>119</v>
      </c>
      <c r="O21" s="9" t="s">
        <v>1680</v>
      </c>
      <c r="P21" t="s">
        <v>8889</v>
      </c>
      <c r="T21" s="9" t="s">
        <v>99</v>
      </c>
      <c r="U21" s="9" t="s">
        <v>124</v>
      </c>
      <c r="Z21" s="9" t="s">
        <v>1677</v>
      </c>
      <c r="AE21" t="s">
        <v>9021</v>
      </c>
      <c r="AU21" t="s">
        <v>5668</v>
      </c>
      <c r="AV21" t="s">
        <v>5745</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1676</v>
      </c>
      <c r="K22" s="9" t="s">
        <v>1652</v>
      </c>
      <c r="N22" s="9" t="s">
        <v>3396</v>
      </c>
      <c r="O22" s="9" t="s">
        <v>92</v>
      </c>
      <c r="P22" s="9" t="s">
        <v>820</v>
      </c>
      <c r="T22" s="9" t="s">
        <v>22</v>
      </c>
      <c r="U22" s="9" t="s">
        <v>1186</v>
      </c>
      <c r="Z22" s="9" t="s">
        <v>833</v>
      </c>
      <c r="AE22" t="s">
        <v>6565</v>
      </c>
      <c r="AU22" t="s">
        <v>6841</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5774</v>
      </c>
      <c r="K23" s="9" t="s">
        <v>1684</v>
      </c>
      <c r="N23" s="9" t="s">
        <v>218</v>
      </c>
      <c r="O23" s="9" t="s">
        <v>1638</v>
      </c>
      <c r="P23" s="9" t="s">
        <v>1679</v>
      </c>
      <c r="T23" s="9" t="s">
        <v>795</v>
      </c>
      <c r="U23" s="9" t="s">
        <v>1429</v>
      </c>
      <c r="Z23" t="s">
        <v>9105</v>
      </c>
      <c r="AE23" t="s">
        <v>8499</v>
      </c>
      <c r="AU23" t="s">
        <v>6935</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8628</v>
      </c>
      <c r="J24" s="9" t="s">
        <v>798</v>
      </c>
      <c r="K24" s="9" t="s">
        <v>141</v>
      </c>
      <c r="O24" s="9" t="s">
        <v>799</v>
      </c>
      <c r="P24" s="9" t="s">
        <v>1614</v>
      </c>
      <c r="T24" s="9" t="s">
        <v>7130</v>
      </c>
      <c r="U24" s="9" t="s">
        <v>734</v>
      </c>
      <c r="Z24" t="s">
        <v>1690</v>
      </c>
      <c r="AE24" t="s">
        <v>8505</v>
      </c>
      <c r="AQ24" s="9"/>
      <c r="AU24" t="s">
        <v>6936</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144</v>
      </c>
      <c r="K25" s="9" t="s">
        <v>1702</v>
      </c>
      <c r="O25" s="9" t="s">
        <v>5698</v>
      </c>
      <c r="P25" t="s">
        <v>1393</v>
      </c>
      <c r="T25" s="9" t="s">
        <v>228</v>
      </c>
      <c r="U25" s="9" t="s">
        <v>823</v>
      </c>
      <c r="Z25" s="9" t="s">
        <v>7015</v>
      </c>
      <c r="AE25" t="s">
        <v>7232</v>
      </c>
      <c r="AQ25" s="9"/>
      <c r="AU25" t="s">
        <v>6937</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6758</v>
      </c>
      <c r="F26" s="9" t="s">
        <v>1653</v>
      </c>
      <c r="J26" s="9" t="s">
        <v>828</v>
      </c>
      <c r="K26" s="9" t="s">
        <v>1728</v>
      </c>
      <c r="O26" s="9" t="s">
        <v>242</v>
      </c>
      <c r="P26" t="s">
        <v>8002</v>
      </c>
      <c r="T26" s="9" t="s">
        <v>1648</v>
      </c>
      <c r="U26" s="9" t="s">
        <v>223</v>
      </c>
      <c r="Z26" s="9" t="s">
        <v>1667</v>
      </c>
      <c r="AE26" s="9" t="s">
        <v>249</v>
      </c>
      <c r="AQ26" s="9"/>
      <c r="AV26" t="s">
        <v>737</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7198</v>
      </c>
      <c r="F27" s="9" t="s">
        <v>186</v>
      </c>
      <c r="J27" s="9" t="s">
        <v>740</v>
      </c>
      <c r="K27" s="9" t="s">
        <v>1626</v>
      </c>
      <c r="O27" s="9" t="s">
        <v>829</v>
      </c>
      <c r="P27" s="9" t="s">
        <v>1654</v>
      </c>
      <c r="T27" t="s">
        <v>9096</v>
      </c>
      <c r="U27" t="s">
        <v>8021</v>
      </c>
      <c r="AE27" s="9" t="s">
        <v>733</v>
      </c>
      <c r="AQ27" s="9"/>
      <c r="AV27" t="s">
        <v>162</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24</v>
      </c>
      <c r="K28" s="9" t="s">
        <v>5690</v>
      </c>
      <c r="O28" s="9" t="s">
        <v>838</v>
      </c>
      <c r="P28" s="9" t="s">
        <v>207</v>
      </c>
      <c r="T28" s="9" t="s">
        <v>1615</v>
      </c>
      <c r="U28" s="9" t="s">
        <v>7008</v>
      </c>
      <c r="AV28" t="s">
        <v>5729</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8963</v>
      </c>
      <c r="J29" s="9" t="s">
        <v>23</v>
      </c>
      <c r="K29" s="9" t="s">
        <v>127</v>
      </c>
      <c r="O29" s="9" t="s">
        <v>172</v>
      </c>
      <c r="P29" s="9" t="s">
        <v>248</v>
      </c>
      <c r="T29" s="9" t="s">
        <v>830</v>
      </c>
      <c r="U29" s="9" t="s">
        <v>188</v>
      </c>
      <c r="AV29" t="s">
        <v>251</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5673</v>
      </c>
      <c r="J30" s="9" t="s">
        <v>123</v>
      </c>
      <c r="K30" s="9" t="s">
        <v>76</v>
      </c>
      <c r="P30" t="s">
        <v>235</v>
      </c>
      <c r="T30" s="9" t="s">
        <v>738</v>
      </c>
      <c r="U30" s="9" t="s">
        <v>168</v>
      </c>
      <c r="AV30" t="s">
        <v>137</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t="s">
        <v>5478</v>
      </c>
      <c r="K31" s="9" t="s">
        <v>8745</v>
      </c>
      <c r="P31" s="9" t="s">
        <v>817</v>
      </c>
      <c r="T31" s="9" t="s">
        <v>6761</v>
      </c>
      <c r="U31" s="9" t="s">
        <v>1705</v>
      </c>
      <c r="AV31" t="s">
        <v>1625</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K32" s="9" t="s">
        <v>8101</v>
      </c>
      <c r="P32" s="9" t="s">
        <v>6897</v>
      </c>
      <c r="T32" s="9" t="s">
        <v>180</v>
      </c>
      <c r="U32" s="9" t="s">
        <v>256</v>
      </c>
      <c r="AV32" t="s">
        <v>101</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t="s">
        <v>9077</v>
      </c>
      <c r="U33" s="9" t="s">
        <v>255</v>
      </c>
      <c r="AV33" t="s">
        <v>257</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6974</v>
      </c>
      <c r="K34" s="9" t="s">
        <v>263</v>
      </c>
      <c r="P34" s="9" t="s">
        <v>794</v>
      </c>
      <c r="U34" s="9" t="s">
        <v>179</v>
      </c>
      <c r="AV34" t="s">
        <v>74</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736</v>
      </c>
      <c r="U35" t="s">
        <v>1396</v>
      </c>
      <c r="AV35" t="s">
        <v>104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813</v>
      </c>
      <c r="U36" t="s">
        <v>9087</v>
      </c>
      <c r="AV36" t="s">
        <v>743</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1237</v>
      </c>
      <c r="U37" s="9" t="s">
        <v>1624</v>
      </c>
      <c r="AV37" t="s">
        <v>8719</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t="s">
        <v>5707</v>
      </c>
      <c r="AV38" t="s">
        <v>3213</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790</v>
      </c>
      <c r="AV39" t="s">
        <v>72</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s="9" t="s">
        <v>229</v>
      </c>
      <c r="AV40" t="s">
        <v>745</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t="s">
        <v>1754</v>
      </c>
      <c r="AV41" t="s">
        <v>793</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747</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6905</v>
      </c>
      <c r="AV43" t="s">
        <v>746</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6399</v>
      </c>
      <c r="AV44" t="s">
        <v>748</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717</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1641</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9178</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152</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CR21Mod</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6762</v>
      </c>
      <c r="AV50" t="s">
        <v>735</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CZ75</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1604</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Dana</v>
      </c>
      <c r="BP51" s="1" t="str">
        <f t="shared" si="18"/>
        <v/>
      </c>
      <c r="BQ51" s="1" t="str">
        <f t="shared" si="19"/>
        <v/>
      </c>
      <c r="BR51" s="1" t="str">
        <f t="shared" si="20"/>
        <v/>
      </c>
      <c r="BS51" s="1" t="str">
        <f t="shared" si="21"/>
        <v/>
      </c>
    </row>
    <row r="52" spans="1:73" x14ac:dyDescent="0.3">
      <c r="A52" s="9"/>
      <c r="C52" s="9"/>
      <c r="D52" s="9"/>
      <c r="U52" s="9" t="s">
        <v>133</v>
      </c>
      <c r="AV52" t="s">
        <v>721</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Defender</v>
      </c>
      <c r="BP52" s="1" t="str">
        <f t="shared" si="18"/>
        <v/>
      </c>
      <c r="BQ52" s="1" t="str">
        <f t="shared" si="19"/>
        <v/>
      </c>
      <c r="BR52" s="1" t="str">
        <f t="shared" si="20"/>
        <v/>
      </c>
      <c r="BS52" s="1" t="str">
        <f t="shared" si="21"/>
        <v/>
      </c>
    </row>
    <row r="53" spans="1:73" x14ac:dyDescent="0.3">
      <c r="A53" s="9"/>
      <c r="C53" s="9"/>
      <c r="D53" s="9"/>
      <c r="U53" s="9" t="s">
        <v>134</v>
      </c>
      <c r="AV53" t="s">
        <v>7167</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Dorothy</v>
      </c>
      <c r="BP53" s="1" t="str">
        <f t="shared" si="18"/>
        <v/>
      </c>
      <c r="BQ53" s="1" t="str">
        <f t="shared" si="19"/>
        <v/>
      </c>
      <c r="BR53" s="1" t="str">
        <f t="shared" si="20"/>
        <v/>
      </c>
      <c r="BS53" s="1" t="str">
        <f t="shared" si="21"/>
        <v/>
      </c>
    </row>
    <row r="54" spans="1:73" x14ac:dyDescent="0.3">
      <c r="A54" s="9"/>
      <c r="C54" s="9"/>
      <c r="D54" s="9"/>
      <c r="U54" s="9" t="s">
        <v>806</v>
      </c>
      <c r="AV54" t="s">
        <v>109</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DP12Mod</v>
      </c>
      <c r="BP54" s="1" t="str">
        <f t="shared" si="18"/>
        <v/>
      </c>
      <c r="BQ54" s="1" t="str">
        <f t="shared" si="19"/>
        <v/>
      </c>
      <c r="BR54" s="1" t="str">
        <f t="shared" si="20"/>
        <v/>
      </c>
      <c r="BS54" s="1" t="str">
        <f t="shared" si="21"/>
        <v/>
      </c>
    </row>
    <row r="55" spans="1:73" x14ac:dyDescent="0.3">
      <c r="A55" s="9"/>
      <c r="C55" s="9"/>
      <c r="D55" s="9"/>
      <c r="U55" t="s">
        <v>7215</v>
      </c>
      <c r="AV55" t="s">
        <v>1637</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DP28</v>
      </c>
      <c r="BP55" s="1" t="str">
        <f t="shared" si="18"/>
        <v/>
      </c>
      <c r="BQ55" s="1" t="str">
        <f t="shared" si="19"/>
        <v/>
      </c>
      <c r="BR55" s="1" t="str">
        <f t="shared" si="20"/>
        <v/>
      </c>
      <c r="BS55" s="1" t="str">
        <f t="shared" si="21"/>
        <v/>
      </c>
    </row>
    <row r="56" spans="1:73" x14ac:dyDescent="0.3">
      <c r="A56" s="9"/>
      <c r="C56" s="9"/>
      <c r="D56" s="9"/>
      <c r="U56" t="s">
        <v>5736</v>
      </c>
      <c r="AV56" t="s">
        <v>8600</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DSR50</v>
      </c>
      <c r="BP56" s="1" t="str">
        <f t="shared" si="18"/>
        <v/>
      </c>
      <c r="BQ56" s="1" t="str">
        <f t="shared" si="19"/>
        <v/>
      </c>
      <c r="BR56" s="1" t="str">
        <f t="shared" si="20"/>
        <v/>
      </c>
      <c r="BS56" s="1" t="str">
        <f t="shared" si="21"/>
        <v/>
      </c>
    </row>
    <row r="57" spans="1:73" x14ac:dyDescent="0.3">
      <c r="A57" s="9"/>
      <c r="C57" s="9"/>
      <c r="D57" s="9"/>
      <c r="U57" s="9" t="s">
        <v>169</v>
      </c>
      <c r="AV57" t="s">
        <v>9161</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EM2Mod</v>
      </c>
      <c r="BP57" s="1" t="str">
        <f t="shared" si="18"/>
        <v/>
      </c>
      <c r="BQ57" s="1" t="str">
        <f t="shared" si="19"/>
        <v/>
      </c>
      <c r="BR57" s="1" t="str">
        <f t="shared" si="20"/>
        <v/>
      </c>
      <c r="BS57" s="1" t="str">
        <f t="shared" si="21"/>
        <v/>
      </c>
    </row>
    <row r="58" spans="1:73" x14ac:dyDescent="0.3">
      <c r="A58" s="9"/>
      <c r="C58" s="9"/>
      <c r="D58" s="9"/>
      <c r="AV58" t="s">
        <v>8625</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Evita</v>
      </c>
      <c r="BP58" s="1" t="str">
        <f t="shared" si="18"/>
        <v/>
      </c>
      <c r="BQ58" s="1" t="str">
        <f t="shared" si="19"/>
        <v/>
      </c>
      <c r="BR58" s="1" t="str">
        <f t="shared" si="20"/>
        <v/>
      </c>
      <c r="BS58" s="1" t="str">
        <f t="shared" si="21"/>
        <v/>
      </c>
    </row>
    <row r="59" spans="1:73" x14ac:dyDescent="0.3">
      <c r="A59" s="9"/>
      <c r="C59" s="9"/>
      <c r="D59" s="9"/>
      <c r="AV59" t="s">
        <v>3178</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EVO 3Mod</v>
      </c>
      <c r="BP59" s="1" t="str">
        <f t="shared" si="18"/>
        <v/>
      </c>
      <c r="BQ59" s="1" t="str">
        <f t="shared" si="19"/>
        <v/>
      </c>
      <c r="BR59" s="1" t="str">
        <f t="shared" si="20"/>
        <v/>
      </c>
      <c r="BS59" s="1" t="str">
        <f t="shared" si="21"/>
        <v/>
      </c>
    </row>
    <row r="60" spans="1:73" x14ac:dyDescent="0.3">
      <c r="A60" s="9"/>
      <c r="C60" s="9"/>
      <c r="D60" s="9"/>
      <c r="AV60" t="s">
        <v>8659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EVO3</v>
      </c>
      <c r="BP60" s="1" t="str">
        <f t="shared" si="18"/>
        <v/>
      </c>
      <c r="BQ60" s="1" t="str">
        <f t="shared" si="19"/>
        <v/>
      </c>
      <c r="BR60" s="1" t="str">
        <f t="shared" si="20"/>
        <v/>
      </c>
      <c r="BS60" s="1" t="str">
        <f t="shared" si="21"/>
        <v/>
      </c>
    </row>
    <row r="61" spans="1:73" x14ac:dyDescent="0.3">
      <c r="A61" s="9"/>
      <c r="C61" s="9"/>
      <c r="D61" s="9"/>
      <c r="AV61" t="s">
        <v>826</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Ezaki</v>
      </c>
      <c r="BP61" s="1" t="str">
        <f t="shared" si="18"/>
        <v/>
      </c>
      <c r="BQ61" s="1" t="str">
        <f t="shared" si="19"/>
        <v/>
      </c>
      <c r="BR61" s="1" t="str">
        <f t="shared" si="20"/>
        <v/>
      </c>
      <c r="BS61" s="1" t="str">
        <f t="shared" si="21"/>
        <v/>
      </c>
    </row>
    <row r="62" spans="1:73" x14ac:dyDescent="0.3">
      <c r="A62" s="9"/>
      <c r="C62" s="9"/>
      <c r="D62" s="9"/>
      <c r="AV62" t="s">
        <v>1183</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F1Mod</v>
      </c>
      <c r="BP62" s="1" t="str">
        <f t="shared" si="18"/>
        <v/>
      </c>
      <c r="BQ62" s="1" t="str">
        <f t="shared" si="19"/>
        <v/>
      </c>
      <c r="BR62" s="1" t="str">
        <f t="shared" si="20"/>
        <v/>
      </c>
      <c r="BS62" s="1" t="str">
        <f t="shared" si="21"/>
        <v/>
      </c>
    </row>
    <row r="63" spans="1:73" x14ac:dyDescent="0.3">
      <c r="A63" s="9"/>
      <c r="C63" s="9"/>
      <c r="D63" s="9"/>
      <c r="AV63" t="s">
        <v>718</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F2000</v>
      </c>
      <c r="BP63" s="1" t="str">
        <f t="shared" si="18"/>
        <v/>
      </c>
      <c r="BQ63" s="1" t="str">
        <f t="shared" si="19"/>
        <v/>
      </c>
      <c r="BR63" s="1" t="str">
        <f t="shared" si="20"/>
        <v/>
      </c>
      <c r="BS63" s="1" t="str">
        <f t="shared" si="21"/>
        <v/>
      </c>
    </row>
    <row r="64" spans="1:73" x14ac:dyDescent="0.3">
      <c r="C64" s="9"/>
      <c r="D64" s="9"/>
      <c r="AV64" t="s">
        <v>8594</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Fail</v>
      </c>
      <c r="BP64" s="1" t="str">
        <f t="shared" si="18"/>
        <v/>
      </c>
      <c r="BQ64" s="1" t="str">
        <f t="shared" si="19"/>
        <v/>
      </c>
      <c r="BR64" s="1" t="str">
        <f t="shared" si="20"/>
        <v/>
      </c>
      <c r="BS64" s="1" t="str">
        <f t="shared" si="21"/>
        <v/>
      </c>
    </row>
    <row r="65" spans="3:71" x14ac:dyDescent="0.3">
      <c r="C65" s="9"/>
      <c r="D65" s="9"/>
      <c r="AV65" t="s">
        <v>710</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FalconMod</v>
      </c>
      <c r="BP65" s="1" t="str">
        <f t="shared" si="18"/>
        <v/>
      </c>
      <c r="BQ65" s="1" t="str">
        <f t="shared" si="19"/>
        <v/>
      </c>
      <c r="BR65" s="1" t="str">
        <f t="shared" si="20"/>
        <v/>
      </c>
      <c r="BS65" s="1" t="str">
        <f t="shared" si="21"/>
        <v/>
      </c>
    </row>
    <row r="66" spans="3:71" x14ac:dyDescent="0.3">
      <c r="C66" s="9"/>
      <c r="D66" s="9"/>
      <c r="AV66" t="s">
        <v>125</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FAMAS</v>
      </c>
      <c r="BP66" s="1" t="str">
        <f t="shared" si="18"/>
        <v/>
      </c>
      <c r="BQ66" s="1" t="str">
        <f t="shared" si="19"/>
        <v/>
      </c>
      <c r="BR66" s="1" t="str">
        <f t="shared" si="20"/>
        <v/>
      </c>
      <c r="BS66" s="1" t="str">
        <f t="shared" si="21"/>
        <v/>
      </c>
    </row>
    <row r="67" spans="3:71" x14ac:dyDescent="0.3">
      <c r="C67" s="9"/>
      <c r="D67" s="9"/>
      <c r="AV67" t="s">
        <v>1628</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FG42</v>
      </c>
      <c r="BP67" s="1" t="str">
        <f t="shared" si="18"/>
        <v/>
      </c>
      <c r="BQ67" s="1" t="str">
        <f t="shared" si="19"/>
        <v/>
      </c>
      <c r="BR67" s="1" t="str">
        <f t="shared" si="20"/>
        <v/>
      </c>
      <c r="BS67" s="1" t="str">
        <f t="shared" si="21"/>
        <v/>
      </c>
    </row>
    <row r="68" spans="3:71" x14ac:dyDescent="0.3">
      <c r="D68" s="9"/>
      <c r="AV68" t="s">
        <v>1417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Fiveseven</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1636</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FN49Mod</v>
      </c>
      <c r="BP69" s="1" t="str">
        <f t="shared" si="38"/>
        <v/>
      </c>
      <c r="BQ69" s="1" t="str">
        <f t="shared" si="39"/>
        <v/>
      </c>
      <c r="BR69" s="1" t="str">
        <f t="shared" si="40"/>
        <v/>
      </c>
      <c r="BS69" s="1" t="str">
        <f t="shared" si="41"/>
        <v/>
      </c>
    </row>
    <row r="70" spans="3:71" x14ac:dyDescent="0.3">
      <c r="D70" s="9"/>
      <c r="AV70" t="s">
        <v>1447</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FP6</v>
      </c>
      <c r="BP70" s="1" t="str">
        <f t="shared" si="38"/>
        <v/>
      </c>
      <c r="BQ70" s="1" t="str">
        <f t="shared" si="39"/>
        <v/>
      </c>
      <c r="BR70" s="1" t="str">
        <f t="shared" si="40"/>
        <v/>
      </c>
      <c r="BS70" s="1" t="str">
        <f t="shared" si="41"/>
        <v/>
      </c>
    </row>
    <row r="71" spans="3:71" x14ac:dyDescent="0.3">
      <c r="AV71" t="s">
        <v>75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G11Mod</v>
      </c>
      <c r="BP71" s="1" t="str">
        <f t="shared" si="38"/>
        <v/>
      </c>
      <c r="BQ71" s="1" t="str">
        <f t="shared" si="39"/>
        <v/>
      </c>
      <c r="BR71" s="1" t="str">
        <f t="shared" si="40"/>
        <v/>
      </c>
      <c r="BS71" s="1" t="str">
        <f t="shared" si="41"/>
        <v/>
      </c>
    </row>
    <row r="72" spans="3:71" x14ac:dyDescent="0.3">
      <c r="AV72" t="s">
        <v>1748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G17</v>
      </c>
      <c r="BP72" s="1" t="str">
        <f t="shared" si="38"/>
        <v/>
      </c>
      <c r="BQ72" s="1" t="str">
        <f t="shared" si="39"/>
        <v/>
      </c>
      <c r="BR72" s="1" t="str">
        <f t="shared" si="40"/>
        <v/>
      </c>
      <c r="BS72" s="1" t="str">
        <f t="shared" si="41"/>
        <v/>
      </c>
    </row>
    <row r="73" spans="3:71" x14ac:dyDescent="0.3">
      <c r="AV73" t="s">
        <v>1429</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G36CMod</v>
      </c>
      <c r="BP73" s="1" t="str">
        <f t="shared" si="38"/>
        <v/>
      </c>
      <c r="BQ73" s="1" t="str">
        <f t="shared" si="39"/>
        <v/>
      </c>
      <c r="BR73" s="1" t="str">
        <f t="shared" si="40"/>
        <v/>
      </c>
      <c r="BS73" s="1" t="str">
        <f t="shared" si="41"/>
        <v/>
      </c>
    </row>
    <row r="74" spans="3:71" x14ac:dyDescent="0.3">
      <c r="AV74" t="s">
        <v>8702</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G36Mod</v>
      </c>
      <c r="BP74" s="1" t="str">
        <f t="shared" si="38"/>
        <v/>
      </c>
      <c r="BQ74" s="1" t="str">
        <f t="shared" si="39"/>
        <v/>
      </c>
      <c r="BR74" s="1" t="str">
        <f t="shared" si="40"/>
        <v/>
      </c>
      <c r="BS74" s="1" t="str">
        <f t="shared" si="41"/>
        <v/>
      </c>
    </row>
    <row r="75" spans="3:71" x14ac:dyDescent="0.3">
      <c r="AV75" t="s">
        <v>1427</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G36ModGZ</v>
      </c>
      <c r="BP75" s="1" t="str">
        <f t="shared" si="38"/>
        <v/>
      </c>
      <c r="BQ75" s="1" t="str">
        <f t="shared" si="39"/>
        <v/>
      </c>
      <c r="BR75" s="1" t="str">
        <f t="shared" si="40"/>
        <v/>
      </c>
      <c r="BS75" s="1" t="str">
        <f t="shared" si="41"/>
        <v/>
      </c>
    </row>
    <row r="76" spans="3:71" x14ac:dyDescent="0.3">
      <c r="AV76" t="s">
        <v>8544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G3Mod</v>
      </c>
      <c r="BP76" s="1" t="str">
        <f t="shared" si="38"/>
        <v/>
      </c>
      <c r="BQ76" s="1" t="str">
        <f t="shared" si="39"/>
        <v/>
      </c>
      <c r="BR76" s="1" t="str">
        <f t="shared" si="40"/>
        <v/>
      </c>
      <c r="BS76" s="1" t="str">
        <f t="shared" si="41"/>
        <v/>
      </c>
    </row>
    <row r="77" spans="3:71" x14ac:dyDescent="0.3">
      <c r="AV77" t="s">
        <v>734</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G3ModGZ</v>
      </c>
      <c r="BP77" s="1" t="str">
        <f t="shared" si="38"/>
        <v/>
      </c>
      <c r="BQ77" s="1" t="str">
        <f t="shared" si="39"/>
        <v/>
      </c>
      <c r="BR77" s="1" t="str">
        <f t="shared" si="40"/>
        <v/>
      </c>
      <c r="BS77" s="1" t="str">
        <f t="shared" si="41"/>
        <v/>
      </c>
    </row>
    <row r="78" spans="3:71" x14ac:dyDescent="0.3">
      <c r="AV78" t="s">
        <v>9074</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G41</v>
      </c>
      <c r="BP78" s="1" t="str">
        <f t="shared" si="38"/>
        <v/>
      </c>
      <c r="BQ78" s="1" t="str">
        <f t="shared" si="39"/>
        <v/>
      </c>
      <c r="BR78" s="1" t="str">
        <f t="shared" si="40"/>
        <v/>
      </c>
      <c r="BS78" s="1" t="str">
        <f t="shared" si="41"/>
        <v/>
      </c>
    </row>
    <row r="79" spans="3:71" x14ac:dyDescent="0.3">
      <c r="AV79" t="s">
        <v>94</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G41GZ</v>
      </c>
      <c r="BP79" s="1" t="str">
        <f t="shared" si="38"/>
        <v/>
      </c>
      <c r="BQ79" s="1" t="str">
        <f t="shared" si="39"/>
        <v/>
      </c>
      <c r="BR79" s="1" t="str">
        <f t="shared" si="40"/>
        <v/>
      </c>
      <c r="BS79" s="1" t="str">
        <f t="shared" si="41"/>
        <v/>
      </c>
    </row>
    <row r="80" spans="3:71" x14ac:dyDescent="0.3">
      <c r="AV80" t="s">
        <v>831</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G43</v>
      </c>
      <c r="BP80" s="1" t="str">
        <f t="shared" si="38"/>
        <v/>
      </c>
      <c r="BQ80" s="1" t="str">
        <f t="shared" si="39"/>
        <v/>
      </c>
      <c r="BR80" s="1" t="str">
        <f t="shared" si="40"/>
        <v/>
      </c>
      <c r="BS80" s="1" t="str">
        <f t="shared" si="41"/>
        <v/>
      </c>
    </row>
    <row r="81" spans="48:71" x14ac:dyDescent="0.3">
      <c r="AV81" t="s">
        <v>1755</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Galil Mod</v>
      </c>
      <c r="BP81" s="1" t="str">
        <f t="shared" si="38"/>
        <v/>
      </c>
      <c r="BQ81" s="1" t="str">
        <f t="shared" si="39"/>
        <v/>
      </c>
      <c r="BR81" s="1" t="str">
        <f t="shared" si="40"/>
        <v/>
      </c>
      <c r="BS81" s="1" t="str">
        <f t="shared" si="41"/>
        <v/>
      </c>
    </row>
    <row r="82" spans="48:71" x14ac:dyDescent="0.3">
      <c r="AV82" t="s">
        <v>120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Gepard M1Mod</v>
      </c>
      <c r="BP82" s="1" t="str">
        <f t="shared" si="38"/>
        <v/>
      </c>
      <c r="BQ82" s="1" t="str">
        <f t="shared" si="39"/>
        <v/>
      </c>
      <c r="BR82" s="1" t="str">
        <f t="shared" si="40"/>
        <v/>
      </c>
      <c r="BS82" s="1" t="str">
        <f t="shared" si="41"/>
        <v/>
      </c>
    </row>
    <row r="83" spans="48:71" x14ac:dyDescent="0.3">
      <c r="AV83" t="s">
        <v>1685</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Grizzly</v>
      </c>
      <c r="BP83" s="1" t="str">
        <f t="shared" si="38"/>
        <v/>
      </c>
      <c r="BQ83" s="1" t="str">
        <f t="shared" si="39"/>
        <v/>
      </c>
      <c r="BR83" s="1" t="str">
        <f t="shared" si="40"/>
        <v/>
      </c>
      <c r="BS83" s="1" t="str">
        <f t="shared" si="41"/>
        <v/>
      </c>
    </row>
    <row r="84" spans="48:71" x14ac:dyDescent="0.3">
      <c r="AV84" t="s">
        <v>9171</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GSh18Mod</v>
      </c>
      <c r="BP84" s="1" t="str">
        <f t="shared" si="38"/>
        <v/>
      </c>
      <c r="BQ84" s="1" t="str">
        <f t="shared" si="39"/>
        <v/>
      </c>
      <c r="BR84" s="1" t="str">
        <f t="shared" si="40"/>
        <v/>
      </c>
      <c r="BS84" s="1" t="str">
        <f t="shared" si="41"/>
        <v/>
      </c>
    </row>
    <row r="85" spans="48:71" x14ac:dyDescent="0.3">
      <c r="AV85" t="s">
        <v>247</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Hecate</v>
      </c>
      <c r="BP85" s="1" t="str">
        <f t="shared" si="38"/>
        <v/>
      </c>
      <c r="BQ85" s="1" t="str">
        <f t="shared" si="39"/>
        <v/>
      </c>
      <c r="BR85" s="1" t="str">
        <f t="shared" si="40"/>
        <v/>
      </c>
      <c r="BS85" s="1" t="str">
        <f t="shared" si="41"/>
        <v/>
      </c>
    </row>
    <row r="86" spans="48:71" x14ac:dyDescent="0.3">
      <c r="AV86" t="s">
        <v>206</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Henrietta</v>
      </c>
      <c r="BP86" s="1" t="str">
        <f t="shared" si="38"/>
        <v/>
      </c>
      <c r="BQ86" s="1" t="str">
        <f t="shared" si="39"/>
        <v/>
      </c>
      <c r="BR86" s="1" t="str">
        <f t="shared" si="40"/>
        <v/>
      </c>
      <c r="BS86" s="1" t="str">
        <f t="shared" si="41"/>
        <v/>
      </c>
    </row>
    <row r="87" spans="48:71" x14ac:dyDescent="0.3">
      <c r="AV87" t="s">
        <v>223</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HK33</v>
      </c>
      <c r="BP87" s="1" t="str">
        <f t="shared" si="38"/>
        <v/>
      </c>
      <c r="BQ87" s="1" t="str">
        <f t="shared" si="39"/>
        <v/>
      </c>
      <c r="BR87" s="1" t="str">
        <f t="shared" si="40"/>
        <v/>
      </c>
      <c r="BS87" s="1" t="str">
        <f t="shared" si="41"/>
        <v/>
      </c>
    </row>
    <row r="88" spans="48:71" x14ac:dyDescent="0.3">
      <c r="AV88" t="s">
        <v>258</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HK416</v>
      </c>
      <c r="BP88" s="1" t="str">
        <f t="shared" si="38"/>
        <v/>
      </c>
      <c r="BQ88" s="1" t="str">
        <f t="shared" si="39"/>
        <v/>
      </c>
      <c r="BR88" s="1" t="str">
        <f t="shared" si="40"/>
        <v/>
      </c>
      <c r="BS88" s="1" t="str">
        <f t="shared" si="41"/>
        <v/>
      </c>
    </row>
    <row r="89" spans="48:71" x14ac:dyDescent="0.3">
      <c r="AV89" t="s">
        <v>8118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HK416Mod</v>
      </c>
      <c r="BP89" s="1" t="str">
        <f t="shared" si="38"/>
        <v/>
      </c>
      <c r="BQ89" s="1" t="str">
        <f t="shared" si="39"/>
        <v/>
      </c>
      <c r="BR89" s="1" t="str">
        <f t="shared" si="40"/>
        <v/>
      </c>
      <c r="BS89" s="1" t="str">
        <f t="shared" si="41"/>
        <v/>
      </c>
    </row>
    <row r="90" spans="48:71" x14ac:dyDescent="0.3">
      <c r="AV90" t="s">
        <v>1719</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HK416ModGZ</v>
      </c>
      <c r="BP90" s="1" t="str">
        <f t="shared" si="38"/>
        <v/>
      </c>
      <c r="BQ90" s="1" t="str">
        <f t="shared" si="39"/>
        <v/>
      </c>
      <c r="BR90" s="1" t="str">
        <f t="shared" si="40"/>
        <v/>
      </c>
      <c r="BS90" s="1" t="str">
        <f t="shared" si="41"/>
        <v/>
      </c>
    </row>
    <row r="91" spans="48:71" x14ac:dyDescent="0.3">
      <c r="AV91" t="s">
        <v>200</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Honey Badger</v>
      </c>
      <c r="BP91" s="1" t="str">
        <f t="shared" si="38"/>
        <v/>
      </c>
      <c r="BQ91" s="1" t="str">
        <f t="shared" si="39"/>
        <v/>
      </c>
      <c r="BR91" s="1" t="str">
        <f t="shared" si="40"/>
        <v/>
      </c>
      <c r="BS91" s="1" t="str">
        <f t="shared" si="41"/>
        <v/>
      </c>
    </row>
    <row r="92" spans="48:71" x14ac:dyDescent="0.3">
      <c r="AV92" t="s">
        <v>1731</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HS2000</v>
      </c>
      <c r="BP92" s="1" t="str">
        <f t="shared" si="38"/>
        <v/>
      </c>
      <c r="BQ92" s="1" t="str">
        <f t="shared" si="39"/>
        <v/>
      </c>
      <c r="BR92" s="1" t="str">
        <f t="shared" si="40"/>
        <v/>
      </c>
      <c r="BS92" s="1" t="str">
        <f t="shared" si="41"/>
        <v/>
      </c>
    </row>
    <row r="93" spans="48:71" x14ac:dyDescent="0.3">
      <c r="AV93" t="s">
        <v>261</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HS50</v>
      </c>
      <c r="BP93" s="1" t="str">
        <f t="shared" si="38"/>
        <v/>
      </c>
      <c r="BQ93" s="1" t="str">
        <f t="shared" si="39"/>
        <v/>
      </c>
      <c r="BR93" s="1" t="str">
        <f t="shared" si="40"/>
        <v/>
      </c>
      <c r="BS93" s="1" t="str">
        <f t="shared" si="41"/>
        <v/>
      </c>
    </row>
    <row r="94" spans="48:71" x14ac:dyDescent="0.3">
      <c r="AV94" t="s">
        <v>9223</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IDWMod</v>
      </c>
      <c r="BP94" s="1" t="str">
        <f t="shared" si="38"/>
        <v/>
      </c>
      <c r="BQ94" s="1" t="str">
        <f t="shared" si="39"/>
        <v/>
      </c>
      <c r="BR94" s="1" t="str">
        <f t="shared" si="40"/>
        <v/>
      </c>
      <c r="BS94" s="1" t="str">
        <f t="shared" si="41"/>
        <v/>
      </c>
    </row>
    <row r="95" spans="48:71" x14ac:dyDescent="0.3">
      <c r="AV95" t="s">
        <v>78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IDWModGZ</v>
      </c>
      <c r="BP95" s="1" t="str">
        <f t="shared" si="38"/>
        <v/>
      </c>
      <c r="BQ95" s="1" t="str">
        <f t="shared" si="39"/>
        <v/>
      </c>
      <c r="BR95" s="1" t="str">
        <f t="shared" si="40"/>
        <v/>
      </c>
      <c r="BS95" s="1" t="str">
        <f t="shared" si="41"/>
        <v/>
      </c>
    </row>
    <row r="96" spans="48:71" x14ac:dyDescent="0.3">
      <c r="AV96" t="s">
        <v>1691</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Ingram</v>
      </c>
      <c r="BP96" s="1" t="str">
        <f t="shared" si="38"/>
        <v/>
      </c>
      <c r="BQ96" s="1" t="str">
        <f t="shared" si="39"/>
        <v/>
      </c>
      <c r="BR96" s="1" t="str">
        <f t="shared" si="40"/>
        <v/>
      </c>
      <c r="BS96" s="1" t="str">
        <f t="shared" si="41"/>
        <v/>
      </c>
    </row>
    <row r="97" spans="48:71" x14ac:dyDescent="0.3">
      <c r="AV97" t="s">
        <v>192</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Jashin</v>
      </c>
      <c r="BP97" s="1" t="str">
        <f t="shared" si="38"/>
        <v/>
      </c>
      <c r="BQ97" s="1" t="str">
        <f t="shared" si="39"/>
        <v/>
      </c>
      <c r="BR97" s="1" t="str">
        <f t="shared" si="40"/>
        <v/>
      </c>
      <c r="BS97" s="1" t="str">
        <f t="shared" si="41"/>
        <v/>
      </c>
    </row>
    <row r="98" spans="48:71" x14ac:dyDescent="0.3">
      <c r="AV98" t="s">
        <v>755</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Jericho</v>
      </c>
      <c r="BP98" s="1" t="str">
        <f t="shared" si="38"/>
        <v/>
      </c>
      <c r="BQ98" s="1" t="str">
        <f t="shared" si="39"/>
        <v/>
      </c>
      <c r="BR98" s="1" t="str">
        <f t="shared" si="40"/>
        <v/>
      </c>
      <c r="BS98" s="1" t="str">
        <f t="shared" si="41"/>
        <v/>
      </c>
    </row>
    <row r="99" spans="48:71" x14ac:dyDescent="0.3">
      <c r="AV99" t="s">
        <v>758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JillAdelhyde1</v>
      </c>
      <c r="BP99" s="1" t="str">
        <f t="shared" si="38"/>
        <v/>
      </c>
      <c r="BQ99" s="1" t="str">
        <f t="shared" si="39"/>
        <v/>
      </c>
      <c r="BR99" s="1" t="str">
        <f t="shared" si="40"/>
        <v/>
      </c>
      <c r="BS99" s="1" t="str">
        <f t="shared" si="41"/>
        <v/>
      </c>
    </row>
    <row r="100" spans="48:71" x14ac:dyDescent="0.3">
      <c r="AV100" t="s">
        <v>759</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JillAdelhyde2</v>
      </c>
      <c r="BP100" s="1" t="str">
        <f t="shared" si="38"/>
        <v/>
      </c>
      <c r="BQ100" s="1" t="str">
        <f t="shared" si="39"/>
        <v/>
      </c>
      <c r="BR100" s="1" t="str">
        <f t="shared" si="40"/>
        <v/>
      </c>
      <c r="BS100" s="1" t="str">
        <f t="shared" si="41"/>
        <v/>
      </c>
    </row>
    <row r="101" spans="48:71" x14ac:dyDescent="0.3">
      <c r="AV101" t="s">
        <v>756</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JillBronsonExtract</v>
      </c>
      <c r="BP101" s="1" t="str">
        <f t="shared" si="38"/>
        <v/>
      </c>
      <c r="BQ101" s="1" t="str">
        <f t="shared" si="39"/>
        <v/>
      </c>
      <c r="BR101" s="1" t="str">
        <f t="shared" si="40"/>
        <v/>
      </c>
      <c r="BS101" s="1" t="str">
        <f t="shared" si="41"/>
        <v/>
      </c>
    </row>
    <row r="102" spans="48:71" x14ac:dyDescent="0.3">
      <c r="AV102" t="s">
        <v>754</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JillFlanergide</v>
      </c>
      <c r="BP102" s="1" t="str">
        <f t="shared" si="38"/>
        <v/>
      </c>
      <c r="BQ102" s="1" t="str">
        <f t="shared" si="39"/>
        <v/>
      </c>
      <c r="BR102" s="1" t="str">
        <f t="shared" si="40"/>
        <v/>
      </c>
      <c r="BS102" s="1" t="str">
        <f t="shared" si="41"/>
        <v/>
      </c>
    </row>
    <row r="103" spans="48:71" x14ac:dyDescent="0.3">
      <c r="AV103" t="s">
        <v>757</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JillKarmotrine1</v>
      </c>
      <c r="BP103" s="1" t="str">
        <f t="shared" si="38"/>
        <v/>
      </c>
      <c r="BQ103" s="1" t="str">
        <f t="shared" si="39"/>
        <v/>
      </c>
      <c r="BR103" s="1" t="str">
        <f t="shared" si="40"/>
        <v/>
      </c>
      <c r="BS103" s="1" t="str">
        <f t="shared" si="41"/>
        <v/>
      </c>
    </row>
    <row r="104" spans="48:71" x14ac:dyDescent="0.3">
      <c r="AV104" t="s">
        <v>760</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JillKarmotrine2</v>
      </c>
      <c r="BP104" s="1" t="str">
        <f t="shared" si="38"/>
        <v/>
      </c>
      <c r="BQ104" s="1" t="str">
        <f t="shared" si="39"/>
        <v/>
      </c>
      <c r="BR104" s="1" t="str">
        <f t="shared" si="40"/>
        <v/>
      </c>
      <c r="BS104" s="1" t="str">
        <f t="shared" si="41"/>
        <v/>
      </c>
    </row>
    <row r="105" spans="48:71" x14ac:dyDescent="0.3">
      <c r="AV105" t="s">
        <v>841</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JillKarmotrine3</v>
      </c>
      <c r="BP105" s="1" t="str">
        <f t="shared" si="38"/>
        <v/>
      </c>
      <c r="BQ105" s="1" t="str">
        <f t="shared" si="39"/>
        <v/>
      </c>
      <c r="BR105" s="1" t="str">
        <f t="shared" si="40"/>
        <v/>
      </c>
      <c r="BS105" s="1" t="str">
        <f t="shared" si="41"/>
        <v/>
      </c>
    </row>
    <row r="106" spans="48:71" x14ac:dyDescent="0.3">
      <c r="AV106" t="s">
        <v>7008</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JillPowderedDelta</v>
      </c>
      <c r="BP106" s="1" t="str">
        <f t="shared" si="38"/>
        <v/>
      </c>
      <c r="BQ106" s="1" t="str">
        <f t="shared" si="39"/>
        <v/>
      </c>
      <c r="BR106" s="1" t="str">
        <f t="shared" si="40"/>
        <v/>
      </c>
      <c r="BS106" s="1" t="str">
        <f t="shared" si="41"/>
        <v/>
      </c>
    </row>
    <row r="107" spans="48:71" x14ac:dyDescent="0.3">
      <c r="AV107" t="s">
        <v>188</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Junko</v>
      </c>
      <c r="BP107" s="1" t="str">
        <f t="shared" si="38"/>
        <v/>
      </c>
      <c r="BQ107" s="1" t="str">
        <f t="shared" si="39"/>
        <v/>
      </c>
      <c r="BR107" s="1" t="str">
        <f t="shared" si="40"/>
        <v/>
      </c>
      <c r="BS107" s="1" t="str">
        <f t="shared" si="41"/>
        <v/>
      </c>
    </row>
    <row r="108" spans="48:71" x14ac:dyDescent="0.3">
      <c r="AV108" t="s">
        <v>168</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K11</v>
      </c>
      <c r="BP108" s="1" t="str">
        <f t="shared" si="38"/>
        <v/>
      </c>
      <c r="BQ108" s="1" t="str">
        <f t="shared" si="39"/>
        <v/>
      </c>
      <c r="BR108" s="1" t="str">
        <f t="shared" si="40"/>
        <v/>
      </c>
      <c r="BS108" s="1" t="str">
        <f t="shared" si="41"/>
        <v/>
      </c>
    </row>
    <row r="109" spans="48:71" x14ac:dyDescent="0.3">
      <c r="AV109" t="s">
        <v>191</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K2</v>
      </c>
      <c r="BP109" s="1" t="str">
        <f t="shared" si="38"/>
        <v/>
      </c>
      <c r="BQ109" s="1" t="str">
        <f t="shared" si="39"/>
        <v/>
      </c>
      <c r="BR109" s="1" t="str">
        <f t="shared" si="40"/>
        <v/>
      </c>
      <c r="BS109" s="1" t="str">
        <f t="shared" si="41"/>
        <v/>
      </c>
    </row>
    <row r="110" spans="48:71" x14ac:dyDescent="0.3">
      <c r="AV110" t="s">
        <v>7152</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K31</v>
      </c>
      <c r="BP110" s="1" t="str">
        <f t="shared" si="38"/>
        <v/>
      </c>
      <c r="BQ110" s="1" t="str">
        <f t="shared" si="39"/>
        <v/>
      </c>
      <c r="BR110" s="1" t="str">
        <f t="shared" si="40"/>
        <v/>
      </c>
      <c r="BS110" s="1" t="str">
        <f t="shared" si="41"/>
        <v/>
      </c>
    </row>
    <row r="111" spans="48:71" x14ac:dyDescent="0.3">
      <c r="AV111" t="s">
        <v>93</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K5Mod</v>
      </c>
      <c r="BP111" s="1" t="str">
        <f t="shared" si="38"/>
        <v/>
      </c>
      <c r="BQ111" s="1" t="str">
        <f t="shared" si="39"/>
        <v/>
      </c>
      <c r="BR111" s="1" t="str">
        <f t="shared" si="40"/>
        <v/>
      </c>
      <c r="BS111" s="1" t="str">
        <f t="shared" si="41"/>
        <v/>
      </c>
    </row>
    <row r="112" spans="48:71" x14ac:dyDescent="0.3">
      <c r="AV112" t="s">
        <v>6759</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Kar98k</v>
      </c>
      <c r="BP112" s="1" t="str">
        <f t="shared" si="38"/>
        <v/>
      </c>
      <c r="BQ112" s="1" t="str">
        <f t="shared" si="39"/>
        <v/>
      </c>
      <c r="BR112" s="1" t="str">
        <f t="shared" si="40"/>
        <v/>
      </c>
      <c r="BS112" s="1" t="str">
        <f t="shared" si="41"/>
        <v/>
      </c>
    </row>
    <row r="113" spans="48:71" x14ac:dyDescent="0.3">
      <c r="AV113" t="s">
        <v>157</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Kar98kmod</v>
      </c>
      <c r="BP113" s="1" t="str">
        <f t="shared" si="38"/>
        <v/>
      </c>
      <c r="BQ113" s="1" t="str">
        <f t="shared" si="39"/>
        <v/>
      </c>
      <c r="BR113" s="1" t="str">
        <f t="shared" si="40"/>
        <v/>
      </c>
      <c r="BS113" s="1" t="str">
        <f t="shared" si="41"/>
        <v/>
      </c>
    </row>
    <row r="114" spans="48:71" x14ac:dyDescent="0.3">
      <c r="AV114" t="s">
        <v>722</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KLIN</v>
      </c>
      <c r="BP114" s="1" t="str">
        <f t="shared" si="38"/>
        <v/>
      </c>
      <c r="BQ114" s="1" t="str">
        <f t="shared" si="39"/>
        <v/>
      </c>
      <c r="BR114" s="1" t="str">
        <f t="shared" si="40"/>
        <v/>
      </c>
      <c r="BS114" s="1" t="str">
        <f t="shared" si="41"/>
        <v/>
      </c>
    </row>
    <row r="115" spans="48:71" x14ac:dyDescent="0.3">
      <c r="AV115" t="s">
        <v>265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KS23</v>
      </c>
      <c r="BP115" s="1" t="str">
        <f t="shared" si="38"/>
        <v/>
      </c>
      <c r="BQ115" s="1" t="str">
        <f t="shared" si="39"/>
        <v/>
      </c>
      <c r="BR115" s="1" t="str">
        <f t="shared" si="40"/>
        <v/>
      </c>
      <c r="BS115" s="1" t="str">
        <f t="shared" si="41"/>
        <v/>
      </c>
    </row>
    <row r="116" spans="48:71" x14ac:dyDescent="0.3">
      <c r="AV116" t="s">
        <v>103</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KSVKMod</v>
      </c>
      <c r="BP116" s="1" t="str">
        <f t="shared" si="38"/>
        <v/>
      </c>
      <c r="BQ116" s="1" t="str">
        <f t="shared" si="39"/>
        <v/>
      </c>
      <c r="BR116" s="1" t="str">
        <f t="shared" si="40"/>
        <v/>
      </c>
      <c r="BS116" s="1" t="str">
        <f t="shared" si="41"/>
        <v/>
      </c>
    </row>
    <row r="117" spans="48:71" x14ac:dyDescent="0.3">
      <c r="AV117" t="s">
        <v>96</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L85A1</v>
      </c>
      <c r="BP117" s="1" t="str">
        <f t="shared" si="38"/>
        <v/>
      </c>
      <c r="BQ117" s="1" t="str">
        <f t="shared" si="39"/>
        <v/>
      </c>
      <c r="BR117" s="1" t="str">
        <f t="shared" si="40"/>
        <v/>
      </c>
      <c r="BS117" s="1" t="str">
        <f t="shared" si="41"/>
        <v/>
      </c>
    </row>
    <row r="118" spans="48:71" x14ac:dyDescent="0.3">
      <c r="AV118" t="s">
        <v>6760</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Lee Enfield</v>
      </c>
      <c r="BP118" s="1" t="str">
        <f t="shared" si="38"/>
        <v/>
      </c>
      <c r="BQ118" s="1" t="str">
        <f t="shared" si="39"/>
        <v/>
      </c>
      <c r="BR118" s="1" t="str">
        <f t="shared" si="40"/>
        <v/>
      </c>
      <c r="BS118" s="1" t="str">
        <f t="shared" si="41"/>
        <v/>
      </c>
    </row>
    <row r="119" spans="48:71" x14ac:dyDescent="0.3">
      <c r="AV119" t="s">
        <v>217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Lee Enfieldmod</v>
      </c>
      <c r="BP119" s="1" t="str">
        <f t="shared" si="38"/>
        <v/>
      </c>
      <c r="BQ119" s="1" t="str">
        <f t="shared" si="39"/>
        <v/>
      </c>
      <c r="BR119" s="1" t="str">
        <f t="shared" si="40"/>
        <v/>
      </c>
      <c r="BS119" s="1" t="str">
        <f t="shared" si="41"/>
        <v/>
      </c>
    </row>
    <row r="120" spans="48:71" x14ac:dyDescent="0.3">
      <c r="AV120" t="s">
        <v>6984</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Liberator</v>
      </c>
      <c r="BP120" s="1" t="str">
        <f t="shared" si="38"/>
        <v/>
      </c>
      <c r="BQ120" s="1" t="str">
        <f t="shared" si="39"/>
        <v/>
      </c>
      <c r="BR120" s="1" t="str">
        <f t="shared" si="40"/>
        <v/>
      </c>
      <c r="BS120" s="1" t="str">
        <f t="shared" si="41"/>
        <v/>
      </c>
    </row>
    <row r="121" spans="48:71" x14ac:dyDescent="0.3">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Lily</v>
      </c>
      <c r="BP121" s="1" t="str">
        <f t="shared" si="38"/>
        <v/>
      </c>
      <c r="BQ121" s="1" t="str">
        <f t="shared" si="39"/>
        <v/>
      </c>
      <c r="BR121" s="1" t="str">
        <f t="shared" si="40"/>
        <v/>
      </c>
      <c r="BS121" s="1" t="str">
        <f t="shared" si="41"/>
        <v/>
      </c>
    </row>
    <row r="122" spans="48:71" x14ac:dyDescent="0.3">
      <c r="AV122" t="s">
        <v>8649</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LWMMGMod</v>
      </c>
      <c r="BP122" s="1" t="str">
        <f t="shared" si="38"/>
        <v/>
      </c>
      <c r="BQ122" s="1" t="str">
        <f t="shared" si="39"/>
        <v/>
      </c>
      <c r="BR122" s="1" t="str">
        <f t="shared" si="40"/>
        <v/>
      </c>
      <c r="BS122" s="1" t="str">
        <f t="shared" si="41"/>
        <v/>
      </c>
    </row>
    <row r="123" spans="48:71" x14ac:dyDescent="0.3">
      <c r="AV123" t="s">
        <v>86</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LWMMGModGZ</v>
      </c>
      <c r="BP123" s="1" t="str">
        <f t="shared" si="38"/>
        <v/>
      </c>
      <c r="BQ123" s="1" t="str">
        <f t="shared" si="39"/>
        <v/>
      </c>
      <c r="BR123" s="1" t="str">
        <f t="shared" si="40"/>
        <v/>
      </c>
      <c r="BS123" s="1" t="str">
        <f t="shared" si="41"/>
        <v/>
      </c>
    </row>
    <row r="124" spans="48:71" x14ac:dyDescent="0.3">
      <c r="AV124" t="s">
        <v>254</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 Garand</v>
      </c>
      <c r="BP124" s="1" t="str">
        <f t="shared" si="38"/>
        <v/>
      </c>
      <c r="BQ124" s="1" t="str">
        <f t="shared" si="39"/>
        <v/>
      </c>
      <c r="BR124" s="1" t="str">
        <f t="shared" si="40"/>
        <v/>
      </c>
      <c r="BS124" s="1" t="str">
        <f t="shared" si="41"/>
        <v/>
      </c>
    </row>
    <row r="125" spans="48:71" x14ac:dyDescent="0.3">
      <c r="AV125" t="s">
        <v>98</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M14Mod</v>
      </c>
      <c r="BP125" s="1" t="str">
        <f t="shared" si="38"/>
        <v/>
      </c>
      <c r="BQ125" s="1" t="str">
        <f t="shared" si="39"/>
        <v/>
      </c>
      <c r="BR125" s="1" t="str">
        <f t="shared" si="40"/>
        <v/>
      </c>
      <c r="BS125" s="1" t="str">
        <f t="shared" si="41"/>
        <v/>
      </c>
    </row>
    <row r="126" spans="48:71" x14ac:dyDescent="0.3">
      <c r="AV126" t="s">
        <v>145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M16A1</v>
      </c>
      <c r="BP126" s="1" t="str">
        <f t="shared" si="38"/>
        <v/>
      </c>
      <c r="BQ126" s="1" t="str">
        <f t="shared" si="39"/>
        <v/>
      </c>
      <c r="BR126" s="1" t="str">
        <f t="shared" si="40"/>
        <v/>
      </c>
      <c r="BS126" s="1" t="str">
        <f t="shared" si="41"/>
        <v/>
      </c>
    </row>
    <row r="127" spans="48:71" x14ac:dyDescent="0.3">
      <c r="AV127" t="s">
        <v>784</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M1887</v>
      </c>
      <c r="BP127" s="1" t="str">
        <f t="shared" si="38"/>
        <v/>
      </c>
      <c r="BQ127" s="1" t="str">
        <f t="shared" si="39"/>
        <v/>
      </c>
      <c r="BR127" s="1" t="str">
        <f t="shared" si="40"/>
        <v/>
      </c>
      <c r="BS127" s="1" t="str">
        <f t="shared" si="41"/>
        <v/>
      </c>
    </row>
    <row r="128" spans="48:71" x14ac:dyDescent="0.3">
      <c r="AV128" t="s">
        <v>9017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M1895Mod</v>
      </c>
      <c r="BP128" s="1" t="str">
        <f t="shared" si="38"/>
        <v/>
      </c>
      <c r="BQ128" s="1" t="str">
        <f t="shared" si="39"/>
        <v/>
      </c>
      <c r="BR128" s="1" t="str">
        <f t="shared" si="40"/>
        <v/>
      </c>
      <c r="BS128" s="1" t="str">
        <f t="shared" si="41"/>
        <v/>
      </c>
    </row>
    <row r="129" spans="48:71" x14ac:dyDescent="0.3">
      <c r="AV129" t="s">
        <v>724</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M1895ModGZ</v>
      </c>
      <c r="BP129" s="1" t="str">
        <f t="shared" si="38"/>
        <v/>
      </c>
      <c r="BQ129" s="1" t="str">
        <f t="shared" si="39"/>
        <v/>
      </c>
      <c r="BR129" s="1" t="str">
        <f t="shared" si="40"/>
        <v/>
      </c>
      <c r="BS129" s="1" t="str">
        <f t="shared" si="41"/>
        <v/>
      </c>
    </row>
    <row r="130" spans="48:71" x14ac:dyDescent="0.3">
      <c r="AV130" t="s">
        <v>252</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M1897Mod</v>
      </c>
      <c r="BP130" s="1" t="str">
        <f t="shared" si="38"/>
        <v/>
      </c>
      <c r="BQ130" s="1" t="str">
        <f t="shared" si="39"/>
        <v/>
      </c>
      <c r="BR130" s="1" t="str">
        <f t="shared" si="40"/>
        <v/>
      </c>
      <c r="BS130" s="1" t="str">
        <f t="shared" si="41"/>
        <v/>
      </c>
    </row>
    <row r="131" spans="48:71" x14ac:dyDescent="0.3">
      <c r="AV131" t="s">
        <v>8545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M1911Mod</v>
      </c>
      <c r="BP131" s="1" t="str">
        <f t="shared" si="38"/>
        <v/>
      </c>
      <c r="BQ131" s="1" t="str">
        <f t="shared" si="39"/>
        <v/>
      </c>
      <c r="BR131" s="1" t="str">
        <f t="shared" si="40"/>
        <v/>
      </c>
      <c r="BS131" s="1" t="str">
        <f t="shared" si="41"/>
        <v/>
      </c>
    </row>
    <row r="132" spans="48:71" x14ac:dyDescent="0.3">
      <c r="AV132" t="s">
        <v>105</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M1911ModGZ</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259</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M1918</v>
      </c>
      <c r="BP133" s="1" t="str">
        <f t="shared" si="58"/>
        <v/>
      </c>
      <c r="BQ133" s="1" t="str">
        <f t="shared" si="59"/>
        <v/>
      </c>
      <c r="BR133" s="1" t="str">
        <f t="shared" si="60"/>
        <v/>
      </c>
      <c r="BS133" s="1" t="str">
        <f t="shared" si="61"/>
        <v/>
      </c>
    </row>
    <row r="134" spans="48:71" x14ac:dyDescent="0.3">
      <c r="AV134" t="s">
        <v>7306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M1918Mod</v>
      </c>
      <c r="BP134" s="1" t="str">
        <f t="shared" si="58"/>
        <v/>
      </c>
      <c r="BQ134" s="1" t="str">
        <f t="shared" si="59"/>
        <v/>
      </c>
      <c r="BR134" s="1" t="str">
        <f t="shared" si="60"/>
        <v/>
      </c>
      <c r="BS134" s="1" t="str">
        <f t="shared" si="61"/>
        <v/>
      </c>
    </row>
    <row r="135" spans="48:71" x14ac:dyDescent="0.3">
      <c r="AV135" t="s">
        <v>107</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M1918Ranking</v>
      </c>
      <c r="BP135" s="1" t="str">
        <f t="shared" si="58"/>
        <v/>
      </c>
      <c r="BQ135" s="1" t="str">
        <f t="shared" si="59"/>
        <v/>
      </c>
      <c r="BR135" s="1" t="str">
        <f t="shared" si="60"/>
        <v/>
      </c>
      <c r="BS135" s="1" t="str">
        <f t="shared" si="61"/>
        <v/>
      </c>
    </row>
    <row r="136" spans="48:71" x14ac:dyDescent="0.3">
      <c r="AV136" t="s">
        <v>7145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M1919A4</v>
      </c>
      <c r="BP136" s="1" t="str">
        <f t="shared" si="58"/>
        <v/>
      </c>
      <c r="BQ136" s="1" t="str">
        <f t="shared" si="59"/>
        <v/>
      </c>
      <c r="BR136" s="1" t="str">
        <f t="shared" si="60"/>
        <v/>
      </c>
      <c r="BS136" s="1" t="str">
        <f t="shared" si="61"/>
        <v/>
      </c>
    </row>
    <row r="137" spans="48:71" x14ac:dyDescent="0.3">
      <c r="AV137" t="s">
        <v>8304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M1919A4Mod</v>
      </c>
      <c r="BP137" s="1" t="str">
        <f t="shared" si="58"/>
        <v/>
      </c>
      <c r="BQ137" s="1" t="str">
        <f t="shared" si="59"/>
        <v/>
      </c>
      <c r="BR137" s="1" t="str">
        <f t="shared" si="60"/>
        <v/>
      </c>
      <c r="BS137" s="1" t="str">
        <f t="shared" si="61"/>
        <v/>
      </c>
    </row>
    <row r="138" spans="48:71" x14ac:dyDescent="0.3">
      <c r="AV138" t="s">
        <v>788</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M1919A4ModGZ</v>
      </c>
      <c r="BP138" s="1" t="str">
        <f t="shared" si="58"/>
        <v/>
      </c>
      <c r="BQ138" s="1" t="str">
        <f t="shared" si="59"/>
        <v/>
      </c>
      <c r="BR138" s="1" t="str">
        <f t="shared" si="60"/>
        <v/>
      </c>
      <c r="BS138" s="1" t="str">
        <f t="shared" si="61"/>
        <v/>
      </c>
    </row>
    <row r="139" spans="48:71" x14ac:dyDescent="0.3">
      <c r="AV139" t="s">
        <v>89</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M1A1</v>
      </c>
      <c r="BP139" s="1" t="str">
        <f t="shared" si="58"/>
        <v/>
      </c>
      <c r="BQ139" s="1" t="str">
        <f t="shared" si="59"/>
        <v/>
      </c>
      <c r="BR139" s="1" t="str">
        <f t="shared" si="60"/>
        <v/>
      </c>
      <c r="BS139" s="1" t="str">
        <f t="shared" si="61"/>
        <v/>
      </c>
    </row>
    <row r="140" spans="48:71" x14ac:dyDescent="0.3">
      <c r="AV140" t="s">
        <v>1171</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M21</v>
      </c>
      <c r="BP140" s="1" t="str">
        <f t="shared" si="58"/>
        <v/>
      </c>
      <c r="BQ140" s="1" t="str">
        <f t="shared" si="59"/>
        <v/>
      </c>
      <c r="BR140" s="1" t="str">
        <f t="shared" si="60"/>
        <v/>
      </c>
      <c r="BS140" s="1" t="str">
        <f t="shared" si="61"/>
        <v/>
      </c>
    </row>
    <row r="141" spans="48:71" x14ac:dyDescent="0.3">
      <c r="AV141" t="s">
        <v>789</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M249SAW</v>
      </c>
      <c r="BP141" s="1" t="str">
        <f t="shared" si="58"/>
        <v/>
      </c>
      <c r="BQ141" s="1" t="str">
        <f t="shared" si="59"/>
        <v/>
      </c>
      <c r="BR141" s="1" t="str">
        <f t="shared" si="60"/>
        <v/>
      </c>
      <c r="BS141" s="1" t="str">
        <f t="shared" si="61"/>
        <v/>
      </c>
    </row>
    <row r="142" spans="48:71" x14ac:dyDescent="0.3">
      <c r="AV142" t="s">
        <v>77</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M2HB</v>
      </c>
      <c r="BP142" s="1" t="str">
        <f t="shared" si="58"/>
        <v/>
      </c>
      <c r="BQ142" s="1" t="str">
        <f t="shared" si="59"/>
        <v/>
      </c>
      <c r="BR142" s="1" t="str">
        <f t="shared" si="60"/>
        <v/>
      </c>
      <c r="BS142" s="1" t="str">
        <f t="shared" si="61"/>
        <v/>
      </c>
    </row>
    <row r="143" spans="48:71" x14ac:dyDescent="0.3">
      <c r="AV143" t="s">
        <v>147</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M3</v>
      </c>
      <c r="BP143" s="1" t="str">
        <f t="shared" si="58"/>
        <v/>
      </c>
      <c r="BQ143" s="1" t="str">
        <f t="shared" si="59"/>
        <v/>
      </c>
      <c r="BR143" s="1" t="str">
        <f t="shared" si="60"/>
        <v/>
      </c>
      <c r="BS143" s="1" t="str">
        <f t="shared" si="61"/>
        <v/>
      </c>
    </row>
    <row r="144" spans="48:71" x14ac:dyDescent="0.3">
      <c r="AV144" t="s">
        <v>714</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M37</v>
      </c>
      <c r="BP144" s="1" t="str">
        <f t="shared" si="58"/>
        <v/>
      </c>
      <c r="BQ144" s="1" t="str">
        <f t="shared" si="59"/>
        <v/>
      </c>
      <c r="BR144" s="1" t="str">
        <f t="shared" si="60"/>
        <v/>
      </c>
      <c r="BS144" s="1" t="str">
        <f t="shared" si="61"/>
        <v/>
      </c>
    </row>
    <row r="145" spans="48:71" x14ac:dyDescent="0.3">
      <c r="AV145" t="s">
        <v>256</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M38Mod</v>
      </c>
      <c r="BP145" s="1" t="str">
        <f t="shared" si="58"/>
        <v/>
      </c>
      <c r="BQ145" s="1" t="str">
        <f t="shared" si="59"/>
        <v/>
      </c>
      <c r="BR145" s="1" t="str">
        <f t="shared" si="60"/>
        <v/>
      </c>
      <c r="BS145" s="1" t="str">
        <f t="shared" si="61"/>
        <v/>
      </c>
    </row>
    <row r="146" spans="48:71" x14ac:dyDescent="0.3">
      <c r="AV146" t="s">
        <v>255</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M4 SOPMOD IIMod</v>
      </c>
      <c r="BP146" s="1" t="str">
        <f t="shared" si="58"/>
        <v/>
      </c>
      <c r="BQ146" s="1" t="str">
        <f t="shared" si="59"/>
        <v/>
      </c>
      <c r="BR146" s="1" t="str">
        <f t="shared" si="60"/>
        <v/>
      </c>
      <c r="BS146" s="1" t="str">
        <f t="shared" si="61"/>
        <v/>
      </c>
    </row>
    <row r="147" spans="48:71" x14ac:dyDescent="0.3">
      <c r="AV147" t="s">
        <v>715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M4A1Mod</v>
      </c>
      <c r="BP147" s="1" t="str">
        <f t="shared" si="58"/>
        <v/>
      </c>
      <c r="BQ147" s="1" t="str">
        <f t="shared" si="59"/>
        <v/>
      </c>
      <c r="BR147" s="1" t="str">
        <f t="shared" si="60"/>
        <v/>
      </c>
      <c r="BS147" s="1" t="str">
        <f t="shared" si="61"/>
        <v/>
      </c>
    </row>
    <row r="148" spans="48:71" x14ac:dyDescent="0.3">
      <c r="AV148" t="s">
        <v>9075</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M500Mod</v>
      </c>
      <c r="BP148" s="1" t="str">
        <f t="shared" si="58"/>
        <v/>
      </c>
      <c r="BQ148" s="1" t="str">
        <f t="shared" si="59"/>
        <v/>
      </c>
      <c r="BR148" s="1" t="str">
        <f t="shared" si="60"/>
        <v/>
      </c>
      <c r="BS148" s="1" t="str">
        <f t="shared" si="61"/>
        <v/>
      </c>
    </row>
    <row r="149" spans="48:71" x14ac:dyDescent="0.3">
      <c r="AV149" t="s">
        <v>811</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M500ModGZ</v>
      </c>
      <c r="BP149" s="1" t="str">
        <f t="shared" si="58"/>
        <v/>
      </c>
      <c r="BQ149" s="1" t="str">
        <f t="shared" si="59"/>
        <v/>
      </c>
      <c r="BR149" s="1" t="str">
        <f t="shared" si="60"/>
        <v/>
      </c>
      <c r="BS149" s="1" t="str">
        <f t="shared" si="61"/>
        <v/>
      </c>
    </row>
    <row r="150" spans="48:71" x14ac:dyDescent="0.3">
      <c r="AV150" t="s">
        <v>185</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M6 ASW</v>
      </c>
      <c r="BP150" s="1" t="str">
        <f t="shared" si="58"/>
        <v/>
      </c>
      <c r="BQ150" s="1" t="str">
        <f t="shared" si="59"/>
        <v/>
      </c>
      <c r="BR150" s="1" t="str">
        <f t="shared" si="60"/>
        <v/>
      </c>
      <c r="BS150" s="1" t="str">
        <f t="shared" si="61"/>
        <v/>
      </c>
    </row>
    <row r="151" spans="48:71" x14ac:dyDescent="0.3">
      <c r="AV151" t="s">
        <v>9222</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M82A1</v>
      </c>
      <c r="BP151" s="1" t="str">
        <f t="shared" si="58"/>
        <v/>
      </c>
      <c r="BQ151" s="1" t="str">
        <f t="shared" si="59"/>
        <v/>
      </c>
      <c r="BR151" s="1" t="str">
        <f t="shared" si="60"/>
        <v/>
      </c>
      <c r="BS151" s="1" t="str">
        <f t="shared" si="61"/>
        <v/>
      </c>
    </row>
    <row r="152" spans="48:71" x14ac:dyDescent="0.3">
      <c r="AV152" t="s">
        <v>5632</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M82A1GZ</v>
      </c>
      <c r="BP152" s="1" t="str">
        <f t="shared" si="58"/>
        <v/>
      </c>
      <c r="BQ152" s="1" t="str">
        <f t="shared" si="59"/>
        <v/>
      </c>
      <c r="BR152" s="1" t="str">
        <f t="shared" si="60"/>
        <v/>
      </c>
      <c r="BS152" s="1" t="str">
        <f t="shared" si="61"/>
        <v/>
      </c>
    </row>
    <row r="153" spans="48:71" x14ac:dyDescent="0.3">
      <c r="AV153" t="s">
        <v>63</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M870</v>
      </c>
      <c r="BP153" s="1" t="str">
        <f t="shared" si="58"/>
        <v/>
      </c>
      <c r="BQ153" s="1" t="str">
        <f t="shared" si="59"/>
        <v/>
      </c>
      <c r="BR153" s="1" t="str">
        <f t="shared" si="60"/>
        <v/>
      </c>
      <c r="BS153" s="1" t="str">
        <f t="shared" si="61"/>
        <v/>
      </c>
    </row>
    <row r="154" spans="48:71" x14ac:dyDescent="0.3">
      <c r="AV154" t="s">
        <v>262</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M9</v>
      </c>
      <c r="BP154" s="1" t="str">
        <f t="shared" si="58"/>
        <v/>
      </c>
      <c r="BQ154" s="1" t="str">
        <f t="shared" si="59"/>
        <v/>
      </c>
      <c r="BR154" s="1" t="str">
        <f t="shared" si="60"/>
        <v/>
      </c>
      <c r="BS154" s="1" t="str">
        <f t="shared" si="61"/>
        <v/>
      </c>
    </row>
    <row r="155" spans="48:71" x14ac:dyDescent="0.3">
      <c r="AV155" t="s">
        <v>8648</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M950AMod</v>
      </c>
      <c r="BP155" s="1" t="str">
        <f t="shared" si="58"/>
        <v/>
      </c>
      <c r="BQ155" s="1" t="str">
        <f t="shared" si="59"/>
        <v/>
      </c>
      <c r="BR155" s="1" t="str">
        <f t="shared" si="60"/>
        <v/>
      </c>
      <c r="BS155" s="1" t="str">
        <f t="shared" si="61"/>
        <v/>
      </c>
    </row>
    <row r="156" spans="48:71" x14ac:dyDescent="0.3">
      <c r="AV156" t="s">
        <v>68</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M950AModGZ</v>
      </c>
      <c r="BP156" s="1" t="str">
        <f t="shared" si="58"/>
        <v/>
      </c>
      <c r="BQ156" s="1" t="str">
        <f t="shared" si="59"/>
        <v/>
      </c>
      <c r="BR156" s="1" t="str">
        <f t="shared" si="60"/>
        <v/>
      </c>
      <c r="BS156" s="1" t="str">
        <f t="shared" si="61"/>
        <v/>
      </c>
    </row>
    <row r="157" spans="48:71" x14ac:dyDescent="0.3">
      <c r="AV157" t="s">
        <v>937</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Makarov</v>
      </c>
      <c r="BP157" s="1" t="str">
        <f t="shared" si="58"/>
        <v/>
      </c>
      <c r="BQ157" s="1" t="str">
        <f t="shared" si="59"/>
        <v/>
      </c>
      <c r="BR157" s="1" t="str">
        <f t="shared" si="60"/>
        <v/>
      </c>
      <c r="BS157" s="1" t="str">
        <f t="shared" si="61"/>
        <v/>
      </c>
    </row>
    <row r="158" spans="48:71" x14ac:dyDescent="0.3">
      <c r="AV158" t="s">
        <v>8127</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MakarovMod</v>
      </c>
      <c r="BP158" s="1" t="str">
        <f t="shared" si="58"/>
        <v/>
      </c>
      <c r="BQ158" s="1" t="str">
        <f t="shared" si="59"/>
        <v/>
      </c>
      <c r="BR158" s="1" t="str">
        <f t="shared" si="60"/>
        <v/>
      </c>
      <c r="BS158" s="1" t="str">
        <f t="shared" si="61"/>
        <v/>
      </c>
    </row>
    <row r="159" spans="48:71" x14ac:dyDescent="0.3">
      <c r="AV159" t="s">
        <v>179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MakarovModGZ</v>
      </c>
      <c r="BP159" s="1" t="str">
        <f t="shared" si="58"/>
        <v/>
      </c>
      <c r="BQ159" s="1" t="str">
        <f t="shared" si="59"/>
        <v/>
      </c>
      <c r="BR159" s="1" t="str">
        <f t="shared" si="60"/>
        <v/>
      </c>
      <c r="BS159" s="1" t="str">
        <f t="shared" si="61"/>
        <v/>
      </c>
    </row>
    <row r="160" spans="48:71" x14ac:dyDescent="0.3">
      <c r="AV160" t="s">
        <v>1396</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MDR</v>
      </c>
      <c r="BP160" s="1" t="str">
        <f t="shared" si="58"/>
        <v/>
      </c>
      <c r="BQ160" s="1" t="str">
        <f t="shared" si="59"/>
        <v/>
      </c>
      <c r="BR160" s="1" t="str">
        <f t="shared" si="60"/>
        <v/>
      </c>
      <c r="BS160" s="1" t="str">
        <f t="shared" si="61"/>
        <v/>
      </c>
    </row>
    <row r="161" spans="48:71" x14ac:dyDescent="0.3">
      <c r="AV161" t="s">
        <v>114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Medusa</v>
      </c>
      <c r="BP161" s="1" t="str">
        <f t="shared" si="58"/>
        <v/>
      </c>
      <c r="BQ161" s="1" t="str">
        <f t="shared" si="59"/>
        <v/>
      </c>
      <c r="BR161" s="1" t="str">
        <f t="shared" si="60"/>
        <v/>
      </c>
      <c r="BS161" s="1" t="str">
        <f t="shared" si="61"/>
        <v/>
      </c>
    </row>
    <row r="162" spans="48:71" x14ac:dyDescent="0.3">
      <c r="AV162" t="s">
        <v>113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MG3</v>
      </c>
      <c r="BP162" s="1" t="str">
        <f t="shared" si="58"/>
        <v/>
      </c>
      <c r="BQ162" s="1" t="str">
        <f t="shared" si="59"/>
        <v/>
      </c>
      <c r="BR162" s="1" t="str">
        <f t="shared" si="60"/>
        <v/>
      </c>
      <c r="BS162" s="1" t="str">
        <f t="shared" si="61"/>
        <v/>
      </c>
    </row>
    <row r="163" spans="48:71" x14ac:dyDescent="0.3">
      <c r="AV163" t="s">
        <v>6474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MG34</v>
      </c>
      <c r="BP163" s="1" t="str">
        <f t="shared" si="58"/>
        <v/>
      </c>
      <c r="BQ163" s="1" t="str">
        <f t="shared" si="59"/>
        <v/>
      </c>
      <c r="BR163" s="1" t="str">
        <f t="shared" si="60"/>
        <v/>
      </c>
      <c r="BS163" s="1" t="str">
        <f t="shared" si="61"/>
        <v/>
      </c>
    </row>
    <row r="164" spans="48:71" x14ac:dyDescent="0.3">
      <c r="AV164" t="s">
        <v>8352</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MG3Mod</v>
      </c>
      <c r="BP164" s="1" t="str">
        <f t="shared" si="58"/>
        <v/>
      </c>
      <c r="BQ164" s="1" t="str">
        <f t="shared" si="59"/>
        <v/>
      </c>
      <c r="BR164" s="1" t="str">
        <f t="shared" si="60"/>
        <v/>
      </c>
      <c r="BS164" s="1" t="str">
        <f t="shared" si="61"/>
        <v/>
      </c>
    </row>
    <row r="165" spans="48:71" x14ac:dyDescent="0.3">
      <c r="AV165" t="s">
        <v>299</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MG3ModGZ</v>
      </c>
      <c r="BP165" s="1" t="str">
        <f t="shared" si="58"/>
        <v/>
      </c>
      <c r="BQ165" s="1" t="str">
        <f t="shared" si="59"/>
        <v/>
      </c>
      <c r="BR165" s="1" t="str">
        <f t="shared" si="60"/>
        <v/>
      </c>
      <c r="BS165" s="1" t="str">
        <f t="shared" si="61"/>
        <v/>
      </c>
    </row>
    <row r="166" spans="48:71" x14ac:dyDescent="0.3">
      <c r="AV166" t="s">
        <v>112</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MG4</v>
      </c>
      <c r="BP166" s="1" t="str">
        <f t="shared" si="58"/>
        <v/>
      </c>
      <c r="BQ166" s="1" t="str">
        <f t="shared" si="59"/>
        <v/>
      </c>
      <c r="BR166" s="1" t="str">
        <f t="shared" si="60"/>
        <v/>
      </c>
      <c r="BS166" s="1" t="str">
        <f t="shared" si="61"/>
        <v/>
      </c>
    </row>
    <row r="167" spans="48:71" x14ac:dyDescent="0.3">
      <c r="AV167" t="s">
        <v>926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MG42</v>
      </c>
      <c r="BP167" s="1" t="str">
        <f t="shared" si="58"/>
        <v/>
      </c>
      <c r="BQ167" s="1" t="str">
        <f t="shared" si="59"/>
        <v/>
      </c>
      <c r="BR167" s="1" t="str">
        <f t="shared" si="60"/>
        <v/>
      </c>
      <c r="BS167" s="1" t="str">
        <f t="shared" si="61"/>
        <v/>
      </c>
    </row>
    <row r="168" spans="48:71" x14ac:dyDescent="0.3">
      <c r="AV168" t="s">
        <v>8126</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MG4Mod</v>
      </c>
      <c r="BP168" s="1" t="str">
        <f t="shared" si="58"/>
        <v/>
      </c>
      <c r="BQ168" s="1" t="str">
        <f t="shared" si="59"/>
        <v/>
      </c>
      <c r="BR168" s="1" t="str">
        <f t="shared" si="60"/>
        <v/>
      </c>
      <c r="BS168" s="1" t="str">
        <f t="shared" si="61"/>
        <v/>
      </c>
    </row>
    <row r="169" spans="48:71" x14ac:dyDescent="0.3">
      <c r="AV169" t="s">
        <v>300</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MG4ModGZ</v>
      </c>
      <c r="BP169" s="1" t="str">
        <f t="shared" si="58"/>
        <v/>
      </c>
      <c r="BQ169" s="1" t="str">
        <f t="shared" si="59"/>
        <v/>
      </c>
      <c r="BR169" s="1" t="str">
        <f t="shared" si="60"/>
        <v/>
      </c>
      <c r="BS169" s="1" t="str">
        <f t="shared" si="61"/>
        <v/>
      </c>
    </row>
    <row r="170" spans="48:71" x14ac:dyDescent="0.3">
      <c r="AV170" t="s">
        <v>253</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MG5</v>
      </c>
      <c r="BP170" s="1" t="str">
        <f t="shared" si="58"/>
        <v/>
      </c>
      <c r="BQ170" s="1" t="str">
        <f t="shared" si="59"/>
        <v/>
      </c>
      <c r="BR170" s="1" t="str">
        <f t="shared" si="60"/>
        <v/>
      </c>
      <c r="BS170" s="1" t="str">
        <f t="shared" si="61"/>
        <v/>
      </c>
    </row>
    <row r="171" spans="48:71" x14ac:dyDescent="0.3">
      <c r="AV171" t="s">
        <v>1400</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Micro UziMod</v>
      </c>
      <c r="BP171" s="1" t="str">
        <f t="shared" si="58"/>
        <v/>
      </c>
      <c r="BQ171" s="1" t="str">
        <f t="shared" si="59"/>
        <v/>
      </c>
      <c r="BR171" s="1" t="str">
        <f t="shared" si="60"/>
        <v/>
      </c>
      <c r="BS171" s="1" t="str">
        <f t="shared" si="61"/>
        <v/>
      </c>
    </row>
    <row r="172" spans="48:71" x14ac:dyDescent="0.3">
      <c r="AV172" t="s">
        <v>8690</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Minos</v>
      </c>
      <c r="BP172" s="1" t="str">
        <f t="shared" si="58"/>
        <v/>
      </c>
      <c r="BQ172" s="1" t="str">
        <f t="shared" si="59"/>
        <v/>
      </c>
      <c r="BR172" s="1" t="str">
        <f t="shared" si="60"/>
        <v/>
      </c>
      <c r="BS172" s="1" t="str">
        <f t="shared" si="61"/>
        <v/>
      </c>
    </row>
    <row r="173" spans="48:71" x14ac:dyDescent="0.3">
      <c r="AV173" t="s">
        <v>1178</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Mizukane</v>
      </c>
      <c r="BP173" s="1" t="str">
        <f t="shared" si="58"/>
        <v/>
      </c>
      <c r="BQ173" s="1" t="str">
        <f t="shared" si="59"/>
        <v/>
      </c>
      <c r="BR173" s="1" t="str">
        <f t="shared" si="60"/>
        <v/>
      </c>
      <c r="BS173" s="1" t="str">
        <f t="shared" si="61"/>
        <v/>
      </c>
    </row>
    <row r="174" spans="48:71" x14ac:dyDescent="0.3">
      <c r="AV174" t="s">
        <v>182</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Mk23</v>
      </c>
      <c r="BP174" s="1" t="str">
        <f t="shared" si="58"/>
        <v/>
      </c>
      <c r="BQ174" s="1" t="str">
        <f t="shared" si="59"/>
        <v/>
      </c>
      <c r="BR174" s="1" t="str">
        <f t="shared" si="60"/>
        <v/>
      </c>
      <c r="BS174" s="1" t="str">
        <f t="shared" si="61"/>
        <v/>
      </c>
    </row>
    <row r="175" spans="48:71" x14ac:dyDescent="0.3">
      <c r="AV175" t="s">
        <v>805</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Model L</v>
      </c>
      <c r="BP175" s="1" t="str">
        <f t="shared" si="58"/>
        <v/>
      </c>
      <c r="BQ175" s="1" t="str">
        <f t="shared" si="59"/>
        <v/>
      </c>
      <c r="BR175" s="1" t="str">
        <f t="shared" si="60"/>
        <v/>
      </c>
      <c r="BS175" s="1" t="str">
        <f t="shared" si="61"/>
        <v/>
      </c>
    </row>
    <row r="176" spans="48:71" x14ac:dyDescent="0.3">
      <c r="AV176" t="s">
        <v>728</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MondragonM1908</v>
      </c>
      <c r="BP176" s="1" t="str">
        <f t="shared" si="58"/>
        <v/>
      </c>
      <c r="BQ176" s="1" t="str">
        <f t="shared" si="59"/>
        <v/>
      </c>
      <c r="BR176" s="1" t="str">
        <f t="shared" si="60"/>
        <v/>
      </c>
      <c r="BS176" s="1" t="str">
        <f t="shared" si="61"/>
        <v/>
      </c>
    </row>
    <row r="177" spans="48:71" x14ac:dyDescent="0.3">
      <c r="AV177" t="s">
        <v>1679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MosinNagant</v>
      </c>
      <c r="BP177" s="1" t="str">
        <f t="shared" si="58"/>
        <v/>
      </c>
      <c r="BQ177" s="1" t="str">
        <f t="shared" si="59"/>
        <v/>
      </c>
      <c r="BR177" s="1" t="str">
        <f t="shared" si="60"/>
        <v/>
      </c>
      <c r="BS177" s="1" t="str">
        <f t="shared" si="61"/>
        <v/>
      </c>
    </row>
    <row r="178" spans="48:71" x14ac:dyDescent="0.3">
      <c r="AV178" t="s">
        <v>8121</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MosinNagantMod</v>
      </c>
      <c r="BP178" s="1" t="str">
        <f t="shared" si="58"/>
        <v/>
      </c>
      <c r="BQ178" s="1" t="str">
        <f t="shared" si="59"/>
        <v/>
      </c>
      <c r="BR178" s="1" t="str">
        <f t="shared" si="60"/>
        <v/>
      </c>
      <c r="BS178" s="1" t="str">
        <f t="shared" si="61"/>
        <v/>
      </c>
    </row>
    <row r="179" spans="48:71" x14ac:dyDescent="0.3">
      <c r="AV179" t="s">
        <v>8651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MosinNagantModGZ</v>
      </c>
      <c r="BP179" s="1" t="str">
        <f t="shared" si="58"/>
        <v/>
      </c>
      <c r="BQ179" s="1" t="str">
        <f t="shared" si="59"/>
        <v/>
      </c>
      <c r="BR179" s="1" t="str">
        <f t="shared" si="60"/>
        <v/>
      </c>
      <c r="BS179" s="1" t="str">
        <f t="shared" si="61"/>
        <v/>
      </c>
    </row>
    <row r="180" spans="48:71" x14ac:dyDescent="0.3">
      <c r="AV180" t="s">
        <v>1753</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Motoko</v>
      </c>
      <c r="BP180" s="1" t="str">
        <f t="shared" si="58"/>
        <v/>
      </c>
      <c r="BQ180" s="1" t="str">
        <f t="shared" si="59"/>
        <v/>
      </c>
      <c r="BR180" s="1" t="str">
        <f t="shared" si="60"/>
        <v/>
      </c>
      <c r="BS180" s="1" t="str">
        <f t="shared" si="61"/>
        <v/>
      </c>
    </row>
    <row r="181" spans="48:71" x14ac:dyDescent="0.3">
      <c r="AV181" t="s">
        <v>1683</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MP443Mod</v>
      </c>
      <c r="BP181" s="1" t="str">
        <f t="shared" si="58"/>
        <v/>
      </c>
      <c r="BQ181" s="1" t="str">
        <f t="shared" si="59"/>
        <v/>
      </c>
      <c r="BR181" s="1" t="str">
        <f t="shared" si="60"/>
        <v/>
      </c>
      <c r="BS181" s="1" t="str">
        <f t="shared" si="61"/>
        <v/>
      </c>
    </row>
    <row r="182" spans="48:71" x14ac:dyDescent="0.3">
      <c r="AV182" t="s">
        <v>729</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MP446Mod</v>
      </c>
      <c r="BP182" s="1" t="str">
        <f t="shared" si="58"/>
        <v/>
      </c>
      <c r="BQ182" s="1" t="str">
        <f t="shared" si="59"/>
        <v/>
      </c>
      <c r="BR182" s="1" t="str">
        <f t="shared" si="60"/>
        <v/>
      </c>
      <c r="BS182" s="1" t="str">
        <f t="shared" si="61"/>
        <v/>
      </c>
    </row>
    <row r="183" spans="48:71" x14ac:dyDescent="0.3">
      <c r="AV183" t="s">
        <v>1409</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MP5</v>
      </c>
      <c r="BP183" s="1" t="str">
        <f t="shared" si="58"/>
        <v/>
      </c>
      <c r="BQ183" s="1" t="str">
        <f t="shared" si="59"/>
        <v/>
      </c>
      <c r="BR183" s="1" t="str">
        <f t="shared" si="60"/>
        <v/>
      </c>
      <c r="BS183" s="1" t="str">
        <f t="shared" si="61"/>
        <v/>
      </c>
    </row>
    <row r="184" spans="48:71" x14ac:dyDescent="0.3">
      <c r="AV184" t="s">
        <v>8125</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MP5Mod</v>
      </c>
      <c r="BP184" s="1" t="str">
        <f t="shared" si="58"/>
        <v/>
      </c>
      <c r="BQ184" s="1" t="str">
        <f t="shared" si="59"/>
        <v/>
      </c>
      <c r="BR184" s="1" t="str">
        <f t="shared" si="60"/>
        <v/>
      </c>
      <c r="BS184" s="1" t="str">
        <f t="shared" si="61"/>
        <v/>
      </c>
    </row>
    <row r="185" spans="48:71" x14ac:dyDescent="0.3">
      <c r="AV185" t="s">
        <v>82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MP5ModGZ</v>
      </c>
      <c r="BP185" s="1" t="str">
        <f t="shared" si="58"/>
        <v/>
      </c>
      <c r="BQ185" s="1" t="str">
        <f t="shared" si="59"/>
        <v/>
      </c>
      <c r="BR185" s="1" t="str">
        <f t="shared" si="60"/>
        <v/>
      </c>
      <c r="BS185" s="1" t="str">
        <f t="shared" si="61"/>
        <v/>
      </c>
    </row>
    <row r="186" spans="48:71" x14ac:dyDescent="0.3">
      <c r="AV186" t="s">
        <v>1681</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MP7</v>
      </c>
      <c r="BP186" s="1" t="str">
        <f t="shared" si="58"/>
        <v/>
      </c>
      <c r="BQ186" s="1" t="str">
        <f t="shared" si="59"/>
        <v/>
      </c>
      <c r="BR186" s="1" t="str">
        <f t="shared" si="60"/>
        <v/>
      </c>
      <c r="BS186" s="1" t="str">
        <f t="shared" si="61"/>
        <v/>
      </c>
    </row>
    <row r="187" spans="48:71" x14ac:dyDescent="0.3">
      <c r="AV187" t="s">
        <v>8528</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NTW20Mod</v>
      </c>
      <c r="BP187" s="1" t="str">
        <f t="shared" si="58"/>
        <v/>
      </c>
      <c r="BQ187" s="1" t="str">
        <f t="shared" si="59"/>
        <v/>
      </c>
      <c r="BR187" s="1" t="str">
        <f t="shared" si="60"/>
        <v/>
      </c>
      <c r="BS187" s="1" t="str">
        <f t="shared" si="61"/>
        <v/>
      </c>
    </row>
    <row r="188" spans="48:71" x14ac:dyDescent="0.3">
      <c r="AV188" t="s">
        <v>131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NTW20ModGZ</v>
      </c>
      <c r="BP188" s="1" t="str">
        <f t="shared" si="58"/>
        <v/>
      </c>
      <c r="BQ188" s="1" t="str">
        <f t="shared" si="59"/>
        <v/>
      </c>
      <c r="BR188" s="1" t="str">
        <f t="shared" si="60"/>
        <v/>
      </c>
      <c r="BS188" s="1" t="str">
        <f t="shared" si="61"/>
        <v/>
      </c>
    </row>
    <row r="189" spans="48:71" x14ac:dyDescent="0.3">
      <c r="AV189" t="s">
        <v>6487</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NZ75</v>
      </c>
      <c r="BP189" s="1" t="str">
        <f t="shared" si="58"/>
        <v/>
      </c>
      <c r="BQ189" s="1" t="str">
        <f t="shared" si="59"/>
        <v/>
      </c>
      <c r="BR189" s="1" t="str">
        <f t="shared" si="60"/>
        <v/>
      </c>
      <c r="BS189" s="1" t="str">
        <f t="shared" si="61"/>
        <v/>
      </c>
    </row>
    <row r="190" spans="48:71" x14ac:dyDescent="0.3">
      <c r="AV190" t="s">
        <v>1693</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OBRMod</v>
      </c>
      <c r="BP190" s="1" t="str">
        <f t="shared" si="58"/>
        <v/>
      </c>
      <c r="BQ190" s="1" t="str">
        <f t="shared" si="59"/>
        <v/>
      </c>
      <c r="BR190" s="1" t="str">
        <f t="shared" si="60"/>
        <v/>
      </c>
      <c r="BS190" s="1" t="str">
        <f t="shared" si="61"/>
        <v/>
      </c>
    </row>
    <row r="191" spans="48:71" x14ac:dyDescent="0.3">
      <c r="AV191" t="s">
        <v>1624</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Ots12</v>
      </c>
      <c r="BP191" s="1" t="str">
        <f t="shared" si="58"/>
        <v/>
      </c>
      <c r="BQ191" s="1" t="str">
        <f t="shared" si="59"/>
        <v/>
      </c>
      <c r="BR191" s="1" t="str">
        <f t="shared" si="60"/>
        <v/>
      </c>
      <c r="BS191" s="1" t="str">
        <f t="shared" si="61"/>
        <v/>
      </c>
    </row>
    <row r="192" spans="48:71" x14ac:dyDescent="0.3">
      <c r="AV192" t="s">
        <v>1694</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OTs14</v>
      </c>
      <c r="BP192" s="1" t="str">
        <f t="shared" si="58"/>
        <v/>
      </c>
      <c r="BQ192" s="1" t="str">
        <f t="shared" si="59"/>
        <v/>
      </c>
      <c r="BR192" s="1" t="str">
        <f t="shared" si="60"/>
        <v/>
      </c>
      <c r="BS192" s="1" t="str">
        <f t="shared" si="61"/>
        <v/>
      </c>
    </row>
    <row r="193" spans="48:71" x14ac:dyDescent="0.3">
      <c r="AV193" t="s">
        <v>71</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Ots44</v>
      </c>
      <c r="BP193" s="1" t="str">
        <f t="shared" si="58"/>
        <v/>
      </c>
      <c r="BQ193" s="1" t="str">
        <f t="shared" si="59"/>
        <v/>
      </c>
      <c r="BR193" s="1" t="str">
        <f t="shared" si="60"/>
        <v/>
      </c>
      <c r="BS193" s="1" t="str">
        <f t="shared" si="61"/>
        <v/>
      </c>
    </row>
    <row r="194" spans="48:71" x14ac:dyDescent="0.3">
      <c r="AV194" t="s">
        <v>197</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P08</v>
      </c>
      <c r="BP194" s="1" t="str">
        <f t="shared" si="58"/>
        <v/>
      </c>
      <c r="BQ194" s="1" t="str">
        <f t="shared" si="59"/>
        <v/>
      </c>
      <c r="BR194" s="1" t="str">
        <f t="shared" si="60"/>
        <v/>
      </c>
      <c r="BS194" s="1" t="str">
        <f t="shared" si="61"/>
        <v/>
      </c>
    </row>
    <row r="195" spans="48:71" x14ac:dyDescent="0.3">
      <c r="AV195" t="s">
        <v>69</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P22</v>
      </c>
      <c r="BP195" s="1" t="str">
        <f t="shared" si="58"/>
        <v/>
      </c>
      <c r="BQ195" s="1" t="str">
        <f t="shared" si="59"/>
        <v/>
      </c>
      <c r="BR195" s="1" t="str">
        <f t="shared" si="60"/>
        <v/>
      </c>
      <c r="BS195" s="1" t="str">
        <f t="shared" si="61"/>
        <v/>
      </c>
    </row>
    <row r="196" spans="48:71" x14ac:dyDescent="0.3">
      <c r="AV196" t="s">
        <v>122</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P38</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190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P7</v>
      </c>
      <c r="BP197" s="1" t="str">
        <f t="shared" si="78"/>
        <v/>
      </c>
      <c r="BQ197" s="1" t="str">
        <f t="shared" si="79"/>
        <v/>
      </c>
      <c r="BR197" s="1" t="str">
        <f t="shared" si="80"/>
        <v/>
      </c>
      <c r="BS197" s="1" t="str">
        <f t="shared" si="81"/>
        <v/>
      </c>
    </row>
    <row r="198" spans="48:71" x14ac:dyDescent="0.3">
      <c r="AV198" t="s">
        <v>129</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P90</v>
      </c>
      <c r="BP198" s="1" t="str">
        <f t="shared" si="78"/>
        <v/>
      </c>
      <c r="BQ198" s="1" t="str">
        <f t="shared" si="79"/>
        <v/>
      </c>
      <c r="BR198" s="1" t="str">
        <f t="shared" si="80"/>
        <v/>
      </c>
      <c r="BS198" s="1" t="str">
        <f t="shared" si="81"/>
        <v/>
      </c>
    </row>
    <row r="199" spans="48:71" x14ac:dyDescent="0.3">
      <c r="AV199" t="s">
        <v>1653</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P99</v>
      </c>
      <c r="BP199" s="1" t="str">
        <f t="shared" si="78"/>
        <v/>
      </c>
      <c r="BQ199" s="1" t="str">
        <f t="shared" si="79"/>
        <v/>
      </c>
      <c r="BR199" s="1" t="str">
        <f t="shared" si="80"/>
        <v/>
      </c>
      <c r="BS199" s="1" t="str">
        <f t="shared" si="81"/>
        <v/>
      </c>
    </row>
    <row r="200" spans="48:71" x14ac:dyDescent="0.3">
      <c r="AV200" t="s">
        <v>1393</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PA15</v>
      </c>
      <c r="BP200" s="1" t="str">
        <f t="shared" si="78"/>
        <v/>
      </c>
      <c r="BQ200" s="1" t="str">
        <f t="shared" si="79"/>
        <v/>
      </c>
      <c r="BR200" s="1" t="str">
        <f t="shared" si="80"/>
        <v/>
      </c>
      <c r="BS200" s="1" t="str">
        <f t="shared" si="81"/>
        <v/>
      </c>
    </row>
    <row r="201" spans="48:71" x14ac:dyDescent="0.3">
      <c r="AV201" t="s">
        <v>111</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Pekola</v>
      </c>
      <c r="BP201" s="1" t="str">
        <f t="shared" si="78"/>
        <v/>
      </c>
      <c r="BQ201" s="1" t="str">
        <f t="shared" si="79"/>
        <v/>
      </c>
      <c r="BR201" s="1" t="str">
        <f t="shared" si="80"/>
        <v/>
      </c>
      <c r="BS201" s="1" t="str">
        <f t="shared" si="81"/>
        <v/>
      </c>
    </row>
    <row r="202" spans="48:71" x14ac:dyDescent="0.3">
      <c r="AV202" t="s">
        <v>154</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PK</v>
      </c>
      <c r="BP202" s="1" t="str">
        <f t="shared" si="78"/>
        <v/>
      </c>
      <c r="BQ202" s="1" t="str">
        <f t="shared" si="79"/>
        <v/>
      </c>
      <c r="BR202" s="1" t="str">
        <f t="shared" si="80"/>
        <v/>
      </c>
      <c r="BS202" s="1" t="str">
        <f t="shared" si="81"/>
        <v/>
      </c>
    </row>
    <row r="203" spans="48:71" x14ac:dyDescent="0.3">
      <c r="AV203" t="s">
        <v>8907</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PKP</v>
      </c>
      <c r="BP203" s="1" t="str">
        <f t="shared" si="78"/>
        <v/>
      </c>
      <c r="BQ203" s="1" t="str">
        <f t="shared" si="79"/>
        <v/>
      </c>
      <c r="BR203" s="1" t="str">
        <f t="shared" si="80"/>
        <v/>
      </c>
      <c r="BS203" s="1" t="str">
        <f t="shared" si="81"/>
        <v/>
      </c>
    </row>
    <row r="204" spans="48:71" x14ac:dyDescent="0.3">
      <c r="AV204" t="s">
        <v>1684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PKPGZ</v>
      </c>
      <c r="BP204" s="1" t="str">
        <f t="shared" si="78"/>
        <v/>
      </c>
      <c r="BQ204" s="1" t="str">
        <f t="shared" si="79"/>
        <v/>
      </c>
      <c r="BR204" s="1" t="str">
        <f t="shared" si="80"/>
        <v/>
      </c>
      <c r="BS204" s="1" t="str">
        <f t="shared" si="81"/>
        <v/>
      </c>
    </row>
    <row r="205" spans="48:71" x14ac:dyDescent="0.3">
      <c r="AV205" t="s">
        <v>1133</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PP19Mod</v>
      </c>
      <c r="BP205" s="1" t="str">
        <f t="shared" si="78"/>
        <v/>
      </c>
      <c r="BQ205" s="1" t="str">
        <f t="shared" si="79"/>
        <v/>
      </c>
      <c r="BR205" s="1" t="str">
        <f t="shared" si="80"/>
        <v/>
      </c>
      <c r="BS205" s="1" t="str">
        <f t="shared" si="81"/>
        <v/>
      </c>
    </row>
    <row r="206" spans="48:71" x14ac:dyDescent="0.3">
      <c r="AV206" t="s">
        <v>1611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PP2000</v>
      </c>
      <c r="BP206" s="1" t="str">
        <f t="shared" si="78"/>
        <v/>
      </c>
      <c r="BQ206" s="1" t="str">
        <f t="shared" si="79"/>
        <v/>
      </c>
      <c r="BR206" s="1" t="str">
        <f t="shared" si="80"/>
        <v/>
      </c>
      <c r="BS206" s="1" t="str">
        <f t="shared" si="81"/>
        <v/>
      </c>
    </row>
    <row r="207" spans="48:71" x14ac:dyDescent="0.3">
      <c r="AV207" t="s">
        <v>70</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PP90</v>
      </c>
      <c r="BP207" s="1" t="str">
        <f t="shared" si="78"/>
        <v/>
      </c>
      <c r="BQ207" s="1" t="str">
        <f t="shared" si="79"/>
        <v/>
      </c>
      <c r="BR207" s="1" t="str">
        <f t="shared" si="80"/>
        <v/>
      </c>
      <c r="BS207" s="1" t="str">
        <f t="shared" si="81"/>
        <v/>
      </c>
    </row>
    <row r="208" spans="48:71" x14ac:dyDescent="0.3">
      <c r="AV208" t="s">
        <v>6466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PPK</v>
      </c>
      <c r="BP208" s="1" t="str">
        <f t="shared" si="78"/>
        <v/>
      </c>
      <c r="BQ208" s="1" t="str">
        <f t="shared" si="79"/>
        <v/>
      </c>
      <c r="BR208" s="1" t="str">
        <f t="shared" si="80"/>
        <v/>
      </c>
      <c r="BS208" s="1" t="str">
        <f t="shared" si="81"/>
        <v/>
      </c>
    </row>
    <row r="209" spans="48:71" x14ac:dyDescent="0.3">
      <c r="AV209" t="s">
        <v>8119</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PPKMod</v>
      </c>
      <c r="BP209" s="1" t="str">
        <f t="shared" si="78"/>
        <v/>
      </c>
      <c r="BQ209" s="1" t="str">
        <f t="shared" si="79"/>
        <v/>
      </c>
      <c r="BR209" s="1" t="str">
        <f t="shared" si="80"/>
        <v/>
      </c>
      <c r="BS209" s="1" t="str">
        <f t="shared" si="81"/>
        <v/>
      </c>
    </row>
    <row r="210" spans="48:71" x14ac:dyDescent="0.3">
      <c r="AV210" t="s">
        <v>904</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PPKModGZ</v>
      </c>
      <c r="BP210" s="1" t="str">
        <f t="shared" si="78"/>
        <v/>
      </c>
      <c r="BQ210" s="1" t="str">
        <f t="shared" si="79"/>
        <v/>
      </c>
      <c r="BR210" s="1" t="str">
        <f t="shared" si="80"/>
        <v/>
      </c>
      <c r="BS210" s="1" t="str">
        <f t="shared" si="81"/>
        <v/>
      </c>
    </row>
    <row r="211" spans="48:71" x14ac:dyDescent="0.3">
      <c r="AV211" t="s">
        <v>5721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PPSh41</v>
      </c>
      <c r="BP211" s="1" t="str">
        <f t="shared" si="78"/>
        <v/>
      </c>
      <c r="BQ211" s="1" t="str">
        <f t="shared" si="79"/>
        <v/>
      </c>
      <c r="BR211" s="1" t="str">
        <f t="shared" si="80"/>
        <v/>
      </c>
      <c r="BS211" s="1" t="str">
        <f t="shared" si="81"/>
        <v/>
      </c>
    </row>
    <row r="212" spans="48:71" x14ac:dyDescent="0.3">
      <c r="AV212" t="s">
        <v>8120</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PPsh41Mod</v>
      </c>
      <c r="BP212" s="1" t="str">
        <f t="shared" si="78"/>
        <v/>
      </c>
      <c r="BQ212" s="1" t="str">
        <f t="shared" si="79"/>
        <v/>
      </c>
      <c r="BR212" s="1" t="str">
        <f t="shared" si="80"/>
        <v/>
      </c>
      <c r="BS212" s="1" t="str">
        <f t="shared" si="81"/>
        <v/>
      </c>
    </row>
    <row r="213" spans="48:71" x14ac:dyDescent="0.3">
      <c r="AV213" t="s">
        <v>91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PPSh41ModGZ</v>
      </c>
      <c r="BP213" s="1" t="str">
        <f t="shared" si="78"/>
        <v/>
      </c>
      <c r="BQ213" s="1" t="str">
        <f t="shared" si="79"/>
        <v/>
      </c>
      <c r="BR213" s="1" t="str">
        <f t="shared" si="80"/>
        <v/>
      </c>
      <c r="BS213" s="1" t="str">
        <f t="shared" si="81"/>
        <v/>
      </c>
    </row>
    <row r="214" spans="48:71" x14ac:dyDescent="0.3">
      <c r="AV214" t="s">
        <v>186</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PTRD</v>
      </c>
      <c r="BP214" s="1" t="str">
        <f t="shared" si="78"/>
        <v/>
      </c>
      <c r="BQ214" s="1" t="str">
        <f t="shared" si="79"/>
        <v/>
      </c>
      <c r="BR214" s="1" t="str">
        <f t="shared" si="80"/>
        <v/>
      </c>
      <c r="BS214" s="1" t="str">
        <f t="shared" si="81"/>
        <v/>
      </c>
    </row>
    <row r="215" spans="48:71" x14ac:dyDescent="0.3">
      <c r="AV215" t="s">
        <v>8626</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Px4 Storm</v>
      </c>
      <c r="BP215" s="1" t="str">
        <f t="shared" si="78"/>
        <v/>
      </c>
      <c r="BQ215" s="1" t="str">
        <f t="shared" si="79"/>
        <v/>
      </c>
      <c r="BR215" s="1" t="str">
        <f t="shared" si="80"/>
        <v/>
      </c>
      <c r="BS215" s="1" t="str">
        <f t="shared" si="81"/>
        <v/>
      </c>
    </row>
    <row r="216" spans="48:71" x14ac:dyDescent="0.3">
      <c r="AV216" t="s">
        <v>64</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Px4 StormMod</v>
      </c>
      <c r="BP216" s="1" t="str">
        <f t="shared" si="78"/>
        <v/>
      </c>
      <c r="BQ216" s="1" t="str">
        <f t="shared" si="79"/>
        <v/>
      </c>
      <c r="BR216" s="1" t="str">
        <f t="shared" si="80"/>
        <v/>
      </c>
      <c r="BS216" s="1" t="str">
        <f t="shared" si="81"/>
        <v/>
      </c>
    </row>
    <row r="217" spans="48:71" x14ac:dyDescent="0.3">
      <c r="AV217" t="s">
        <v>159</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Python</v>
      </c>
      <c r="BP217" s="1" t="str">
        <f t="shared" si="78"/>
        <v/>
      </c>
      <c r="BQ217" s="1" t="str">
        <f t="shared" si="79"/>
        <v/>
      </c>
      <c r="BR217" s="1" t="str">
        <f t="shared" si="80"/>
        <v/>
      </c>
      <c r="BS217" s="1" t="str">
        <f t="shared" si="81"/>
        <v/>
      </c>
    </row>
    <row r="218" spans="48:71" x14ac:dyDescent="0.3">
      <c r="AV218" t="s">
        <v>1654</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PzB39</v>
      </c>
      <c r="BP218" s="1" t="str">
        <f t="shared" si="78"/>
        <v/>
      </c>
      <c r="BQ218" s="1" t="str">
        <f t="shared" si="79"/>
        <v/>
      </c>
      <c r="BR218" s="1" t="str">
        <f t="shared" si="80"/>
        <v/>
      </c>
      <c r="BS218" s="1" t="str">
        <f t="shared" si="81"/>
        <v/>
      </c>
    </row>
    <row r="219" spans="48:71" x14ac:dyDescent="0.3">
      <c r="AV219" t="s">
        <v>8963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QBU88</v>
      </c>
      <c r="BP219" s="1" t="str">
        <f t="shared" si="78"/>
        <v/>
      </c>
      <c r="BQ219" s="1" t="str">
        <f t="shared" si="79"/>
        <v/>
      </c>
      <c r="BR219" s="1" t="str">
        <f t="shared" si="80"/>
        <v/>
      </c>
      <c r="BS219" s="1" t="str">
        <f t="shared" si="81"/>
        <v/>
      </c>
    </row>
    <row r="220" spans="48:71" x14ac:dyDescent="0.3">
      <c r="AV220" t="s">
        <v>229</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Rex Zero 1Mod</v>
      </c>
      <c r="BP220" s="1" t="str">
        <f t="shared" si="78"/>
        <v/>
      </c>
      <c r="BQ220" s="1" t="str">
        <f t="shared" si="79"/>
        <v/>
      </c>
      <c r="BR220" s="1" t="str">
        <f t="shared" si="80"/>
        <v/>
      </c>
      <c r="BS220" s="1" t="str">
        <f t="shared" si="81"/>
        <v/>
      </c>
    </row>
    <row r="221" spans="48:71" x14ac:dyDescent="0.3">
      <c r="AV221" t="s">
        <v>9154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RFB</v>
      </c>
      <c r="BP221" s="1" t="str">
        <f t="shared" si="78"/>
        <v/>
      </c>
      <c r="BQ221" s="1" t="str">
        <f t="shared" si="79"/>
        <v/>
      </c>
      <c r="BR221" s="1" t="str">
        <f t="shared" si="80"/>
        <v/>
      </c>
      <c r="BS221" s="1" t="str">
        <f t="shared" si="81"/>
        <v/>
      </c>
    </row>
    <row r="222" spans="48:71" x14ac:dyDescent="0.3">
      <c r="AV222" t="s">
        <v>1754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RFBGZ</v>
      </c>
      <c r="BP222" s="1" t="str">
        <f t="shared" si="78"/>
        <v/>
      </c>
      <c r="BQ222" s="1" t="str">
        <f t="shared" si="79"/>
        <v/>
      </c>
      <c r="BR222" s="1" t="str">
        <f t="shared" si="80"/>
        <v/>
      </c>
      <c r="BS222" s="1" t="str">
        <f t="shared" si="81"/>
        <v/>
      </c>
    </row>
    <row r="223" spans="48:71" x14ac:dyDescent="0.3">
      <c r="AV223" t="s">
        <v>248</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Ribeyrolles1918Mod</v>
      </c>
      <c r="BP223" s="1" t="str">
        <f t="shared" si="78"/>
        <v/>
      </c>
      <c r="BQ223" s="1" t="str">
        <f t="shared" si="79"/>
        <v/>
      </c>
      <c r="BR223" s="1" t="str">
        <f t="shared" si="80"/>
        <v/>
      </c>
      <c r="BS223" s="1" t="str">
        <f t="shared" si="81"/>
        <v/>
      </c>
    </row>
    <row r="224" spans="48:71" x14ac:dyDescent="0.3">
      <c r="AV224" t="s">
        <v>927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Rico</v>
      </c>
      <c r="BP224" s="1" t="str">
        <f t="shared" si="78"/>
        <v/>
      </c>
      <c r="BQ224" s="1" t="str">
        <f t="shared" si="79"/>
        <v/>
      </c>
      <c r="BR224" s="1" t="str">
        <f t="shared" si="80"/>
        <v/>
      </c>
      <c r="BS224" s="1" t="str">
        <f t="shared" si="81"/>
        <v/>
      </c>
    </row>
    <row r="225" spans="48:71" x14ac:dyDescent="0.3">
      <c r="AV225" t="s">
        <v>825</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RMB93Mod</v>
      </c>
      <c r="BP225" s="1" t="str">
        <f t="shared" si="78"/>
        <v/>
      </c>
      <c r="BQ225" s="1" t="str">
        <f t="shared" si="79"/>
        <v/>
      </c>
      <c r="BR225" s="1" t="str">
        <f t="shared" si="80"/>
        <v/>
      </c>
      <c r="BS225" s="1" t="str">
        <f t="shared" si="81"/>
        <v/>
      </c>
    </row>
    <row r="226" spans="48:71" x14ac:dyDescent="0.3">
      <c r="AV226" t="s">
        <v>8703</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RO635Mod</v>
      </c>
      <c r="BP226" s="1" t="str">
        <f t="shared" si="78"/>
        <v/>
      </c>
      <c r="BQ226" s="1" t="str">
        <f t="shared" si="79"/>
        <v/>
      </c>
      <c r="BR226" s="1" t="str">
        <f t="shared" si="80"/>
        <v/>
      </c>
      <c r="BS226" s="1" t="str">
        <f t="shared" si="81"/>
        <v/>
      </c>
    </row>
    <row r="227" spans="48:71" x14ac:dyDescent="0.3">
      <c r="AV227" t="s">
        <v>110</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RO635ModGZ</v>
      </c>
      <c r="BP227" s="1" t="str">
        <f t="shared" si="78"/>
        <v/>
      </c>
      <c r="BQ227" s="1" t="str">
        <f t="shared" si="79"/>
        <v/>
      </c>
      <c r="BR227" s="1" t="str">
        <f t="shared" si="80"/>
        <v/>
      </c>
      <c r="BS227" s="1" t="str">
        <f t="shared" si="81"/>
        <v/>
      </c>
    </row>
    <row r="228" spans="48:71" x14ac:dyDescent="0.3">
      <c r="AV228" t="s">
        <v>266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RPD</v>
      </c>
      <c r="BP228" s="1" t="str">
        <f t="shared" si="78"/>
        <v/>
      </c>
      <c r="BQ228" s="1" t="str">
        <f t="shared" si="79"/>
        <v/>
      </c>
      <c r="BR228" s="1" t="str">
        <f t="shared" si="80"/>
        <v/>
      </c>
      <c r="BS228" s="1" t="str">
        <f t="shared" si="81"/>
        <v/>
      </c>
    </row>
    <row r="229" spans="48:71" x14ac:dyDescent="0.3">
      <c r="AV229" t="s">
        <v>9155</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SAAMod</v>
      </c>
      <c r="BP229" s="1" t="str">
        <f t="shared" si="78"/>
        <v/>
      </c>
      <c r="BQ229" s="1" t="str">
        <f t="shared" si="79"/>
        <v/>
      </c>
      <c r="BR229" s="1" t="str">
        <f t="shared" si="80"/>
        <v/>
      </c>
      <c r="BS229" s="1" t="str">
        <f t="shared" si="81"/>
        <v/>
      </c>
    </row>
    <row r="230" spans="48:71" x14ac:dyDescent="0.3">
      <c r="AV230" t="s">
        <v>1634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SAAModGZ</v>
      </c>
      <c r="BP230" s="1" t="str">
        <f t="shared" si="78"/>
        <v/>
      </c>
      <c r="BQ230" s="1" t="str">
        <f t="shared" si="79"/>
        <v/>
      </c>
      <c r="BR230" s="1" t="str">
        <f t="shared" si="80"/>
        <v/>
      </c>
      <c r="BS230" s="1" t="str">
        <f t="shared" si="81"/>
        <v/>
      </c>
    </row>
    <row r="231" spans="48:71" x14ac:dyDescent="0.3">
      <c r="AV231" t="s">
        <v>7023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Saiga12</v>
      </c>
      <c r="BP231" s="1" t="str">
        <f t="shared" si="78"/>
        <v/>
      </c>
      <c r="BQ231" s="1" t="str">
        <f t="shared" si="79"/>
        <v/>
      </c>
      <c r="BR231" s="1" t="str">
        <f t="shared" si="80"/>
        <v/>
      </c>
      <c r="BS231" s="1" t="str">
        <f t="shared" si="81"/>
        <v/>
      </c>
    </row>
    <row r="232" spans="48:71" x14ac:dyDescent="0.3">
      <c r="AV232" t="s">
        <v>235</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Saki</v>
      </c>
      <c r="BP232" s="1" t="str">
        <f t="shared" si="78"/>
        <v/>
      </c>
      <c r="BQ232" s="1" t="str">
        <f t="shared" si="79"/>
        <v/>
      </c>
      <c r="BR232" s="1" t="str">
        <f t="shared" si="80"/>
        <v/>
      </c>
      <c r="BS232" s="1" t="str">
        <f t="shared" si="81"/>
        <v/>
      </c>
    </row>
    <row r="233" spans="48:71" x14ac:dyDescent="0.3">
      <c r="AV233" t="s">
        <v>6897</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Sakura</v>
      </c>
      <c r="BP233" s="1" t="str">
        <f t="shared" si="78"/>
        <v/>
      </c>
      <c r="BQ233" s="1" t="str">
        <f t="shared" si="79"/>
        <v/>
      </c>
      <c r="BR233" s="1" t="str">
        <f t="shared" si="80"/>
        <v/>
      </c>
      <c r="BS233" s="1" t="str">
        <f t="shared" si="81"/>
        <v/>
      </c>
    </row>
    <row r="234" spans="48:71" x14ac:dyDescent="0.3">
      <c r="AV234" t="s">
        <v>6905</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SCAR-H</v>
      </c>
      <c r="BP234" s="1" t="str">
        <f t="shared" si="78"/>
        <v/>
      </c>
      <c r="BQ234" s="1" t="str">
        <f t="shared" si="79"/>
        <v/>
      </c>
      <c r="BR234" s="1" t="str">
        <f t="shared" si="80"/>
        <v/>
      </c>
      <c r="BS234" s="1" t="str">
        <f t="shared" si="81"/>
        <v/>
      </c>
    </row>
    <row r="235" spans="48:71" x14ac:dyDescent="0.3">
      <c r="AV235" t="s">
        <v>750</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SCAR-L</v>
      </c>
      <c r="BP235" s="1" t="str">
        <f t="shared" si="78"/>
        <v/>
      </c>
      <c r="BQ235" s="1" t="str">
        <f t="shared" si="79"/>
        <v/>
      </c>
      <c r="BR235" s="1" t="str">
        <f t="shared" si="80"/>
        <v/>
      </c>
      <c r="BS235" s="1" t="str">
        <f t="shared" si="81"/>
        <v/>
      </c>
    </row>
    <row r="236" spans="48:71" x14ac:dyDescent="0.3">
      <c r="AV236" t="s">
        <v>731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SCW</v>
      </c>
      <c r="BP236" s="1" t="str">
        <f t="shared" si="78"/>
        <v/>
      </c>
      <c r="BQ236" s="1" t="str">
        <f t="shared" si="79"/>
        <v/>
      </c>
      <c r="BR236" s="1" t="str">
        <f t="shared" si="80"/>
        <v/>
      </c>
      <c r="BS236" s="1" t="str">
        <f t="shared" si="81"/>
        <v/>
      </c>
    </row>
    <row r="237" spans="48:71" x14ac:dyDescent="0.3">
      <c r="AV237" t="s">
        <v>749</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Sei</v>
      </c>
      <c r="BP237" s="1" t="str">
        <f t="shared" si="78"/>
        <v/>
      </c>
      <c r="BQ237" s="1" t="str">
        <f t="shared" si="79"/>
        <v/>
      </c>
      <c r="BR237" s="1" t="str">
        <f t="shared" si="80"/>
        <v/>
      </c>
      <c r="BS237" s="1" t="str">
        <f t="shared" si="81"/>
        <v/>
      </c>
    </row>
    <row r="238" spans="48:71" x14ac:dyDescent="0.3">
      <c r="AV238" t="s">
        <v>144</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Serdyukov</v>
      </c>
      <c r="BP238" s="1" t="str">
        <f t="shared" si="78"/>
        <v/>
      </c>
      <c r="BQ238" s="1" t="str">
        <f t="shared" si="79"/>
        <v/>
      </c>
      <c r="BR238" s="1" t="str">
        <f t="shared" si="80"/>
        <v/>
      </c>
      <c r="BS238" s="1" t="str">
        <f t="shared" si="81"/>
        <v/>
      </c>
    </row>
    <row r="239" spans="48:71" x14ac:dyDescent="0.3">
      <c r="AV239" t="s">
        <v>744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Shipka</v>
      </c>
      <c r="BP239" s="1" t="str">
        <f t="shared" si="78"/>
        <v/>
      </c>
      <c r="BQ239" s="1" t="str">
        <f t="shared" si="79"/>
        <v/>
      </c>
      <c r="BR239" s="1" t="str">
        <f t="shared" si="80"/>
        <v/>
      </c>
      <c r="BS239" s="1" t="str">
        <f t="shared" si="81"/>
        <v/>
      </c>
    </row>
    <row r="240" spans="48:71" x14ac:dyDescent="0.3">
      <c r="AV240" t="s">
        <v>81</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SIG510</v>
      </c>
      <c r="BP240" s="1" t="str">
        <f t="shared" si="78"/>
        <v/>
      </c>
      <c r="BQ240" s="1" t="str">
        <f t="shared" si="79"/>
        <v/>
      </c>
      <c r="BR240" s="1" t="str">
        <f t="shared" si="80"/>
        <v/>
      </c>
      <c r="BS240" s="1" t="str">
        <f t="shared" si="81"/>
        <v/>
      </c>
    </row>
    <row r="241" spans="48:71" x14ac:dyDescent="0.3">
      <c r="AV241" t="s">
        <v>794</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Skorpion</v>
      </c>
      <c r="BP241" s="1" t="str">
        <f t="shared" si="78"/>
        <v/>
      </c>
      <c r="BQ241" s="1" t="str">
        <f t="shared" si="79"/>
        <v/>
      </c>
      <c r="BR241" s="1" t="str">
        <f t="shared" si="80"/>
        <v/>
      </c>
      <c r="BS241" s="1" t="str">
        <f t="shared" si="81"/>
        <v/>
      </c>
    </row>
    <row r="242" spans="48:71" x14ac:dyDescent="0.3">
      <c r="AV242" t="s">
        <v>9021</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SL8</v>
      </c>
      <c r="BP242" s="1" t="str">
        <f t="shared" si="78"/>
        <v/>
      </c>
      <c r="BQ242" s="1" t="str">
        <f t="shared" si="79"/>
        <v/>
      </c>
      <c r="BR242" s="1" t="str">
        <f t="shared" si="80"/>
        <v/>
      </c>
      <c r="BS242" s="1" t="str">
        <f t="shared" si="81"/>
        <v/>
      </c>
    </row>
    <row r="243" spans="48:71" x14ac:dyDescent="0.3">
      <c r="AV243" t="s">
        <v>116</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SPAS12Mod</v>
      </c>
      <c r="BP243" s="1" t="str">
        <f t="shared" si="78"/>
        <v/>
      </c>
      <c r="BQ243" s="1" t="str">
        <f t="shared" si="79"/>
        <v/>
      </c>
      <c r="BR243" s="1" t="str">
        <f t="shared" si="80"/>
        <v/>
      </c>
      <c r="BS243" s="1" t="str">
        <f t="shared" si="81"/>
        <v/>
      </c>
    </row>
    <row r="244" spans="48:71" x14ac:dyDescent="0.3">
      <c r="AV244" t="s">
        <v>87</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Spectre M4</v>
      </c>
      <c r="BP244" s="1" t="str">
        <f t="shared" si="78"/>
        <v/>
      </c>
      <c r="BQ244" s="1" t="str">
        <f t="shared" si="79"/>
        <v/>
      </c>
      <c r="BR244" s="1" t="str">
        <f t="shared" si="80"/>
        <v/>
      </c>
      <c r="BS244" s="1" t="str">
        <f t="shared" si="81"/>
        <v/>
      </c>
    </row>
    <row r="245" spans="48:71" x14ac:dyDescent="0.3">
      <c r="AV245" t="s">
        <v>1626</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Springfield</v>
      </c>
      <c r="BP245" s="1" t="str">
        <f t="shared" si="78"/>
        <v/>
      </c>
      <c r="BQ245" s="1" t="str">
        <f t="shared" si="79"/>
        <v/>
      </c>
      <c r="BR245" s="1" t="str">
        <f t="shared" si="80"/>
        <v/>
      </c>
      <c r="BS245" s="1" t="str">
        <f t="shared" si="81"/>
        <v/>
      </c>
    </row>
    <row r="246" spans="48:71" x14ac:dyDescent="0.3">
      <c r="AV246" t="s">
        <v>8978</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SR3MP</v>
      </c>
      <c r="BP246" s="1" t="str">
        <f t="shared" si="78"/>
        <v/>
      </c>
      <c r="BQ246" s="1" t="str">
        <f t="shared" si="79"/>
        <v/>
      </c>
      <c r="BR246" s="1" t="str">
        <f t="shared" si="80"/>
        <v/>
      </c>
      <c r="BS246" s="1" t="str">
        <f t="shared" si="81"/>
        <v/>
      </c>
    </row>
    <row r="247" spans="48:71" x14ac:dyDescent="0.3">
      <c r="AV247" t="s">
        <v>100</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SR3MPGZ</v>
      </c>
      <c r="BP247" s="1" t="str">
        <f t="shared" si="78"/>
        <v/>
      </c>
      <c r="BQ247" s="1" t="str">
        <f t="shared" si="79"/>
        <v/>
      </c>
      <c r="BR247" s="1" t="str">
        <f t="shared" si="80"/>
        <v/>
      </c>
      <c r="BS247" s="1" t="str">
        <f t="shared" si="81"/>
        <v/>
      </c>
    </row>
    <row r="248" spans="48:71" x14ac:dyDescent="0.3">
      <c r="AV248" t="s">
        <v>1682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ST AR-15</v>
      </c>
      <c r="BP248" s="1" t="str">
        <f t="shared" si="78"/>
        <v/>
      </c>
      <c r="BQ248" s="1" t="str">
        <f t="shared" si="79"/>
        <v/>
      </c>
      <c r="BR248" s="1" t="str">
        <f t="shared" si="80"/>
        <v/>
      </c>
      <c r="BS248" s="1" t="str">
        <f t="shared" si="81"/>
        <v/>
      </c>
    </row>
    <row r="249" spans="48:71" x14ac:dyDescent="0.3">
      <c r="AV249" t="s">
        <v>8122</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ST AR15Mod</v>
      </c>
      <c r="BP249" s="1" t="str">
        <f t="shared" si="78"/>
        <v/>
      </c>
      <c r="BQ249" s="1" t="str">
        <f t="shared" si="79"/>
        <v/>
      </c>
      <c r="BR249" s="1" t="str">
        <f t="shared" si="80"/>
        <v/>
      </c>
      <c r="BS249" s="1" t="str">
        <f t="shared" si="81"/>
        <v/>
      </c>
    </row>
    <row r="250" spans="48:71" x14ac:dyDescent="0.3">
      <c r="AV250" t="s">
        <v>67</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ST AR15ModGZ</v>
      </c>
      <c r="BP250" s="1" t="str">
        <f t="shared" si="78"/>
        <v/>
      </c>
      <c r="BQ250" s="1" t="str">
        <f t="shared" si="79"/>
        <v/>
      </c>
      <c r="BR250" s="1" t="str">
        <f t="shared" si="80"/>
        <v/>
      </c>
      <c r="BS250" s="1" t="str">
        <f t="shared" si="81"/>
        <v/>
      </c>
    </row>
    <row r="251" spans="48:71" x14ac:dyDescent="0.3">
      <c r="AV251" t="s">
        <v>739</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Stechkin</v>
      </c>
      <c r="BP251" s="1" t="str">
        <f t="shared" si="78"/>
        <v/>
      </c>
      <c r="BQ251" s="1" t="str">
        <f t="shared" si="79"/>
        <v/>
      </c>
      <c r="BR251" s="1" t="str">
        <f t="shared" si="80"/>
        <v/>
      </c>
      <c r="BS251" s="1" t="str">
        <f t="shared" si="81"/>
        <v/>
      </c>
    </row>
    <row r="252" spans="48:71" x14ac:dyDescent="0.3">
      <c r="AV252" t="s">
        <v>8123</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StechkinMod</v>
      </c>
      <c r="BP252" s="1" t="str">
        <f t="shared" si="78"/>
        <v/>
      </c>
      <c r="BQ252" s="1" t="str">
        <f t="shared" si="79"/>
        <v/>
      </c>
      <c r="BR252" s="1" t="str">
        <f t="shared" si="80"/>
        <v/>
      </c>
      <c r="BS252" s="1" t="str">
        <f t="shared" si="81"/>
        <v/>
      </c>
    </row>
    <row r="253" spans="48:71" x14ac:dyDescent="0.3">
      <c r="AV253" t="s">
        <v>736</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StechkinModGZ</v>
      </c>
      <c r="BP253" s="1" t="str">
        <f t="shared" si="78"/>
        <v/>
      </c>
      <c r="BQ253" s="1" t="str">
        <f t="shared" si="79"/>
        <v/>
      </c>
      <c r="BR253" s="1" t="str">
        <f t="shared" si="80"/>
        <v/>
      </c>
      <c r="BS253" s="1" t="str">
        <f t="shared" si="81"/>
        <v/>
      </c>
    </row>
    <row r="254" spans="48:71" x14ac:dyDescent="0.3">
      <c r="AV254" t="s">
        <v>828</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Stella</v>
      </c>
      <c r="BP254" s="1" t="str">
        <f t="shared" si="78"/>
        <v/>
      </c>
      <c r="BQ254" s="1" t="str">
        <f t="shared" si="79"/>
        <v/>
      </c>
      <c r="BR254" s="1" t="str">
        <f t="shared" si="80"/>
        <v/>
      </c>
      <c r="BS254" s="1" t="str">
        <f t="shared" si="81"/>
        <v/>
      </c>
    </row>
    <row r="255" spans="48:71" x14ac:dyDescent="0.3">
      <c r="AV255" t="s">
        <v>8965</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STEN MkIIMod</v>
      </c>
      <c r="BP255" s="1" t="str">
        <f t="shared" si="78"/>
        <v/>
      </c>
      <c r="BQ255" s="1" t="str">
        <f t="shared" si="79"/>
        <v/>
      </c>
      <c r="BR255" s="1" t="str">
        <f t="shared" si="80"/>
        <v/>
      </c>
      <c r="BS255" s="1" t="str">
        <f t="shared" si="81"/>
        <v/>
      </c>
    </row>
    <row r="256" spans="48:71" x14ac:dyDescent="0.3">
      <c r="AV256" t="s">
        <v>725</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STEN MkIIModGZ</v>
      </c>
      <c r="BP256" s="1" t="str">
        <f t="shared" si="78"/>
        <v/>
      </c>
      <c r="BQ256" s="1" t="str">
        <f t="shared" si="79"/>
        <v/>
      </c>
      <c r="BR256" s="1" t="str">
        <f t="shared" si="80"/>
        <v/>
      </c>
      <c r="BS256" s="1" t="str">
        <f t="shared" si="81"/>
        <v/>
      </c>
    </row>
    <row r="257" spans="48:71" x14ac:dyDescent="0.3">
      <c r="AV257" t="s">
        <v>8977</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Stg44Mod</v>
      </c>
      <c r="BP257" s="1" t="str">
        <f t="shared" si="78"/>
        <v/>
      </c>
      <c r="BQ257" s="1" t="str">
        <f t="shared" si="79"/>
        <v/>
      </c>
      <c r="BR257" s="1" t="str">
        <f t="shared" si="80"/>
        <v/>
      </c>
      <c r="BS257" s="1" t="str">
        <f t="shared" si="81"/>
        <v/>
      </c>
    </row>
    <row r="258" spans="48:71" x14ac:dyDescent="0.3">
      <c r="AV258" t="s">
        <v>127</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StG44ModGZ</v>
      </c>
      <c r="BP258" s="1" t="str">
        <f t="shared" si="78"/>
        <v/>
      </c>
      <c r="BQ258" s="1" t="str">
        <f t="shared" si="79"/>
        <v/>
      </c>
      <c r="BR258" s="1" t="str">
        <f t="shared" si="80"/>
        <v/>
      </c>
      <c r="BS258" s="1" t="str">
        <f t="shared" si="81"/>
        <v/>
      </c>
    </row>
    <row r="259" spans="48:71" x14ac:dyDescent="0.3">
      <c r="AV259" t="s">
        <v>6512</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Suomi</v>
      </c>
      <c r="BP259" s="1" t="str">
        <f t="shared" si="78"/>
        <v/>
      </c>
      <c r="BQ259" s="1" t="str">
        <f t="shared" si="79"/>
        <v/>
      </c>
      <c r="BR259" s="1" t="str">
        <f t="shared" si="80"/>
        <v/>
      </c>
      <c r="BS259" s="1" t="str">
        <f t="shared" si="81"/>
        <v/>
      </c>
    </row>
    <row r="260" spans="48:71" x14ac:dyDescent="0.3">
      <c r="AV260" t="s">
        <v>832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SuomiMod</v>
      </c>
      <c r="BP260" s="1" t="str">
        <f t="shared" si="83"/>
        <v/>
      </c>
      <c r="BQ260" s="1" t="str">
        <f t="shared" si="83"/>
        <v/>
      </c>
      <c r="BR260" s="1" t="str">
        <f t="shared" si="83"/>
        <v/>
      </c>
      <c r="BS260" s="1" t="str">
        <f t="shared" si="83"/>
        <v/>
      </c>
    </row>
    <row r="261" spans="48:71" x14ac:dyDescent="0.3">
      <c r="AV261" t="s">
        <v>1680</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Super SASSMod</v>
      </c>
      <c r="BP261" s="1" t="str">
        <f t="shared" si="83"/>
        <v/>
      </c>
      <c r="BQ261" s="1" t="str">
        <f t="shared" si="83"/>
        <v/>
      </c>
      <c r="BR261" s="1" t="str">
        <f t="shared" si="83"/>
        <v/>
      </c>
      <c r="BS261" s="1" t="str">
        <f t="shared" si="83"/>
        <v/>
      </c>
    </row>
    <row r="262" spans="48:71" x14ac:dyDescent="0.3">
      <c r="AV262" t="s">
        <v>8908</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SV98Mod</v>
      </c>
      <c r="BP262" s="1" t="str">
        <f t="shared" si="83"/>
        <v/>
      </c>
      <c r="BQ262" s="1" t="str">
        <f t="shared" si="83"/>
        <v/>
      </c>
      <c r="BR262" s="1" t="str">
        <f t="shared" si="83"/>
        <v/>
      </c>
      <c r="BS262" s="1" t="str">
        <f t="shared" si="83"/>
        <v/>
      </c>
    </row>
    <row r="263" spans="48:71" x14ac:dyDescent="0.3">
      <c r="AV263" t="s">
        <v>92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SV98ModGZ</v>
      </c>
      <c r="BP263" s="1" t="str">
        <f t="shared" si="83"/>
        <v/>
      </c>
      <c r="BQ263" s="1" t="str">
        <f t="shared" si="83"/>
        <v/>
      </c>
      <c r="BR263" s="1" t="str">
        <f t="shared" si="83"/>
        <v/>
      </c>
      <c r="BS263" s="1" t="str">
        <f t="shared" si="83"/>
        <v/>
      </c>
    </row>
    <row r="264" spans="48:71" x14ac:dyDescent="0.3">
      <c r="AV264" t="s">
        <v>1612</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SVD</v>
      </c>
      <c r="BP264" s="1" t="str">
        <f t="shared" si="83"/>
        <v/>
      </c>
      <c r="BQ264" s="1" t="str">
        <f t="shared" si="83"/>
        <v/>
      </c>
      <c r="BR264" s="1" t="str">
        <f t="shared" si="83"/>
        <v/>
      </c>
      <c r="BS264" s="1" t="str">
        <f t="shared" si="83"/>
        <v/>
      </c>
    </row>
    <row r="265" spans="48:71" x14ac:dyDescent="0.3">
      <c r="AV265" t="s">
        <v>181</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SVT38</v>
      </c>
      <c r="BP265" s="1" t="str">
        <f t="shared" si="83"/>
        <v/>
      </c>
      <c r="BQ265" s="1" t="str">
        <f t="shared" si="83"/>
        <v/>
      </c>
      <c r="BR265" s="1" t="str">
        <f t="shared" si="83"/>
        <v/>
      </c>
      <c r="BS265" s="1" t="str">
        <f t="shared" si="83"/>
        <v/>
      </c>
    </row>
    <row r="266" spans="48:71" x14ac:dyDescent="0.3">
      <c r="AV266" t="s">
        <v>1237</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T77</v>
      </c>
      <c r="BP266" s="1" t="str">
        <f t="shared" si="83"/>
        <v/>
      </c>
      <c r="BQ266" s="1" t="str">
        <f t="shared" si="83"/>
        <v/>
      </c>
      <c r="BR266" s="1" t="str">
        <f t="shared" si="83"/>
        <v/>
      </c>
      <c r="BS266" s="1" t="str">
        <f t="shared" si="83"/>
        <v/>
      </c>
    </row>
    <row r="267" spans="48:71" x14ac:dyDescent="0.3">
      <c r="AV267" t="s">
        <v>6974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TAC50</v>
      </c>
      <c r="BP267" s="1" t="str">
        <f t="shared" si="83"/>
        <v/>
      </c>
      <c r="BQ267" s="1" t="str">
        <f t="shared" si="83"/>
        <v/>
      </c>
      <c r="BR267" s="1" t="str">
        <f t="shared" si="83"/>
        <v/>
      </c>
      <c r="BS267" s="1" t="str">
        <f t="shared" si="83"/>
        <v/>
      </c>
    </row>
    <row r="268" spans="48:71" x14ac:dyDescent="0.3">
      <c r="AV268" t="s">
        <v>738</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Tae</v>
      </c>
      <c r="BP268" s="1" t="str">
        <f t="shared" si="83"/>
        <v/>
      </c>
      <c r="BQ268" s="1" t="str">
        <f t="shared" si="83"/>
        <v/>
      </c>
      <c r="BR268" s="1" t="str">
        <f t="shared" si="83"/>
        <v/>
      </c>
      <c r="BS268" s="1" t="str">
        <f t="shared" si="83"/>
        <v/>
      </c>
    </row>
    <row r="269" spans="48:71" x14ac:dyDescent="0.3">
      <c r="AV269" t="s">
        <v>76</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TAR21</v>
      </c>
      <c r="BP269" s="1" t="str">
        <f t="shared" si="83"/>
        <v/>
      </c>
      <c r="BQ269" s="1" t="str">
        <f t="shared" si="83"/>
        <v/>
      </c>
      <c r="BR269" s="1" t="str">
        <f t="shared" si="83"/>
        <v/>
      </c>
      <c r="BS269" s="1" t="str">
        <f t="shared" si="83"/>
        <v/>
      </c>
    </row>
    <row r="270" spans="48:71" x14ac:dyDescent="0.3">
      <c r="AV270" t="s">
        <v>5492</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Thompson</v>
      </c>
      <c r="BP270" s="1" t="str">
        <f t="shared" si="83"/>
        <v/>
      </c>
      <c r="BQ270" s="1" t="str">
        <f t="shared" si="83"/>
        <v/>
      </c>
      <c r="BR270" s="1" t="str">
        <f t="shared" si="83"/>
        <v/>
      </c>
      <c r="BS270" s="1" t="str">
        <f t="shared" si="83"/>
        <v/>
      </c>
    </row>
    <row r="271" spans="48:71" x14ac:dyDescent="0.3">
      <c r="AV271" t="s">
        <v>156</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Thunder</v>
      </c>
      <c r="BP271" s="1" t="str">
        <f t="shared" si="83"/>
        <v/>
      </c>
      <c r="BQ271" s="1" t="str">
        <f t="shared" si="83"/>
        <v/>
      </c>
      <c r="BR271" s="1" t="str">
        <f t="shared" si="83"/>
        <v/>
      </c>
      <c r="BS271" s="1" t="str">
        <f t="shared" si="83"/>
        <v/>
      </c>
    </row>
    <row r="272" spans="48:71" x14ac:dyDescent="0.3">
      <c r="AV272" t="s">
        <v>66</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TMP</v>
      </c>
      <c r="BP272" s="1" t="str">
        <f t="shared" si="83"/>
        <v/>
      </c>
      <c r="BQ272" s="1" t="str">
        <f t="shared" si="83"/>
        <v/>
      </c>
      <c r="BR272" s="1" t="str">
        <f t="shared" si="83"/>
        <v/>
      </c>
      <c r="BS272" s="1" t="str">
        <f t="shared" si="83"/>
        <v/>
      </c>
    </row>
    <row r="273" spans="48:71" x14ac:dyDescent="0.3">
      <c r="AV273" t="s">
        <v>249</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Tokarev</v>
      </c>
      <c r="BP273" s="1" t="str">
        <f t="shared" si="83"/>
        <v/>
      </c>
      <c r="BQ273" s="1" t="str">
        <f t="shared" si="83"/>
        <v/>
      </c>
      <c r="BR273" s="1" t="str">
        <f t="shared" si="83"/>
        <v/>
      </c>
      <c r="BS273" s="1" t="str">
        <f t="shared" si="83"/>
        <v/>
      </c>
    </row>
    <row r="274" spans="48:71" x14ac:dyDescent="0.3">
      <c r="AV274" t="s">
        <v>242</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Triela</v>
      </c>
      <c r="BP274" s="1" t="str">
        <f t="shared" si="83"/>
        <v/>
      </c>
      <c r="BQ274" s="1" t="str">
        <f t="shared" si="83"/>
        <v/>
      </c>
      <c r="BR274" s="1" t="str">
        <f t="shared" si="83"/>
        <v/>
      </c>
      <c r="BS274" s="1" t="str">
        <f t="shared" si="83"/>
        <v/>
      </c>
    </row>
    <row r="275" spans="48:71" x14ac:dyDescent="0.3">
      <c r="AV275" t="s">
        <v>829</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 4</v>
      </c>
      <c r="BP275" s="1" t="str">
        <f t="shared" si="83"/>
        <v/>
      </c>
      <c r="BQ275" s="1" t="str">
        <f t="shared" si="83"/>
        <v/>
      </c>
      <c r="BR275" s="1" t="str">
        <f t="shared" si="83"/>
        <v/>
      </c>
      <c r="BS275" s="1" t="str">
        <f t="shared" si="83"/>
        <v/>
      </c>
    </row>
    <row r="276" spans="48:71" x14ac:dyDescent="0.3">
      <c r="AV276" t="s">
        <v>1603</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 56 RMod</v>
      </c>
      <c r="BP276" s="1" t="str">
        <f t="shared" si="85"/>
        <v/>
      </c>
      <c r="BQ276" s="1" t="str">
        <f t="shared" si="85"/>
        <v/>
      </c>
      <c r="BR276" s="1" t="str">
        <f t="shared" si="85"/>
        <v/>
      </c>
      <c r="BS276" s="1" t="str">
        <f t="shared" si="85"/>
        <v/>
      </c>
    </row>
    <row r="277" spans="48:71" x14ac:dyDescent="0.3">
      <c r="AV277" t="s">
        <v>238</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 81 R</v>
      </c>
      <c r="BP277" s="1" t="str">
        <f t="shared" si="85"/>
        <v/>
      </c>
      <c r="BQ277" s="1" t="str">
        <f t="shared" si="85"/>
        <v/>
      </c>
      <c r="BR277" s="1" t="str">
        <f t="shared" si="85"/>
        <v/>
      </c>
      <c r="BS277" s="1" t="str">
        <f t="shared" si="85"/>
        <v/>
      </c>
    </row>
    <row r="278" spans="48:71" x14ac:dyDescent="0.3">
      <c r="AV278" t="s">
        <v>6762</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Type03</v>
      </c>
      <c r="BP278" s="1" t="str">
        <f t="shared" si="85"/>
        <v/>
      </c>
      <c r="BQ278" s="1" t="str">
        <f t="shared" si="85"/>
        <v/>
      </c>
      <c r="BR278" s="1" t="str">
        <f t="shared" si="85"/>
        <v/>
      </c>
      <c r="BS278" s="1" t="str">
        <f t="shared" si="85"/>
        <v/>
      </c>
    </row>
    <row r="279" spans="48:71" x14ac:dyDescent="0.3">
      <c r="AV279" t="s">
        <v>8353</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Type56-1mod</v>
      </c>
      <c r="BP279" s="1" t="str">
        <f t="shared" si="85"/>
        <v/>
      </c>
      <c r="BQ279" s="1" t="str">
        <f t="shared" si="85"/>
        <v/>
      </c>
      <c r="BR279" s="1" t="str">
        <f t="shared" si="85"/>
        <v/>
      </c>
      <c r="BS279" s="1" t="str">
        <f t="shared" si="85"/>
        <v/>
      </c>
    </row>
    <row r="280" spans="48:71" x14ac:dyDescent="0.3">
      <c r="AV280" t="s">
        <v>136</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Type56-1modGZ</v>
      </c>
      <c r="BP280" s="1" t="str">
        <f t="shared" si="85"/>
        <v/>
      </c>
      <c r="BQ280" s="1" t="str">
        <f t="shared" si="85"/>
        <v/>
      </c>
      <c r="BR280" s="1" t="str">
        <f t="shared" si="85"/>
        <v/>
      </c>
      <c r="BS280" s="1" t="str">
        <f t="shared" si="85"/>
        <v/>
      </c>
    </row>
    <row r="281" spans="48:71" x14ac:dyDescent="0.3">
      <c r="AV281" t="s">
        <v>118</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Type63</v>
      </c>
      <c r="BP281" s="1" t="str">
        <f t="shared" si="85"/>
        <v/>
      </c>
      <c r="BQ281" s="1" t="str">
        <f t="shared" si="85"/>
        <v/>
      </c>
      <c r="BR281" s="1" t="str">
        <f t="shared" si="85"/>
        <v/>
      </c>
      <c r="BS281" s="1" t="str">
        <f t="shared" si="85"/>
        <v/>
      </c>
    </row>
    <row r="282" spans="48:71" x14ac:dyDescent="0.3">
      <c r="AV282" t="s">
        <v>740</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Type64</v>
      </c>
      <c r="BP282" s="1" t="str">
        <f t="shared" si="85"/>
        <v/>
      </c>
      <c r="BQ282" s="1" t="str">
        <f t="shared" si="85"/>
        <v/>
      </c>
      <c r="BR282" s="1" t="str">
        <f t="shared" si="85"/>
        <v/>
      </c>
      <c r="BS282" s="1" t="str">
        <f t="shared" si="85"/>
        <v/>
      </c>
    </row>
    <row r="283" spans="48:71" x14ac:dyDescent="0.3">
      <c r="AV283" t="s">
        <v>8124</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Type64Mod</v>
      </c>
      <c r="BP283" s="1" t="str">
        <f t="shared" si="85"/>
        <v/>
      </c>
      <c r="BQ283" s="1" t="str">
        <f t="shared" si="85"/>
        <v/>
      </c>
      <c r="BR283" s="1" t="str">
        <f t="shared" si="85"/>
        <v/>
      </c>
      <c r="BS283" s="1" t="str">
        <f t="shared" si="85"/>
        <v/>
      </c>
    </row>
    <row r="284" spans="48:71" x14ac:dyDescent="0.3">
      <c r="AV284" t="s">
        <v>8745</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Type64ModGZ</v>
      </c>
      <c r="BP284" s="1" t="str">
        <f t="shared" si="85"/>
        <v/>
      </c>
      <c r="BQ284" s="1" t="str">
        <f t="shared" si="85"/>
        <v/>
      </c>
      <c r="BR284" s="1" t="str">
        <f t="shared" si="85"/>
        <v/>
      </c>
      <c r="BS284" s="1" t="str">
        <f t="shared" si="85"/>
        <v/>
      </c>
    </row>
    <row r="285" spans="48:71" x14ac:dyDescent="0.3">
      <c r="AV285" t="s">
        <v>8746</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Type79</v>
      </c>
      <c r="BP285" s="1" t="str">
        <f t="shared" si="85"/>
        <v/>
      </c>
      <c r="BQ285" s="1" t="str">
        <f t="shared" si="85"/>
        <v/>
      </c>
      <c r="BR285" s="1" t="str">
        <f t="shared" si="85"/>
        <v/>
      </c>
      <c r="BS285" s="1" t="str">
        <f t="shared" si="85"/>
        <v/>
      </c>
    </row>
    <row r="286" spans="48:71" x14ac:dyDescent="0.3">
      <c r="AV286" t="s">
        <v>833</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Type79Mod</v>
      </c>
      <c r="BP286" s="1" t="str">
        <f t="shared" si="85"/>
        <v/>
      </c>
      <c r="BQ286" s="1" t="str">
        <f t="shared" si="85"/>
        <v/>
      </c>
      <c r="BR286" s="1" t="str">
        <f t="shared" si="85"/>
        <v/>
      </c>
      <c r="BS286" s="1" t="str">
        <f t="shared" si="85"/>
        <v/>
      </c>
    </row>
    <row r="287" spans="48:71" x14ac:dyDescent="0.3">
      <c r="AV287" t="s">
        <v>119</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Type80Mod</v>
      </c>
      <c r="BP287" s="1" t="str">
        <f t="shared" si="85"/>
        <v/>
      </c>
      <c r="BQ287" s="1" t="str">
        <f t="shared" si="85"/>
        <v/>
      </c>
      <c r="BR287" s="1" t="str">
        <f t="shared" si="85"/>
        <v/>
      </c>
      <c r="BS287" s="1" t="str">
        <f t="shared" si="85"/>
        <v/>
      </c>
    </row>
    <row r="288" spans="48:71" x14ac:dyDescent="0.3">
      <c r="AV288" t="s">
        <v>838</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Type88</v>
      </c>
      <c r="BP288" s="1" t="str">
        <f t="shared" si="85"/>
        <v/>
      </c>
      <c r="BQ288" s="1" t="str">
        <f t="shared" si="85"/>
        <v/>
      </c>
      <c r="BR288" s="1" t="str">
        <f t="shared" si="85"/>
        <v/>
      </c>
      <c r="BS288" s="1" t="str">
        <f t="shared" si="85"/>
        <v/>
      </c>
    </row>
    <row r="289" spans="48:71" x14ac:dyDescent="0.3">
      <c r="AV289" t="s">
        <v>8305</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Type88Mod</v>
      </c>
      <c r="BP289" s="1" t="str">
        <f t="shared" si="85"/>
        <v/>
      </c>
      <c r="BQ289" s="1" t="str">
        <f t="shared" si="85"/>
        <v/>
      </c>
      <c r="BR289" s="1" t="str">
        <f t="shared" si="85"/>
        <v/>
      </c>
      <c r="BS289" s="1" t="str">
        <f t="shared" si="85"/>
        <v/>
      </c>
    </row>
    <row r="290" spans="48:71" x14ac:dyDescent="0.3">
      <c r="AV290" t="s">
        <v>6758</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Type88ModGZ</v>
      </c>
      <c r="BP290" s="1" t="str">
        <f t="shared" si="85"/>
        <v/>
      </c>
      <c r="BQ290" s="1" t="str">
        <f t="shared" si="85"/>
        <v/>
      </c>
      <c r="BR290" s="1" t="str">
        <f t="shared" si="85"/>
        <v/>
      </c>
      <c r="BS290" s="1" t="str">
        <f t="shared" si="85"/>
        <v/>
      </c>
    </row>
    <row r="291" spans="48:71" x14ac:dyDescent="0.3">
      <c r="AV291" t="s">
        <v>711</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Type92mod</v>
      </c>
      <c r="BP291" s="1" t="str">
        <f t="shared" si="85"/>
        <v/>
      </c>
      <c r="BQ291" s="1" t="str">
        <f t="shared" si="85"/>
        <v/>
      </c>
      <c r="BR291" s="1" t="str">
        <f t="shared" si="85"/>
        <v/>
      </c>
      <c r="BS291" s="1" t="str">
        <f t="shared" si="85"/>
        <v/>
      </c>
    </row>
    <row r="292" spans="48:71" x14ac:dyDescent="0.3">
      <c r="AV292" t="s">
        <v>733</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Type95/97</v>
      </c>
      <c r="BP292" s="1" t="str">
        <f t="shared" si="87"/>
        <v/>
      </c>
      <c r="BQ292" s="1" t="str">
        <f t="shared" si="87"/>
        <v/>
      </c>
      <c r="BR292" s="1" t="str">
        <f t="shared" si="87"/>
        <v/>
      </c>
      <c r="BS292" s="1" t="str">
        <f t="shared" si="87"/>
        <v/>
      </c>
    </row>
    <row r="293" spans="48:71" x14ac:dyDescent="0.3">
      <c r="AV293" t="s">
        <v>8529</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Type97SMod</v>
      </c>
      <c r="BP293" s="1" t="str">
        <f t="shared" si="87"/>
        <v/>
      </c>
      <c r="BQ293" s="1" t="str">
        <f t="shared" si="87"/>
        <v/>
      </c>
      <c r="BR293" s="1" t="str">
        <f t="shared" si="87"/>
        <v/>
      </c>
      <c r="BS293" s="1" t="str">
        <f t="shared" si="87"/>
        <v/>
      </c>
    </row>
    <row r="294" spans="48:71" x14ac:dyDescent="0.3">
      <c r="AV294" t="s">
        <v>1651</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Type97SModGZ</v>
      </c>
      <c r="BP294" s="1" t="str">
        <f t="shared" si="87"/>
        <v/>
      </c>
      <c r="BQ294" s="1" t="str">
        <f t="shared" si="87"/>
        <v/>
      </c>
      <c r="BR294" s="1" t="str">
        <f t="shared" si="87"/>
        <v/>
      </c>
      <c r="BS294" s="1" t="str">
        <f t="shared" si="87"/>
        <v/>
      </c>
    </row>
    <row r="295" spans="48:71" x14ac:dyDescent="0.3">
      <c r="AV295" t="s">
        <v>730</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UKM2000</v>
      </c>
      <c r="BP295" s="1" t="str">
        <f t="shared" si="87"/>
        <v/>
      </c>
      <c r="BQ295" s="1" t="str">
        <f t="shared" si="87"/>
        <v/>
      </c>
      <c r="BR295" s="1" t="str">
        <f t="shared" si="87"/>
        <v/>
      </c>
      <c r="BS295" s="1" t="str">
        <f t="shared" si="87"/>
        <v/>
      </c>
    </row>
    <row r="296" spans="48:71" x14ac:dyDescent="0.3">
      <c r="AV296" t="s">
        <v>264</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UMP</v>
      </c>
      <c r="BP296" s="1" t="str">
        <f t="shared" si="87"/>
        <v/>
      </c>
      <c r="BQ296" s="1" t="str">
        <f t="shared" si="87"/>
        <v/>
      </c>
      <c r="BR296" s="1" t="str">
        <f t="shared" si="87"/>
        <v/>
      </c>
      <c r="BS296" s="1" t="str">
        <f t="shared" si="87"/>
        <v/>
      </c>
    </row>
    <row r="297" spans="48:71" x14ac:dyDescent="0.3">
      <c r="AV297" t="s">
        <v>8163</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UMP45Mod</v>
      </c>
      <c r="BP297" s="1" t="str">
        <f t="shared" si="87"/>
        <v/>
      </c>
      <c r="BQ297" s="1" t="str">
        <f t="shared" si="87"/>
        <v/>
      </c>
      <c r="BR297" s="1" t="str">
        <f t="shared" si="87"/>
        <v/>
      </c>
      <c r="BS297" s="1" t="str">
        <f t="shared" si="87"/>
        <v/>
      </c>
    </row>
    <row r="298" spans="48:71" x14ac:dyDescent="0.3">
      <c r="AV298" t="s">
        <v>263</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UMP45ModGZ</v>
      </c>
      <c r="BP298" s="1" t="str">
        <f t="shared" si="87"/>
        <v/>
      </c>
      <c r="BQ298" s="1" t="str">
        <f t="shared" si="87"/>
        <v/>
      </c>
      <c r="BR298" s="1" t="str">
        <f t="shared" si="87"/>
        <v/>
      </c>
      <c r="BS298" s="1" t="str">
        <f t="shared" si="87"/>
        <v/>
      </c>
    </row>
    <row r="299" spans="48:71" x14ac:dyDescent="0.3">
      <c r="AV299" t="s">
        <v>8164</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UMP9Mod</v>
      </c>
      <c r="BP299" s="1" t="str">
        <f t="shared" si="87"/>
        <v/>
      </c>
      <c r="BQ299" s="1" t="str">
        <f t="shared" si="87"/>
        <v/>
      </c>
      <c r="BR299" s="1" t="str">
        <f t="shared" si="87"/>
        <v/>
      </c>
      <c r="BS299" s="1" t="str">
        <f t="shared" si="87"/>
        <v/>
      </c>
    </row>
    <row r="300" spans="48:71" x14ac:dyDescent="0.3">
      <c r="AV300" t="s">
        <v>1639</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UMP9ModGZ</v>
      </c>
      <c r="BP300" s="1" t="str">
        <f t="shared" si="87"/>
        <v/>
      </c>
      <c r="BQ300" s="1" t="str">
        <f t="shared" si="87"/>
        <v/>
      </c>
      <c r="BR300" s="1" t="str">
        <f t="shared" si="87"/>
        <v/>
      </c>
      <c r="BS300" s="1" t="str">
        <f t="shared" si="87"/>
        <v/>
      </c>
    </row>
    <row r="301" spans="48:71" x14ac:dyDescent="0.3">
      <c r="AV301" t="s">
        <v>1193</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USAS12</v>
      </c>
      <c r="BP301" s="1" t="str">
        <f t="shared" si="87"/>
        <v/>
      </c>
      <c r="BQ301" s="1" t="str">
        <f t="shared" si="87"/>
        <v/>
      </c>
      <c r="BR301" s="1" t="str">
        <f t="shared" si="87"/>
        <v/>
      </c>
      <c r="BS301" s="1" t="str">
        <f t="shared" si="87"/>
        <v/>
      </c>
    </row>
    <row r="302" spans="48:71" x14ac:dyDescent="0.3">
      <c r="AV302" t="s">
        <v>79</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USPCompact</v>
      </c>
      <c r="BP302" s="1" t="str">
        <f t="shared" si="87"/>
        <v/>
      </c>
      <c r="BQ302" s="1" t="str">
        <f t="shared" si="87"/>
        <v/>
      </c>
      <c r="BR302" s="1" t="str">
        <f t="shared" si="87"/>
        <v/>
      </c>
      <c r="BS302" s="1" t="str">
        <f t="shared" si="87"/>
        <v/>
      </c>
    </row>
    <row r="303" spans="48:71" x14ac:dyDescent="0.3">
      <c r="AV303" t="s">
        <v>97</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Vector</v>
      </c>
      <c r="BP303" s="1" t="str">
        <f t="shared" si="87"/>
        <v/>
      </c>
      <c r="BQ303" s="1" t="str">
        <f t="shared" si="87"/>
        <v/>
      </c>
      <c r="BR303" s="1" t="str">
        <f t="shared" si="87"/>
        <v/>
      </c>
      <c r="BS303" s="1" t="str">
        <f t="shared" si="87"/>
        <v/>
      </c>
    </row>
    <row r="304" spans="48:71" x14ac:dyDescent="0.3">
      <c r="AV304" t="s">
        <v>1668</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VM59</v>
      </c>
      <c r="BP304" s="1" t="str">
        <f t="shared" si="87"/>
        <v/>
      </c>
      <c r="BQ304" s="1" t="str">
        <f t="shared" si="87"/>
        <v/>
      </c>
      <c r="BR304" s="1" t="str">
        <f t="shared" si="87"/>
        <v/>
      </c>
      <c r="BS304" s="1" t="str">
        <f t="shared" si="87"/>
        <v/>
      </c>
    </row>
    <row r="305" spans="48:71" x14ac:dyDescent="0.3">
      <c r="AV305" t="s">
        <v>95</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VSK94</v>
      </c>
      <c r="BP305" s="1" t="str">
        <f t="shared" si="87"/>
        <v/>
      </c>
      <c r="BQ305" s="1" t="str">
        <f t="shared" si="87"/>
        <v/>
      </c>
      <c r="BR305" s="1" t="str">
        <f t="shared" si="87"/>
        <v/>
      </c>
      <c r="BS305" s="1" t="str">
        <f t="shared" si="87"/>
        <v/>
      </c>
    </row>
    <row r="306" spans="48:71" x14ac:dyDescent="0.3">
      <c r="AV306" t="s">
        <v>9016</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WA2000</v>
      </c>
      <c r="BP306" s="1" t="str">
        <f t="shared" si="87"/>
        <v/>
      </c>
      <c r="BQ306" s="1" t="str">
        <f t="shared" si="87"/>
        <v/>
      </c>
      <c r="BR306" s="1" t="str">
        <f t="shared" si="87"/>
        <v/>
      </c>
      <c r="BS306" s="1" t="str">
        <f t="shared" si="87"/>
        <v/>
      </c>
    </row>
    <row r="307" spans="48:71" x14ac:dyDescent="0.3">
      <c r="AV307" t="s">
        <v>792</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WA2000GZ</v>
      </c>
      <c r="BP307" s="1" t="str">
        <f t="shared" si="87"/>
        <v/>
      </c>
      <c r="BQ307" s="1" t="str">
        <f t="shared" si="87"/>
        <v/>
      </c>
      <c r="BR307" s="1" t="str">
        <f t="shared" si="87"/>
        <v/>
      </c>
      <c r="BS307" s="1" t="str">
        <f t="shared" si="87"/>
        <v/>
      </c>
    </row>
    <row r="308" spans="48:71" x14ac:dyDescent="0.3">
      <c r="AV308" t="s">
        <v>834</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Webley</v>
      </c>
      <c r="BP308" s="1" t="str">
        <f t="shared" si="89"/>
        <v/>
      </c>
      <c r="BQ308" s="1" t="str">
        <f t="shared" si="89"/>
        <v/>
      </c>
      <c r="BR308" s="1" t="str">
        <f t="shared" si="89"/>
        <v/>
      </c>
      <c r="BS308" s="1" t="str">
        <f t="shared" si="89"/>
        <v/>
      </c>
    </row>
    <row r="309" spans="48:71" x14ac:dyDescent="0.3">
      <c r="AV309" t="s">
        <v>8964</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Welrod MkIIMod</v>
      </c>
      <c r="BP309" s="1" t="str">
        <f t="shared" si="89"/>
        <v/>
      </c>
      <c r="BQ309" s="1" t="str">
        <f t="shared" si="89"/>
        <v/>
      </c>
      <c r="BR309" s="1" t="str">
        <f t="shared" si="89"/>
        <v/>
      </c>
      <c r="BS309" s="1" t="str">
        <f t="shared" si="89"/>
        <v/>
      </c>
    </row>
    <row r="310" spans="48:71" x14ac:dyDescent="0.3">
      <c r="AV310" t="s">
        <v>928</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Welrod MkIIModGZ</v>
      </c>
      <c r="BP310" s="1" t="str">
        <f t="shared" si="89"/>
        <v/>
      </c>
      <c r="BQ310" s="1" t="str">
        <f t="shared" si="89"/>
        <v/>
      </c>
      <c r="BR310" s="1" t="str">
        <f t="shared" si="89"/>
        <v/>
      </c>
      <c r="BS310" s="1" t="str">
        <f t="shared" si="89"/>
        <v/>
      </c>
    </row>
    <row r="311" spans="48:71" x14ac:dyDescent="0.3">
      <c r="AV311" t="s">
        <v>5736</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XM3Mod</v>
      </c>
      <c r="BP311" s="1" t="str">
        <f t="shared" si="89"/>
        <v/>
      </c>
      <c r="BQ311" s="1" t="str">
        <f t="shared" si="89"/>
        <v/>
      </c>
      <c r="BR311" s="1" t="str">
        <f t="shared" si="89"/>
        <v/>
      </c>
      <c r="BS311" s="1" t="str">
        <f t="shared" si="89"/>
        <v/>
      </c>
    </row>
    <row r="312" spans="48:71" x14ac:dyDescent="0.3">
      <c r="AV312" t="s">
        <v>1690</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XM8Mod</v>
      </c>
      <c r="BP312" s="1" t="str">
        <f t="shared" si="89"/>
        <v/>
      </c>
      <c r="BQ312" s="1" t="str">
        <f t="shared" si="89"/>
        <v/>
      </c>
      <c r="BR312" s="1" t="str">
        <f t="shared" si="89"/>
        <v/>
      </c>
      <c r="BS312" s="1" t="str">
        <f t="shared" si="89"/>
        <v/>
      </c>
    </row>
    <row r="313" spans="48:71" x14ac:dyDescent="0.3">
      <c r="AV313" t="s">
        <v>7015</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Yurine</v>
      </c>
      <c r="BP313" s="1" t="str">
        <f t="shared" si="89"/>
        <v/>
      </c>
      <c r="BQ313" s="1" t="str">
        <f t="shared" si="89"/>
        <v/>
      </c>
      <c r="BR313" s="1" t="str">
        <f t="shared" si="89"/>
        <v/>
      </c>
      <c r="BS313" s="1" t="str">
        <f t="shared" si="89"/>
        <v/>
      </c>
    </row>
    <row r="314" spans="48:71" x14ac:dyDescent="0.3">
      <c r="AV314" t="s">
        <v>1622</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Yuugiri</v>
      </c>
      <c r="BP314" s="1" t="str">
        <f t="shared" si="89"/>
        <v/>
      </c>
      <c r="BQ314" s="1" t="str">
        <f t="shared" si="89"/>
        <v/>
      </c>
      <c r="BR314" s="1" t="str">
        <f t="shared" si="89"/>
        <v/>
      </c>
      <c r="BS314" s="1" t="str">
        <f t="shared" si="89"/>
        <v/>
      </c>
    </row>
    <row r="315" spans="48:71" x14ac:dyDescent="0.3">
      <c r="AV315" t="s">
        <v>9156</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Z62</v>
      </c>
      <c r="BP315" s="1" t="str">
        <f t="shared" si="89"/>
        <v/>
      </c>
      <c r="BQ315" s="1" t="str">
        <f t="shared" si="89"/>
        <v/>
      </c>
      <c r="BR315" s="1" t="str">
        <f t="shared" si="89"/>
        <v/>
      </c>
      <c r="BS315" s="1" t="str">
        <f t="shared" si="89"/>
        <v/>
      </c>
    </row>
    <row r="316" spans="48:71" x14ac:dyDescent="0.3">
      <c r="AV316" t="s">
        <v>1667</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ZasM21Mod</v>
      </c>
      <c r="BP316" s="1" t="str">
        <f t="shared" si="89"/>
        <v/>
      </c>
      <c r="BQ316" s="1" t="str">
        <f t="shared" si="89"/>
        <v/>
      </c>
      <c r="BR316" s="1" t="str">
        <f t="shared" si="89"/>
        <v/>
      </c>
      <c r="BS316" s="1" t="str">
        <f t="shared" si="89"/>
        <v/>
      </c>
    </row>
    <row r="317" spans="48: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ZB26</v>
      </c>
      <c r="BP317" s="1" t="str">
        <f t="shared" si="89"/>
        <v/>
      </c>
      <c r="BQ317" s="1" t="str">
        <f t="shared" si="89"/>
        <v/>
      </c>
      <c r="BR317" s="1" t="str">
        <f t="shared" si="89"/>
        <v/>
      </c>
      <c r="BS317" s="1" t="str">
        <f t="shared" si="89"/>
        <v/>
      </c>
    </row>
    <row r="318" spans="48: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48: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48: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16">
    <sortCondition ref="AV2:AV316"/>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2024-12-01T02:36:31Z</dcterms:modified>
</cp:coreProperties>
</file>