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0956B081-B0D3-4245-AADB-C4945C5D6188}" xr6:coauthVersionLast="36" xr6:coauthVersionMax="36" xr10:uidLastSave="{00000000-0000-0000-0000-000000000000}"/>
  <bookViews>
    <workbookView xWindow="0" yWindow="0" windowWidth="9990" windowHeight="3810" xr2:uid="{8B59443F-0B2D-43B1-BB8E-EAEC613D5E34}"/>
  </bookViews>
  <sheets>
    <sheet name="Main" sheetId="1" r:id="rId1"/>
    <sheet name="Preset Teams" sheetId="28" r:id="rId2"/>
    <sheet name="Doll" sheetId="7" r:id="rId3"/>
    <sheet name="Equip" sheetId="12" r:id="rId4"/>
    <sheet name="Fairy" sheetId="13" r:id="rId5"/>
    <sheet name="HOC" sheetId="26" r:id="rId6"/>
    <sheet name="SF" sheetId="33" r:id="rId7"/>
    <sheet name="SF Chip" sheetId="42" r:id="rId8"/>
    <sheet name="SF Team" sheetId="43" r:id="rId9"/>
    <sheet name="Mission_Act_Info" sheetId="20" state="hidden" r:id="rId10"/>
    <sheet name="Spot_Act_Info_Day" sheetId="44" state="hidden" r:id="rId11"/>
    <sheet name="Spot_Act_Info_Night" sheetId="45" state="hidden" r:id="rId12"/>
    <sheet name="GFBattleSimulator" sheetId="24" state="hidden" r:id="rId13"/>
    <sheet name="G&amp;K Stat Calc" sheetId="3" state="hidden" r:id="rId14"/>
    <sheet name="SF Stat Calc" sheetId="36" state="hidden" r:id="rId15"/>
    <sheet name="Fairy Data" sheetId="16" state="hidden" r:id="rId16"/>
    <sheet name="Talent Data" sheetId="17" state="hidden" r:id="rId17"/>
    <sheet name="Strat Buff Data" sheetId="27" state="hidden" r:id="rId18"/>
    <sheet name="Equip Data" sheetId="11" state="hidden" r:id="rId19"/>
    <sheet name="Doll Data" sheetId="4" state="hidden" r:id="rId20"/>
    <sheet name="SF Data" sheetId="29" state="hidden" r:id="rId21"/>
    <sheet name="SF Chip Data" sheetId="32" state="hidden" r:id="rId22"/>
    <sheet name="SF Resolution" sheetId="41" state="hidden" r:id="rId23"/>
    <sheet name="Exp Tables" sheetId="5" state="hidden" r:id="rId24"/>
    <sheet name="Misc Inputs" sheetId="18" state="hidden" r:id="rId25"/>
    <sheet name="Dropdowns" sheetId="2" state="hidden" r:id="rId26"/>
  </sheets>
  <definedNames>
    <definedName name="_xlnm._FilterDatabase" localSheetId="19" hidden="1">'Doll Data'!$A$1:$BD$429</definedName>
    <definedName name="_xlnm._FilterDatabase" localSheetId="18" hidden="1">'Equip Data'!$A$1:$AW$1</definedName>
    <definedName name="_xlnm._FilterDatabase" localSheetId="15" hidden="1">'Fairy Data'!$A$1:$K$38</definedName>
    <definedName name="_xlnm._FilterDatabase" localSheetId="20" hidden="1">'SF Data'!$A$1:$BH$41</definedName>
    <definedName name="_xlnm._FilterDatabase" localSheetId="22" hidden="1">'SF Resolution'!$A$1:$X$246</definedName>
    <definedName name="_xlnm._FilterDatabase" localSheetId="16" hidden="1">'Talent Data'!$A$1:$C$18</definedName>
    <definedName name="BossHP">Main!$E$10</definedName>
    <definedName name="ChipJSONPath">'Misc Inputs'!$C$34</definedName>
    <definedName name="CustomStatInput">Main!$Y$21:$AC$25</definedName>
    <definedName name="DayNight">Main!$B$10</definedName>
    <definedName name="DebuffSelection">Main!$A$78:$A$79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Main!$B$21:$W$25</definedName>
    <definedName name="EchType">Main!$B$9</definedName>
    <definedName name="EnemyID">Main!$E$9</definedName>
    <definedName name="EquipJSONPath">'Misc Inputs'!$C$32</definedName>
    <definedName name="equipScript">'Misc Inputs'!$C$46</definedName>
    <definedName name="FairyInput">Main!$B$30:$F$30</definedName>
    <definedName name="FairyJSONPath">'Misc Inputs'!$C$35</definedName>
    <definedName name="FairySkill">Main!$E$11</definedName>
    <definedName name="gunScript">'Misc Inputs'!$C$45</definedName>
    <definedName name="HOCJSONPath">'Misc Inputs'!$C$33</definedName>
    <definedName name="HOCSelection">Main!$A$52:$A$59</definedName>
    <definedName name="HOCSupport">Main!$E$12</definedName>
    <definedName name="ListOfPresets">'Preset Teams'!$A$4:$A$1048576</definedName>
    <definedName name="MissionJSON">'Misc Inputs'!$C$36</definedName>
    <definedName name="Names2">OFFSET(Dropdowns!$A$2,0,MATCH(Main!$C$22&amp;Main!$B$22,Dropdowns!$B$1:$XFD$1,0),100,1)</definedName>
    <definedName name="Names3">OFFSET(Dropdowns!$A$2,0,MATCH(Main!$C$23&amp;Main!$B$23,Dropdowns!$B$1:$XFD$1,0),100,1)</definedName>
    <definedName name="Names4">OFFSET(Dropdowns!$A$2,0,MATCH(Main!$C$24&amp;Main!$B$24,Dropdowns!$B$1:$XFD$1,0),100,1)</definedName>
    <definedName name="Names5">OFFSET(Dropdowns!$A$2,0,MATCH(Main!$C$25&amp;Main!$B$25,Dropdowns!$B$1:$XFD$1,0),100,1)</definedName>
    <definedName name="NodeColor">Main!$B$11</definedName>
    <definedName name="OneStack">'Misc Inputs'!$C$9</definedName>
    <definedName name="PositionInput">Main!$H$28:$J$30</definedName>
    <definedName name="Preset">Main!$B$16</definedName>
    <definedName name="PresetData">OFFSET('Preset Teams'!B1048558,MATCH(Preset,'Preset Teams'!B1048559:B1048555,0),1,5,22)</definedName>
    <definedName name="SFChipJSONPath">'Misc Inputs'!$C$39</definedName>
    <definedName name="SFCustomStatInput">Main!$P$37:$P$45</definedName>
    <definedName name="SFEchelonInput">Main!$C$37:$N$45</definedName>
    <definedName name="SFHOCSelection">Main!$A$64:$A$68</definedName>
    <definedName name="SFJSONPath">'Misc Inputs'!$C$37</definedName>
    <definedName name="SFPositionInput">Main!$R$38:$T$40</definedName>
    <definedName name="SFTeamJSONPath">'Misc Inputs'!$C$38</definedName>
    <definedName name="SimJSON">'Misc Inputs'!$C$40</definedName>
    <definedName name="SpotDayJSON">'Misc Inputs'!$C$41</definedName>
    <definedName name="SpotNightJSON">'Misc Inputs'!$C$42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Main!$B$72:$C$74</definedName>
    <definedName name="StratSkill1">Main!$C$72</definedName>
    <definedName name="StratSL1">Main!$C$72</definedName>
    <definedName name="StratSL2">Main!$C$73</definedName>
    <definedName name="StratSL3">Main!$C$74</definedName>
    <definedName name="ThreeStack">'Misc Inputs'!$C$11</definedName>
    <definedName name="TurnNum">Main!$B$12</definedName>
    <definedName name="TwoStack">'Misc Inputs'!$C$10</definedName>
    <definedName name="UseCustomStats">Main!$AC$19</definedName>
    <definedName name="UseSFCustomHP">Main!$P$36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4" l="1"/>
  <c r="C8" i="24"/>
  <c r="C42" i="18" l="1"/>
  <c r="C41" i="18"/>
  <c r="F3" i="7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38" i="1"/>
  <c r="P3" i="33" s="1"/>
  <c r="B37" i="1"/>
  <c r="P2" i="33" s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K2" i="33" l="1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5" i="1" l="1"/>
  <c r="P10" i="33" s="1"/>
  <c r="B44" i="1"/>
  <c r="P9" i="33" s="1"/>
  <c r="B43" i="1"/>
  <c r="P8" i="33" s="1"/>
  <c r="B42" i="1"/>
  <c r="P7" i="33" s="1"/>
  <c r="B41" i="1"/>
  <c r="P6" i="33" s="1"/>
  <c r="B40" i="1"/>
  <c r="P5" i="33" s="1"/>
  <c r="B39" i="1"/>
  <c r="P4" i="33" s="1"/>
  <c r="F2" i="33"/>
  <c r="O8" i="33" l="1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D3" i="42" l="1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C5" i="5" s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R9" i="36" l="1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l="1"/>
  <c r="K3" i="26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4" i="20"/>
  <c r="J2" i="13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9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19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0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0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0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L35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5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6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6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6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0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K62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2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2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3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3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3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<sst xmlns="http://schemas.openxmlformats.org/spreadsheetml/2006/main" count="17871" uniqueCount="5742">
  <si>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</si>
  <si>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</si>
  <si>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</si>
  <si>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</si>
  <si>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</si>
  <si>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</si>
  <si>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</si>
  <si>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</si>
  <si>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</si>
  <si>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</si>
  <si>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</si>
  <si>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</si>
  <si>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</si>
  <si>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</si>
  <si>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</si>
  <si>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</si>
  <si>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</si>
  <si>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</si>
  <si>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</si>
  <si>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</si>
  <si>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</si>
  <si>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</si>
  <si>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</si>
  <si>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</si>
  <si>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</si>
  <si>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</si>
  <si>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</si>
  <si>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</si>
  <si>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</si>
  <si>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</si>
  <si>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</si>
  <si>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</si>
  <si>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</si>
  <si>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</si>
  <si>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</si>
  <si>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</si>
  <si>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</si>
  <si>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</si>
  <si>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</si>
  <si>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</si>
  <si>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</si>
  <si>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</si>
  <si>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</si>
  <si>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</si>
  <si>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</si>
  <si>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</si>
  <si>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</si>
  <si>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</si>
  <si>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</si>
  <si>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</si>
  <si>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</si>
  <si>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</si>
  <si>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</si>
  <si>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</si>
  <si>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</si>
  <si>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</si>
  <si>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</si>
  <si>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</si>
  <si>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</si>
  <si>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</si>
  <si>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</si>
  <si>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</si>
  <si>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</si>
  <si>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</si>
  <si>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</si>
  <si>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</si>
  <si>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</si>
  <si>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</si>
  <si>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</si>
  <si>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</si>
  <si>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</si>
  <si>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</si>
  <si>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</si>
  <si>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</si>
  <si>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</si>
  <si>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</si>
  <si>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</si>
  <si>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</si>
  <si>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</si>
  <si>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</si>
  <si>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</si>
  <si>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</si>
  <si>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</si>
  <si>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</si>
  <si>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</si>
  <si>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</si>
  <si>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</si>
  <si>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</si>
  <si>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</si>
  <si>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</si>
  <si>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</si>
  <si>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</si>
  <si>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</si>
  <si>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</si>
  <si>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</si>
  <si>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</si>
  <si>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</si>
  <si>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</si>
  <si>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</si>
  <si>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</si>
  <si>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</si>
  <si>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</si>
  <si>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</si>
  <si>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</si>
  <si>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</si>
  <si>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</si>
  <si>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</si>
  <si>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</si>
  <si>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</si>
  <si>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</si>
  <si>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</si>
  <si>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</si>
  <si>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</si>
  <si>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</si>
  <si>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</si>
  <si>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</si>
  <si>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</si>
  <si>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</si>
  <si>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</si>
  <si>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</si>
  <si>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</si>
  <si>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</si>
  <si>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</si>
  <si>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</si>
  <si>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</si>
  <si>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</si>
  <si>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</si>
  <si>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</si>
  <si>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</si>
  <si>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</si>
  <si>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</si>
  <si>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</si>
  <si>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</si>
  <si>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</si>
  <si>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</si>
  <si>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</si>
  <si>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</si>
  <si>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</si>
  <si>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</si>
  <si>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</si>
  <si>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</si>
  <si>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</si>
  <si>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</si>
  <si>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</si>
  <si>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</si>
  <si>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</si>
  <si>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</si>
  <si>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</si>
  <si>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</si>
  <si>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</si>
  <si>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</si>
  <si>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</si>
  <si>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</si>
  <si>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</si>
  <si>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</si>
  <si>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</si>
  <si>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</si>
  <si>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</si>
  <si>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</si>
  <si>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</si>
  <si>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</si>
  <si>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</si>
  <si>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</si>
  <si>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</si>
  <si>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</si>
  <si>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</si>
  <si>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</si>
  <si>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</si>
  <si>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</si>
  <si>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</si>
  <si>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</si>
  <si>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</si>
  <si>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</si>
  <si>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</si>
  <si>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</si>
  <si>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</si>
  <si>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</si>
  <si>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</si>
  <si>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</si>
  <si>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</si>
  <si>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</si>
  <si>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</si>
  <si>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</si>
  <si>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</si>
  <si>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</si>
  <si>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</si>
  <si>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</si>
  <si>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</si>
  <si>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</si>
  <si>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</si>
  <si>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</si>
  <si>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</si>
  <si>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</si>
  <si>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</si>
  <si>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</si>
  <si>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</si>
  <si>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</si>
  <si>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</si>
  <si>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</si>
  <si>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</si>
  <si>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</si>
  <si>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</si>
  <si>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</si>
  <si>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</si>
  <si>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</si>
  <si>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</si>
  <si>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</si>
  <si>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</si>
  <si>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</si>
  <si>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</si>
  <si>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</si>
  <si>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</si>
  <si>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</si>
  <si>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</si>
  <si>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</si>
  <si>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</si>
  <si>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</si>
  <si>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</si>
  <si>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</si>
  <si>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</si>
  <si>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</si>
  <si>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</si>
  <si>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</si>
  <si>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</si>
  <si>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</si>
  <si>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</si>
  <si>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</si>
  <si>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</si>
  <si>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</si>
  <si>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</si>
  <si>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</si>
  <si>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</si>
  <si>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</si>
  <si>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</si>
  <si>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</si>
  <si>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</si>
  <si>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</si>
  <si>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</si>
  <si>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</si>
  <si>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</si>
  <si>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</si>
  <si>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</si>
  <si>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</si>
  <si>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</si>
  <si>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</si>
  <si>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</si>
  <si>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</si>
  <si>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</si>
  <si>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Dana Zane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</si>
  <si>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</si>
  <si>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</si>
  <si>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</si>
  <si>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</si>
  <si>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</si>
  <si>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</si>
  <si>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</si>
  <si>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</si>
  <si>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</si>
  <si>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</si>
  <si>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</si>
  <si>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</si>
  <si>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</si>
  <si>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</si>
  <si>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</si>
  <si>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</si>
  <si>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</si>
  <si>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</si>
  <si>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</si>
  <si>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</si>
  <si>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</si>
  <si>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</si>
  <si>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</si>
  <si>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</si>
  <si>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</si>
  <si>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</si>
  <si>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</si>
  <si>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</si>
  <si>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</si>
  <si>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</si>
  <si>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</si>
  <si>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</si>
  <si>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</si>
  <si>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</si>
  <si>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</si>
  <si>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</si>
  <si>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</si>
  <si>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</si>
  <si>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</si>
  <si>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</si>
  <si>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</si>
  <si>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</si>
  <si>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</si>
  <si>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</si>
  <si>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</si>
  <si>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</si>
  <si>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</si>
  <si>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</si>
  <si>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</si>
  <si>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</si>
  <si>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</si>
  <si>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</si>
  <si>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</si>
  <si>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</si>
  <si>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</si>
  <si>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</si>
  <si>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</si>
  <si>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</si>
  <si>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</si>
  <si>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</si>
  <si>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</si>
  <si>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</si>
  <si>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</si>
  <si>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</si>
  <si>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</si>
  <si>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</si>
  <si>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</si>
  <si>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</si>
  <si>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</si>
  <si>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</si>
  <si>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</si>
  <si>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</si>
  <si>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</si>
  <si>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</si>
  <si>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</si>
  <si>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</si>
  <si>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</si>
  <si>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</si>
  <si>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</si>
  <si>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</si>
  <si>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</si>
  <si>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</si>
  <si>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</si>
  <si>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</si>
  <si>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</si>
  <si>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</si>
  <si>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</si>
  <si>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</si>
  <si>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</si>
  <si>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</si>
  <si>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</si>
  <si>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</si>
  <si>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</si>
  <si>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</si>
  <si>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</si>
  <si>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</si>
  <si>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</si>
  <si>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</si>
  <si>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</si>
  <si>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</si>
  <si>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</si>
  <si>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</si>
  <si>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</si>
  <si>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</si>
  <si>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</si>
  <si>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</si>
  <si>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</si>
  <si>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</si>
  <si>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</si>
  <si>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</si>
  <si>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</si>
  <si>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</si>
  <si>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</si>
  <si>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</si>
  <si>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</si>
  <si>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</si>
  <si>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</si>
  <si>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</si>
  <si>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</si>
  <si>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</si>
  <si>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</si>
  <si>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</si>
  <si>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</si>
  <si>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</si>
  <si>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</si>
  <si>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</si>
  <si>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</si>
  <si>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</si>
  <si>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</si>
  <si>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</si>
  <si>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</si>
  <si>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</si>
  <si>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</si>
  <si>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</si>
  <si>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</si>
  <si>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</si>
  <si>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</si>
  <si>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</si>
  <si>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</si>
  <si>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</si>
  <si>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</si>
  <si>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</si>
  <si>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</si>
  <si>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</si>
  <si>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</si>
  <si>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</si>
  <si>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</si>
  <si>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</si>
  <si>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</si>
  <si>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</si>
  <si>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</si>
  <si>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</si>
  <si>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</si>
  <si>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</si>
  <si>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</si>
  <si>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</si>
  <si>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</si>
  <si>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</si>
  <si>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</si>
  <si>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</si>
  <si>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</si>
  <si>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</si>
  <si>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</si>
  <si>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</si>
  <si>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</si>
  <si>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</si>
  <si>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</si>
  <si>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</si>
  <si>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</si>
  <si>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</si>
  <si>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</si>
  <si>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</si>
  <si>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</si>
  <si>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</si>
  <si>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</si>
  <si>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</si>
  <si>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</si>
  <si>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</si>
  <si>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</si>
  <si>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</si>
  <si>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</si>
  <si>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</si>
  <si>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</si>
  <si>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</si>
  <si>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</si>
  <si>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</si>
  <si>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</si>
  <si>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</si>
  <si>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</si>
  <si>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</si>
  <si>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</si>
  <si>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</si>
  <si>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</si>
  <si>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</si>
  <si>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</si>
  <si>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</si>
  <si>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</si>
  <si>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</si>
  <si>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</si>
  <si>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</si>
  <si>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</si>
  <si>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</si>
  <si>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</si>
  <si>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</si>
  <si>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</si>
  <si>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</si>
  <si>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</si>
  <si>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</si>
  <si>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</si>
  <si>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</si>
  <si>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</si>
  <si>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</si>
  <si>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</si>
  <si>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</si>
  <si>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</si>
  <si>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</si>
  <si>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</si>
  <si>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</si>
  <si>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</si>
  <si>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</si>
  <si>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</si>
  <si>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</si>
  <si>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</si>
  <si>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</si>
  <si>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</si>
  <si>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</si>
  <si>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</si>
  <si>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</si>
  <si>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</si>
  <si>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</si>
  <si>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</si>
  <si>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</si>
  <si>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</si>
  <si>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</si>
  <si>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</si>
  <si>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</si>
  <si>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</si>
  <si>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</si>
  <si>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</si>
  <si>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</si>
  <si>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</si>
  <si>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</si>
  <si>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</si>
  <si>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</si>
  <si>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</si>
  <si>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</si>
  <si>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</si>
  <si>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</si>
  <si>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</si>
  <si>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</si>
  <si>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</si>
  <si>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</si>
  <si>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</si>
  <si>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</si>
  <si>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</si>
  <si>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</si>
  <si>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</si>
  <si>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</si>
  <si>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</si>
  <si>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</si>
  <si>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</si>
  <si>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</si>
  <si>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</si>
  <si>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</si>
  <si>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</si>
  <si>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</si>
  <si>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</si>
  <si>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</si>
  <si>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</si>
  <si>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</si>
  <si>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</si>
  <si>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</si>
  <si>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</si>
  <si>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</si>
  <si>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</si>
  <si>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</si>
  <si>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</si>
  <si>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</si>
  <si>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</si>
  <si>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</si>
  <si>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</si>
  <si>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</si>
  <si>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</si>
  <si>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</si>
  <si>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</si>
  <si>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</si>
  <si>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</si>
  <si>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</si>
  <si>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</si>
  <si>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</si>
  <si>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</si>
  <si>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</si>
  <si>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</si>
  <si>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</si>
  <si>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</si>
  <si>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</si>
  <si>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</si>
  <si>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</si>
  <si>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</si>
  <si>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</si>
  <si>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</si>
  <si>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</si>
  <si>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</si>
  <si>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</si>
  <si>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</si>
  <si>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</si>
  <si>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</si>
  <si>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</si>
  <si>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</si>
  <si>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</si>
  <si>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</si>
  <si>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</si>
  <si>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</si>
  <si>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</si>
  <si>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</si>
  <si>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</si>
  <si>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</si>
  <si>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</si>
  <si>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</si>
  <si>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</si>
  <si>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</si>
  <si>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</si>
  <si>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</si>
  <si>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</si>
  <si>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</si>
  <si>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</si>
  <si>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</si>
  <si>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</si>
  <si>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</si>
  <si>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</si>
  <si>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</si>
  <si>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</si>
  <si>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</si>
  <si>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</si>
  <si>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</si>
  <si>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</si>
  <si>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</si>
  <si>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</si>
  <si>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</si>
  <si>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</si>
  <si>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</si>
  <si>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</si>
  <si>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</si>
  <si>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</si>
  <si>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</si>
  <si>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</si>
  <si>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</si>
  <si>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</si>
  <si>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</si>
  <si>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</si>
  <si>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</si>
  <si>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</si>
  <si>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</si>
  <si>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</si>
  <si>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</si>
  <si>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</si>
  <si>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</si>
  <si>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</si>
  <si>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</si>
  <si>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</si>
  <si>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</si>
  <si>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</si>
  <si>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</si>
  <si>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</si>
  <si>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</si>
  <si>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</si>
  <si>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</si>
  <si>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</si>
  <si>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</si>
  <si>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</si>
  <si>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</si>
  <si>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</si>
  <si>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</si>
  <si>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</si>
  <si>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</si>
  <si>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</si>
  <si>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</si>
  <si>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</si>
  <si>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</si>
  <si>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</si>
  <si>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</si>
  <si>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</si>
  <si>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</si>
  <si>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</si>
  <si>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</si>
  <si>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</si>
  <si>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</si>
  <si>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</si>
  <si>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</si>
  <si>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</si>
  <si>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</si>
  <si>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</si>
  <si>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</si>
  <si>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</si>
  <si>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</si>
  <si>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</si>
  <si>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</si>
  <si>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</si>
  <si>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</si>
  <si>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</si>
  <si>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</si>
  <si>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</si>
  <si>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</si>
  <si>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</si>
  <si>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</si>
  <si>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</si>
  <si>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</si>
  <si>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</si>
  <si>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</si>
  <si>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</si>
  <si>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</si>
  <si>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</si>
  <si>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</si>
  <si>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</si>
  <si>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</si>
  <si>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</si>
  <si>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</si>
  <si>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</si>
  <si>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</si>
  <si>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</si>
  <si>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</si>
  <si>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</si>
  <si>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</si>
  <si>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</si>
  <si>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</si>
  <si>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</si>
  <si>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</si>
  <si>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</si>
  <si>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</si>
  <si>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</si>
  <si>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</si>
  <si>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</si>
  <si>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</si>
  <si>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</si>
  <si>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</si>
  <si>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</si>
  <si>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</si>
  <si>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</si>
  <si>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</si>
  <si>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</si>
  <si>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</si>
  <si>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</si>
  <si>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</si>
  <si>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</si>
  <si>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</si>
  <si>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</si>
  <si>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</si>
  <si>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</si>
  <si>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</si>
  <si>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</si>
  <si>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</si>
  <si>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</si>
  <si>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</si>
  <si>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</si>
  <si>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</si>
  <si>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</si>
  <si>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</si>
  <si>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</si>
  <si>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</si>
  <si>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</si>
  <si>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</si>
  <si>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</si>
  <si>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</si>
  <si>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</si>
  <si>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</si>
  <si>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</si>
  <si>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</si>
  <si>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</si>
  <si>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</si>
  <si>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</si>
  <si>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</si>
  <si>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</si>
  <si>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</si>
  <si>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</si>
  <si>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</si>
  <si>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</si>
  <si>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</si>
  <si>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</si>
  <si>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</si>
  <si>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</si>
  <si>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</si>
  <si>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</si>
  <si>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</si>
  <si>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</si>
  <si>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</si>
  <si>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</si>
  <si>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</si>
  <si>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</si>
  <si>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</si>
  <si>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</si>
  <si>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</si>
  <si>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</si>
  <si>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</si>
  <si>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</si>
  <si>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</si>
  <si>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</si>
  <si>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</si>
  <si>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</si>
  <si>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</si>
  <si>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</si>
  <si>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</si>
  <si>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</si>
  <si>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</si>
  <si>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</si>
  <si>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</si>
  <si>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</si>
  <si>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</si>
  <si>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</si>
  <si>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</si>
  <si>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</si>
  <si>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</si>
  <si>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</si>
  <si>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</si>
  <si>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</si>
  <si>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</si>
  <si>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</si>
  <si>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</si>
  <si>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</si>
  <si>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</si>
  <si>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</si>
  <si>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</si>
  <si>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</si>
  <si>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</si>
  <si>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</si>
  <si>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</si>
  <si>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</si>
  <si>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</si>
  <si>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</si>
  <si>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</si>
  <si>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</si>
  <si>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</si>
  <si>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</si>
  <si>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</si>
  <si>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</si>
  <si>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</si>
  <si>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</si>
  <si>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</si>
  <si>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</si>
  <si>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</si>
  <si>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</si>
  <si>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</si>
  <si>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</si>
  <si>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</si>
  <si>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</si>
  <si>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</si>
  <si>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</si>
  <si>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</si>
  <si>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</si>
  <si>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</si>
  <si>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</si>
  <si>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</si>
  <si>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</si>
  <si>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</si>
  <si>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</si>
  <si>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</si>
  <si>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</si>
  <si>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</si>
  <si>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</si>
  <si>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</si>
  <si>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</si>
  <si>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</si>
  <si>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</si>
  <si>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</si>
  <si>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</si>
  <si>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</si>
  <si>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</si>
  <si>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</si>
  <si>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</si>
  <si>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</si>
  <si>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</si>
  <si>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</si>
  <si>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</si>
  <si>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</si>
  <si>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</si>
  <si>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</si>
  <si>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</si>
  <si>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</si>
  <si>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</si>
  <si>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</si>
  <si>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</si>
  <si>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</si>
  <si>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</si>
  <si>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</si>
  <si>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</si>
  <si>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</si>
  <si>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</si>
  <si>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</si>
  <si>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</si>
  <si>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</si>
  <si>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</si>
  <si>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</si>
  <si>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</si>
  <si>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</si>
  <si>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</si>
  <si>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</si>
  <si>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</si>
  <si>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</si>
  <si>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</si>
  <si>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</si>
  <si>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</si>
  <si>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</si>
  <si>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</si>
  <si>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</si>
  <si>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</si>
  <si>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</si>
  <si>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</si>
  <si>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</si>
  <si>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</si>
  <si>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</si>
  <si>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</si>
  <si>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</si>
  <si>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</si>
  <si>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</si>
  <si>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</si>
  <si>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</si>
  <si>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</si>
  <si>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</si>
  <si>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</si>
  <si>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</si>
  <si>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</si>
  <si>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</si>
  <si>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</si>
  <si>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</si>
  <si>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</si>
  <si>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</si>
  <si>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</si>
  <si>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</si>
  <si>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</si>
  <si>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</si>
  <si>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</si>
  <si>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</si>
  <si>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</si>
  <si>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</si>
  <si>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</si>
  <si>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</si>
  <si>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</si>
  <si>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</si>
  <si>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</si>
  <si>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</si>
  <si>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</si>
  <si>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</si>
  <si>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</si>
  <si>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</si>
  <si>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</si>
  <si>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</si>
  <si>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</si>
  <si>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</si>
  <si>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</si>
  <si>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</si>
  <si>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</si>
  <si>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</si>
  <si>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</si>
  <si>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</si>
  <si>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</si>
  <si>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</si>
  <si>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</si>
  <si>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</si>
  <si>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</si>
  <si>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</si>
  <si>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</si>
  <si>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</si>
  <si>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</si>
  <si>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</si>
  <si>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</si>
  <si>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</si>
  <si>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</si>
  <si>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</si>
  <si>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</si>
  <si>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</si>
  <si>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</si>
  <si>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</si>
  <si>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</si>
  <si>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</si>
  <si>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</si>
  <si>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</si>
  <si>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</si>
  <si>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</si>
  <si>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</si>
  <si>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</si>
  <si>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</si>
  <si>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SniperAmmo5</t>
  </si>
  <si>
    <t>SniperAmmo4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</si>
  <si>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</si>
  <si>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</si>
  <si>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</si>
  <si>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</si>
  <si>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</si>
  <si>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</si>
  <si>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</si>
  <si>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</si>
  <si>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</si>
  <si>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</si>
  <si>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</si>
  <si>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</si>
  <si>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</si>
  <si>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</si>
  <si>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</si>
  <si>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</si>
  <si>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</si>
  <si>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</si>
  <si>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</si>
  <si>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</si>
  <si>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</si>
  <si>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</si>
  <si>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</si>
  <si>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</si>
  <si>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</si>
  <si>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</si>
  <si>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</si>
  <si>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</si>
  <si>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</si>
  <si>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</si>
  <si>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</si>
  <si>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</si>
  <si>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"fairy_skill_on_team":"{\"1\":{\"1\":{\"team_id\":1,\"buff_id\":\"buff1\",\"source_type\":1,\"source_value\":1,\"start_turn\":\"turnnum\",\"battle_count\":0,\"battle_finish_count\":0,\"person_move_count\":0,\"mission_skill_config_id\":\"config1skill1\"}}}",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</si>
  <si>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</si>
  <si>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,\"3\":{\"team_id\":1,\"buff_id\":\"buff3\",\"source_type\":1,\"source_value\":1,\"start_turn\":\"turnnum\",\"battle_count\":1,\"battle_finish_count\":0,\"person_move_count\":0,\"mission_skill_config_id\":\"config3skill3\"}}}",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</si>
  <si>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</si>
  <si>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</si>
  <si>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</si>
  <si>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</si>
  <si>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</si>
  <si>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</si>
  <si>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</si>
  <si>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</si>
  <si>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</si>
  <si>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</si>
  <si>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</si>
  <si>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</si>
  <si>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</si>
  <si>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</si>
  <si>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</si>
  <si>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</si>
  <si>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</si>
  <si>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</si>
  <si>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</si>
  <si>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</si>
  <si>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</si>
  <si>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</si>
  <si>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</si>
  <si>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</si>
  <si>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PPBB</t>
  </si>
  <si>
    <t>DR - KSVK/Liu</t>
  </si>
  <si>
    <t>DR - 416/NTW</t>
  </si>
  <si>
    <t>2MG Kordboat</t>
  </si>
  <si>
    <t>3MG Kordboat</t>
  </si>
  <si>
    <t>5HG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</si>
  <si>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</si>
  <si>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</si>
  <si>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</si>
  <si>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</si>
  <si>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</si>
  <si>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</si>
  <si>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</si>
  <si>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</si>
  <si>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</si>
  <si>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</si>
  <si>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</si>
  <si>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</si>
  <si>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</si>
  <si>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</si>
  <si>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</si>
  <si>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</si>
  <si>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</si>
  <si>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</si>
  <si>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</si>
  <si>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</si>
  <si>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</si>
  <si>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</si>
  <si>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</si>
  <si>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</si>
  <si>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</si>
  <si>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</si>
  <si>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</si>
  <si>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</si>
  <si>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</si>
  <si>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</si>
  <si>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</si>
  <si>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</si>
  <si>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</si>
  <si>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</si>
  <si>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</si>
  <si>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</si>
  <si>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</si>
  <si>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</si>
  <si>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</si>
  <si>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</si>
  <si>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</si>
  <si>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</si>
  <si>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</si>
  <si>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</si>
  <si>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</si>
  <si>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</si>
  <si>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</si>
  <si>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</si>
  <si>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</si>
  <si>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</si>
  <si>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</si>
  <si>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</si>
  <si>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</si>
  <si>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</si>
  <si>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</si>
  <si>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</si>
  <si>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</si>
  <si>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</si>
  <si>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</si>
  <si>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</si>
  <si>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</si>
  <si>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</si>
  <si>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</si>
  <si>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</si>
  <si>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</si>
  <si>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</si>
  <si>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</si>
  <si>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</si>
  <si>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</si>
  <si>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</si>
  <si>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</si>
  <si>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</si>
  <si>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</si>
  <si>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</si>
  <si>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</si>
  <si>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</si>
  <si>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</si>
  <si>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</si>
  <si>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</si>
  <si>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</si>
  <si>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</si>
  <si>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</si>
  <si>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</si>
  <si>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</si>
  <si>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</si>
  <si>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</si>
  <si>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</si>
  <si>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</si>
  <si>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</si>
  <si>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</si>
  <si>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</si>
  <si>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</si>
  <si>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</si>
  <si>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</si>
  <si>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</si>
  <si>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</si>
  <si>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</si>
  <si>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</si>
  <si>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</si>
  <si>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</si>
  <si>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</si>
  <si>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</si>
  <si>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</si>
  <si>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</si>
  <si>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</si>
  <si>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</si>
  <si>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</si>
  <si>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</si>
  <si>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</si>
  <si>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</si>
  <si>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</si>
  <si>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</si>
  <si>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</si>
  <si>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</si>
  <si>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</si>
  <si>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</si>
  <si>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</si>
  <si>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</si>
  <si>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</si>
  <si>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</si>
  <si>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</si>
  <si>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</si>
  <si>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</si>
  <si>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</si>
  <si>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</si>
  <si>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</si>
  <si>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</si>
  <si>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</si>
  <si>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</si>
  <si>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</si>
  <si>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</si>
  <si>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</si>
  <si>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</si>
  <si>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</si>
  <si>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</si>
  <si>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</si>
  <si>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</si>
  <si>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</si>
  <si>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</si>
  <si>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</si>
  <si>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</si>
  <si>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</si>
  <si>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</si>
  <si>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</si>
  <si>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</si>
  <si>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</si>
  <si>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</si>
  <si>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</si>
  <si>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</si>
  <si>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</si>
  <si>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</si>
  <si>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</si>
  <si>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</si>
  <si>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</si>
  <si>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</si>
  <si>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</si>
  <si>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</si>
  <si>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</si>
  <si>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</si>
  <si>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</si>
  <si>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</si>
  <si>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</si>
  <si>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</si>
  <si>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</si>
  <si>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</si>
  <si>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</si>
  <si>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</si>
  <si>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</si>
  <si>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</si>
  <si>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</si>
  <si>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</si>
  <si>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</si>
  <si>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</si>
  <si>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</si>
  <si>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</si>
  <si>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</si>
  <si>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</si>
  <si>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</si>
  <si>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</si>
  <si>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</si>
  <si>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</si>
  <si>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</si>
  <si>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</si>
  <si>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</si>
  <si>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</si>
  <si>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</si>
  <si>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</si>
  <si>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</si>
  <si>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</si>
  <si>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</si>
  <si>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</si>
  <si>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</si>
  <si>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</si>
  <si>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</si>
  <si>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</si>
  <si>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</si>
  <si>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</si>
  <si>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</si>
  <si>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</si>
  <si>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</si>
  <si>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</si>
  <si>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</si>
  <si>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</si>
  <si>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</si>
  <si>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</si>
  <si>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</si>
  <si>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</si>
  <si>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</si>
  <si>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</si>
  <si>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</si>
  <si>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</si>
  <si>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</si>
  <si>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</si>
  <si>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</si>
  <si>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</si>
  <si>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</si>
  <si>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</si>
  <si>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</si>
  <si>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</si>
  <si>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</si>
  <si>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</si>
  <si>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</si>
  <si>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</si>
  <si>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</si>
  <si>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</si>
  <si>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</si>
  <si>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</si>
  <si>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</si>
  <si>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</si>
  <si>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</si>
  <si>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</si>
  <si>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</si>
  <si>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</si>
  <si>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</si>
  <si>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</si>
  <si>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</si>
  <si>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</si>
  <si>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</si>
  <si>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</si>
  <si>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</si>
  <si>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</si>
  <si>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</si>
  <si>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</si>
  <si>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</si>
  <si>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</si>
  <si>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</si>
  <si>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</si>
  <si>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</si>
  <si>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</si>
  <si>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</si>
  <si>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</si>
  <si>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</si>
  <si>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</si>
  <si>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</si>
  <si>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</si>
  <si>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</si>
  <si>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</si>
  <si>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</si>
  <si>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</si>
  <si>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</si>
  <si>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</si>
  <si>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</si>
  <si>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</si>
  <si>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</si>
  <si>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</si>
  <si>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</si>
  <si>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</si>
  <si>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</si>
  <si>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</si>
  <si>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</si>
  <si>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</si>
  <si>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</si>
  <si>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</si>
  <si>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</si>
  <si>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</si>
  <si>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</si>
  <si>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</si>
  <si>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</si>
  <si>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</si>
  <si>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</si>
  <si>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</si>
  <si>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</si>
  <si>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</si>
  <si>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</si>
  <si>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</si>
  <si>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</si>
  <si>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</si>
  <si>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</si>
  <si>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</si>
  <si>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</si>
  <si>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</si>
  <si>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</si>
  <si>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</si>
  <si>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</si>
  <si>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</si>
  <si>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</si>
  <si>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</si>
  <si>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</si>
  <si>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</si>
  <si>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</si>
  <si>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</si>
  <si>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</si>
  <si>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</si>
  <si>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</si>
  <si>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</si>
  <si>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</si>
  <si>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</si>
  <si>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</si>
  <si>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</si>
  <si>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</si>
  <si>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</si>
  <si>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</si>
  <si>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</si>
  <si>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</si>
  <si>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</si>
  <si>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</si>
  <si>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</si>
  <si>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</si>
  <si>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</si>
  <si>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</si>
  <si>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</si>
  <si>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</si>
  <si>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</si>
  <si>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</si>
  <si>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</si>
  <si>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</si>
  <si>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</si>
  <si>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</si>
  <si>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</si>
  <si>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</si>
  <si>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</si>
  <si>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</si>
  <si>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</si>
  <si>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</si>
  <si>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</si>
  <si>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</si>
  <si>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</si>
  <si>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</si>
  <si>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</si>
  <si>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</si>
  <si>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</si>
  <si>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</si>
  <si>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</si>
  <si>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</si>
  <si>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</si>
  <si>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</si>
  <si>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</si>
  <si>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</si>
  <si>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</si>
  <si>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</si>
  <si>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</si>
  <si>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</si>
  <si>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</si>
  <si>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</si>
  <si>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</si>
  <si>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</si>
  <si>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</si>
  <si>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</si>
  <si>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</si>
  <si>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</si>
  <si>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</si>
  <si>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</si>
  <si>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</si>
  <si>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</si>
  <si>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</si>
  <si>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</si>
  <si>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</si>
  <si>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</si>
  <si>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</si>
  <si>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</si>
  <si>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</si>
  <si>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</si>
  <si>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</si>
  <si>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</si>
  <si>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</si>
  <si>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</si>
  <si>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</si>
  <si>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</si>
  <si>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</si>
  <si>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</si>
  <si>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</si>
  <si>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</si>
  <si>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</si>
  <si>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</si>
  <si>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</si>
  <si>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</si>
  <si>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</si>
  <si>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</si>
  <si>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</si>
  <si>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</si>
  <si>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</si>
  <si>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</si>
  <si>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</si>
  <si>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</si>
  <si>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</si>
  <si>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</si>
  <si>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</si>
  <si>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</si>
  <si>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</si>
  <si>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</si>
  <si>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</si>
  <si>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</si>
  <si>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</si>
  <si>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</si>
  <si>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</si>
  <si>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</si>
  <si>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</si>
  <si>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</si>
  <si>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</si>
  <si>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</si>
  <si>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</si>
  <si>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</si>
  <si>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</si>
  <si>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</si>
  <si>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</si>
  <si>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</si>
  <si>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</si>
  <si>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</si>
  <si>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</si>
  <si>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</si>
  <si>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</si>
  <si>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</si>
  <si>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</si>
  <si>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</si>
  <si>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</si>
  <si>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</si>
  <si>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</si>
  <si>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</si>
  <si>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</si>
  <si>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</si>
  <si>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</si>
  <si>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</si>
  <si>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</si>
  <si>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</si>
  <si>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</si>
  <si>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</si>
  <si>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</si>
  <si>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</si>
  <si>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</si>
  <si>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</si>
  <si>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</si>
  <si>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</si>
  <si>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</si>
  <si>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</si>
  <si>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</si>
  <si>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</si>
  <si>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</si>
  <si>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</si>
  <si>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</si>
  <si>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</si>
  <si>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</si>
  <si>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</si>
  <si>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</si>
  <si>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</si>
  <si>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</si>
  <si>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</si>
  <si>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</si>
  <si>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</si>
  <si>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</si>
  <si>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</si>
  <si>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</si>
  <si>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</si>
  <si>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</si>
  <si>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</si>
  <si>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</si>
  <si>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</si>
  <si>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</si>
  <si>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</si>
  <si>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</si>
  <si>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</si>
  <si>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</si>
  <si>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</si>
  <si>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</si>
  <si>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</si>
  <si>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</si>
  <si>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</si>
  <si>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</si>
  <si>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</si>
  <si>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</si>
  <si>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</si>
  <si>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</si>
  <si>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</si>
  <si>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</si>
  <si>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</si>
  <si>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</si>
  <si>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</si>
  <si>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</si>
  <si>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</si>
  <si>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</si>
  <si>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</si>
  <si>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</si>
  <si>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</si>
  <si>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</si>
  <si>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</si>
  <si>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</si>
  <si>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</si>
  <si>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</si>
  <si>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</si>
  <si>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</si>
  <si>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</si>
  <si>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</si>
  <si>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</si>
  <si>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</si>
  <si>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</si>
  <si>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</si>
  <si>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</si>
  <si>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</si>
  <si>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</si>
  <si>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</si>
  <si>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</si>
  <si>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</si>
  <si>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</si>
  <si>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</si>
  <si>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</si>
  <si>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</si>
  <si>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</si>
  <si>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</si>
  <si>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</si>
  <si>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</si>
  <si>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</si>
  <si>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</si>
  <si>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</si>
  <si>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</si>
  <si>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</si>
  <si>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</si>
  <si>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</si>
  <si>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</si>
  <si>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</si>
  <si>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</si>
  <si>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</si>
  <si>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</si>
  <si>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</si>
  <si>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</si>
  <si>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</si>
  <si>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</si>
  <si>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</si>
  <si>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</si>
  <si>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</si>
  <si>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</si>
  <si>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</si>
  <si>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</si>
  <si>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</si>
  <si>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</si>
  <si>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</si>
  <si>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</si>
  <si>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</si>
  <si>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</si>
  <si>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</si>
  <si>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</si>
  <si>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</si>
  <si>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</si>
  <si>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</si>
  <si>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</si>
  <si>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</si>
  <si>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</si>
  <si>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</si>
  <si>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</si>
  <si>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</si>
  <si>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</si>
  <si>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</si>
  <si>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</si>
  <si>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</si>
  <si>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</si>
  <si>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</si>
  <si>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</si>
  <si>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</si>
  <si>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</si>
  <si>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</si>
  <si>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</si>
  <si>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</si>
  <si>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</si>
  <si>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</si>
  <si>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</si>
  <si>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</si>
  <si>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</si>
  <si>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</si>
  <si>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</si>
  <si>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</si>
  <si>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</si>
  <si>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</si>
  <si>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</si>
  <si>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</si>
  <si>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</si>
  <si>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</si>
  <si>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</si>
  <si>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</si>
  <si>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</si>
  <si>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</si>
  <si>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</si>
  <si>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</si>
  <si>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</si>
  <si>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</si>
  <si>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</si>
  <si>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</si>
  <si>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</si>
  <si>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</si>
  <si>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</si>
  <si>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</si>
  <si>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</si>
  <si>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</si>
  <si>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</si>
  <si>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</si>
  <si>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</si>
  <si>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</si>
  <si>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</si>
  <si>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</si>
  <si>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</si>
  <si>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</si>
  <si>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</si>
  <si>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</si>
  <si>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</si>
  <si>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</si>
  <si>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</si>
  <si>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</si>
  <si>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</si>
  <si>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</si>
  <si>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</si>
  <si>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</si>
  <si>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</si>
  <si>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</si>
  <si>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</si>
  <si>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</si>
  <si>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</si>
  <si>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</si>
  <si>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</si>
  <si>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</si>
  <si>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</si>
  <si>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</si>
  <si>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</si>
  <si>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</si>
  <si>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</si>
  <si>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</si>
  <si>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</si>
  <si>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</si>
  <si>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</si>
  <si>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</si>
  <si>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</si>
  <si>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</si>
  <si>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</si>
  <si>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</si>
  <si>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</si>
  <si>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</si>
  <si>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</si>
  <si>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</si>
  <si>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</si>
  <si>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</si>
  <si>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</si>
  <si>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</si>
  <si>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</si>
  <si>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</si>
  <si>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</si>
  <si>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</si>
  <si>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</si>
  <si>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</si>
  <si>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</si>
  <si>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</si>
  <si>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</si>
  <si>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</si>
  <si>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</si>
  <si>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</si>
  <si>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</si>
  <si>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</si>
  <si>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</si>
  <si>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</si>
  <si>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</si>
  <si>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</si>
  <si>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</si>
  <si>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</si>
  <si>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</si>
  <si>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</si>
  <si>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</si>
  <si>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</si>
  <si>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</si>
  <si>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</si>
  <si>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</si>
  <si>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</si>
  <si>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</si>
  <si>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</si>
  <si>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</si>
  <si>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</si>
  <si>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</si>
  <si>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</si>
  <si>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</si>
  <si>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</si>
  <si>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</si>
  <si>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</si>
  <si>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</si>
  <si>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</si>
  <si>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</si>
  <si>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</si>
  <si>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</si>
  <si>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</si>
  <si>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</si>
  <si>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</si>
  <si>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</si>
  <si>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</si>
  <si>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</si>
  <si>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</si>
  <si>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</si>
  <si>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</si>
  <si>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</si>
  <si>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</si>
  <si>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</si>
  <si>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</si>
  <si>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</si>
  <si>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</si>
  <si>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</si>
  <si>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</si>
  <si>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</si>
  <si>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</si>
  <si>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</si>
  <si>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</si>
  <si>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</si>
  <si>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</si>
  <si>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</si>
  <si>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</si>
  <si>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</si>
  <si>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</si>
  <si>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</si>
  <si>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</si>
  <si>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</si>
  <si>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</si>
  <si>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</si>
  <si>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</si>
  <si>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</si>
  <si>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</si>
  <si>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</si>
  <si>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</si>
  <si>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</si>
  <si>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</si>
  <si>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</si>
  <si>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</si>
  <si>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</si>
  <si>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</si>
  <si>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</si>
  <si>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</si>
  <si>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</si>
  <si>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</si>
  <si>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</si>
  <si>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</si>
  <si>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</si>
  <si>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</si>
  <si>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</si>
  <si>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</si>
  <si>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</si>
  <si>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</si>
  <si>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</si>
  <si>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</si>
  <si>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</si>
  <si>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</si>
  <si>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</si>
  <si>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</si>
  <si>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</si>
  <si>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</si>
  <si>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</si>
  <si>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</si>
  <si>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</si>
  <si>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</si>
  <si>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</si>
  <si>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</si>
  <si>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</si>
  <si>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</si>
  <si>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</si>
  <si>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</si>
  <si>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</si>
  <si>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</si>
  <si>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</si>
  <si>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</si>
  <si>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</si>
  <si>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</si>
  <si>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</si>
  <si>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</si>
  <si>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</si>
  <si>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</si>
  <si>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</si>
  <si>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</si>
  <si>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</si>
  <si>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</si>
  <si>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</si>
  <si>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</si>
  <si>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</si>
  <si>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</si>
  <si>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</si>
  <si>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</si>
  <si>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</si>
  <si>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</si>
  <si>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</si>
  <si>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</si>
  <si>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</si>
  <si>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</si>
  <si>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</si>
  <si>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</si>
  <si>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</si>
  <si>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</si>
  <si>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</si>
  <si>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</si>
  <si>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</si>
  <si>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</si>
  <si>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</si>
  <si>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</si>
  <si>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</si>
  <si>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</si>
  <si>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</si>
  <si>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</si>
  <si>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</si>
  <si>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</si>
  <si>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</si>
  <si>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</si>
  <si>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</si>
  <si>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</si>
  <si>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</si>
  <si>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</si>
  <si>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</si>
  <si>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</si>
  <si>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</si>
  <si>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</si>
  <si>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</si>
  <si>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</si>
  <si>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</si>
  <si>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</si>
  <si>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</si>
  <si>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</si>
  <si>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</si>
  <si>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</si>
  <si>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</si>
  <si>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</si>
  <si>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</si>
  <si>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</si>
  <si>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</si>
  <si>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</si>
  <si>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</si>
  <si>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</si>
  <si>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</si>
  <si>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</si>
  <si>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</si>
  <si>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</si>
  <si>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</si>
  <si>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</si>
  <si>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</si>
  <si>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</si>
  <si>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</si>
  <si>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</si>
  <si>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</si>
  <si>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</si>
  <si>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</si>
  <si>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</si>
  <si>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</si>
  <si>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</si>
  <si>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</si>
  <si>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</si>
  <si>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</si>
  <si>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</si>
  <si>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</si>
  <si>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</si>
  <si>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</si>
  <si>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</si>
  <si>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</si>
  <si>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</si>
  <si>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</si>
  <si>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</si>
  <si>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</si>
  <si>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</si>
  <si>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</si>
  <si>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</si>
  <si>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TargetTrain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</si>
  <si>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</si>
  <si>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</si>
  <si>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</si>
  <si>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</si>
  <si>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</si>
  <si>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</si>
  <si>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</si>
  <si>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</si>
  <si>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</si>
  <si>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</si>
  <si>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</si>
  <si>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</si>
  <si>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</si>
  <si>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</si>
  <si>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</si>
  <si>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</si>
  <si>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</si>
  <si>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</si>
  <si>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</si>
  <si>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</si>
  <si>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</si>
  <si>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</si>
  <si>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</si>
  <si>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</si>
  <si>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</si>
  <si>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</si>
  <si>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</si>
  <si>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</si>
  <si>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</si>
  <si>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</si>
  <si>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</si>
  <si>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</si>
  <si>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</si>
  <si>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</si>
  <si>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</si>
  <si>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</si>
  <si>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</si>
  <si>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</si>
  <si>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</si>
  <si>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</si>
  <si>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</si>
  <si>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</si>
  <si>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</si>
  <si>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</si>
  <si>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</si>
  <si>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</si>
  <si>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</si>
  <si>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</si>
  <si>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</si>
  <si>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</si>
  <si>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</si>
  <si>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</si>
  <si>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</si>
  <si>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</si>
  <si>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</si>
  <si>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</si>
  <si>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</si>
  <si>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</si>
  <si>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</si>
  <si>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</si>
  <si>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</si>
  <si>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</si>
  <si>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</si>
  <si>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</si>
  <si>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</si>
  <si>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</si>
  <si>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</si>
  <si>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</si>
  <si>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</si>
  <si>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</si>
  <si>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</si>
  <si>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</si>
  <si>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</si>
  <si>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</si>
  <si>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</si>
  <si>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</si>
  <si>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</si>
  <si>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</si>
  <si>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</si>
  <si>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</si>
  <si>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</si>
  <si>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</si>
  <si>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</si>
  <si>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</si>
  <si>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</si>
  <si>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</si>
  <si>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</si>
  <si>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</si>
  <si>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</si>
  <si>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</si>
  <si>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</si>
  <si>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</si>
  <si>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</si>
  <si>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</si>
  <si>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</si>
  <si>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</si>
  <si>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</si>
  <si>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</si>
  <si>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</si>
  <si>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</si>
  <si>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</si>
  <si>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</si>
  <si>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</si>
  <si>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</si>
  <si>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</si>
  <si>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</si>
  <si>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</si>
  <si>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</si>
  <si>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</si>
  <si>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</si>
  <si>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</si>
  <si>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</si>
  <si>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</si>
  <si>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</si>
  <si>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</si>
  <si>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</si>
  <si>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</si>
  <si>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</si>
  <si>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</si>
  <si>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</si>
  <si>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</si>
  <si>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</si>
  <si>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</si>
  <si>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</si>
  <si>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</si>
  <si>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</si>
  <si>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</si>
  <si>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</si>
  <si>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</si>
  <si>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</si>
  <si>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</si>
  <si>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</si>
  <si>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</si>
  <si>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</si>
  <si>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</si>
  <si>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</si>
  <si>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</si>
  <si>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</si>
  <si>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</si>
  <si>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</si>
  <si>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</si>
  <si>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</si>
  <si>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</si>
  <si>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</si>
  <si>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</si>
  <si>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</si>
  <si>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</si>
  <si>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</si>
  <si>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</si>
  <si>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</si>
  <si>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</si>
  <si>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</si>
  <si>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</si>
  <si>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</si>
  <si>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</si>
  <si>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</si>
  <si>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</si>
  <si>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</si>
  <si>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</si>
  <si>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</si>
  <si>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</si>
  <si>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</si>
  <si>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</si>
  <si>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</si>
  <si>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</si>
  <si>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</si>
  <si>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</si>
  <si>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</si>
  <si>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</si>
  <si>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</si>
  <si>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</si>
  <si>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</si>
  <si>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</si>
  <si>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</si>
  <si>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</si>
  <si>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</si>
  <si>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</si>
  <si>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</si>
  <si>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</si>
  <si>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</si>
  <si>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</si>
  <si>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</si>
  <si>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</si>
  <si>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</si>
  <si>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</si>
  <si>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</si>
  <si>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</si>
  <si>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</si>
  <si>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</si>
  <si>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</si>
  <si>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</si>
  <si>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</si>
  <si>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</si>
  <si>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</si>
  <si>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</si>
  <si>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</si>
  <si>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</si>
  <si>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</si>
  <si>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</si>
  <si>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</si>
  <si>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</si>
  <si>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</si>
  <si>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</si>
  <si>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</si>
  <si>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</si>
  <si>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</si>
  <si>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</si>
  <si>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</si>
  <si>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</si>
  <si>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</si>
  <si>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</si>
  <si>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</si>
  <si>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</si>
  <si>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</si>
  <si>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</si>
  <si>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</si>
  <si>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</si>
  <si>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</si>
  <si>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</si>
  <si>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</si>
  <si>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</si>
  <si>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</si>
  <si>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</si>
  <si>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</si>
  <si>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</si>
  <si>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</si>
  <si>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</si>
  <si>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</si>
  <si>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</si>
  <si>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</si>
  <si>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</si>
  <si>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</si>
  <si>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</si>
  <si>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</si>
  <si>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</si>
  <si>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</si>
  <si>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</si>
  <si>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</si>
  <si>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</si>
  <si>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</si>
  <si>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</si>
  <si>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</si>
  <si>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</si>
  <si>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</si>
  <si>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</si>
  <si>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</si>
  <si>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</si>
  <si>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</si>
  <si>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</si>
  <si>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</si>
  <si>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</si>
  <si>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</si>
  <si>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</si>
  <si>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</si>
  <si>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</si>
  <si>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</si>
  <si>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</si>
  <si>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</si>
  <si>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</si>
  <si>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</si>
  <si>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</si>
  <si>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</si>
  <si>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</si>
  <si>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</si>
  <si>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</si>
  <si>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</si>
  <si>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</si>
  <si>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</si>
  <si>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</si>
  <si>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</si>
  <si>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</si>
  <si>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</si>
  <si>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</si>
  <si>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</si>
  <si>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</si>
  <si>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</si>
  <si>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</si>
  <si>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</si>
  <si>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</si>
  <si>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</si>
  <si>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</si>
  <si>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</si>
  <si>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</si>
  <si>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</si>
  <si>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</si>
  <si>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</si>
  <si>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</si>
  <si>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</si>
  <si>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</si>
  <si>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</si>
  <si>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</si>
  <si>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</si>
  <si>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</si>
  <si>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</si>
  <si>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</si>
  <si>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</si>
  <si>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</si>
  <si>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</si>
  <si>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</si>
  <si>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</si>
  <si>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</si>
  <si>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</si>
  <si>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</si>
  <si>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</si>
  <si>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</si>
  <si>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</si>
  <si>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</si>
  <si>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</si>
  <si>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</si>
  <si>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</si>
  <si>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</si>
  <si>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</si>
  <si>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</si>
  <si>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</si>
  <si>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</si>
  <si>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</si>
  <si>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</si>
  <si>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</si>
  <si>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</si>
  <si>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</si>
  <si>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</si>
  <si>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</si>
  <si>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</si>
  <si>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</si>
  <si>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</si>
  <si>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</si>
  <si>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</si>
  <si>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</si>
  <si>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</si>
  <si>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</si>
  <si>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</si>
  <si>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</si>
  <si>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</si>
  <si>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</si>
  <si>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</si>
  <si>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</si>
  <si>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</si>
  <si>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</si>
  <si>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</si>
  <si>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</si>
  <si>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</si>
  <si>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</si>
  <si>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</si>
  <si>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</si>
  <si>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</si>
  <si>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</si>
  <si>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</si>
  <si>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</si>
  <si>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</si>
  <si>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</si>
  <si>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</si>
  <si>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</si>
  <si>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</si>
  <si>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</si>
  <si>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</si>
  <si>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</si>
  <si>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</si>
  <si>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</si>
  <si>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</si>
  <si>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</si>
  <si>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</si>
  <si>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</si>
  <si>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</si>
  <si>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</si>
  <si>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</si>
  <si>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</si>
  <si>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</si>
  <si>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</si>
  <si>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</si>
  <si>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</si>
  <si>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</si>
  <si>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</si>
  <si>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</si>
  <si>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</si>
  <si>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</si>
  <si>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</si>
  <si>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</si>
  <si>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</si>
  <si>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</si>
  <si>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</si>
  <si>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</si>
  <si>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</si>
  <si>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</si>
  <si>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</si>
  <si>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</si>
  <si>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</si>
  <si>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</si>
  <si>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</si>
  <si>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</si>
  <si>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</si>
  <si>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</si>
  <si>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</si>
  <si>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</si>
  <si>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</si>
  <si>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</si>
  <si>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</si>
  <si>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</si>
  <si>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</si>
  <si>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</si>
  <si>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</si>
  <si>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</si>
  <si>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</si>
  <si>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</si>
  <si>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</si>
  <si>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</si>
  <si>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</si>
  <si>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</si>
  <si>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</si>
  <si>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</si>
  <si>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</si>
  <si>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</si>
  <si>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</si>
  <si>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</si>
  <si>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</si>
  <si>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</si>
  <si>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</si>
  <si>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</si>
  <si>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</si>
  <si>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</si>
  <si>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</si>
  <si>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</si>
  <si>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</si>
  <si>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</si>
  <si>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</si>
  <si>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</si>
  <si>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</si>
  <si>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</si>
  <si>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</si>
  <si>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</si>
  <si>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</si>
  <si>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</si>
  <si>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</si>
  <si>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</si>
  <si>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</si>
  <si>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</si>
  <si>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</si>
  <si>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</si>
  <si>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</si>
  <si>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</si>
  <si>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</si>
  <si>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</si>
  <si>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</si>
  <si>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</si>
  <si>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</si>
  <si>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</si>
  <si>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</si>
  <si>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</si>
  <si>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</si>
  <si>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</si>
  <si>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</si>
  <si>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</si>
  <si>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</si>
  <si>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</si>
  <si>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</si>
  <si>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</si>
  <si>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</si>
  <si>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</si>
  <si>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</si>
  <si>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</si>
  <si>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</si>
  <si>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</si>
  <si>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</si>
  <si>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</si>
  <si>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</si>
  <si>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</si>
  <si>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</si>
  <si>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</si>
  <si>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</si>
  <si>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</si>
  <si>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</si>
  <si>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</si>
  <si>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</si>
  <si>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</si>
  <si>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</si>
  <si>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</si>
  <si>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</si>
  <si>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</si>
  <si>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</si>
  <si>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</si>
  <si>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</si>
  <si>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</si>
  <si>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</si>
  <si>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</si>
  <si>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</si>
  <si>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</si>
  <si>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</si>
  <si>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</si>
  <si>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</si>
  <si>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</si>
  <si>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</si>
  <si>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</si>
  <si>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</si>
  <si>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</si>
  <si>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</si>
  <si>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</si>
  <si>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</si>
  <si>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</si>
  <si>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</si>
  <si>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</si>
  <si>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</si>
  <si>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</si>
  <si>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</si>
  <si>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</si>
  <si>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</si>
  <si>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</si>
  <si>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</si>
  <si>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</si>
  <si>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</si>
  <si>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</si>
  <si>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</si>
  <si>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</si>
  <si>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</si>
  <si>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</si>
  <si>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</si>
  <si>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</si>
  <si>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</si>
  <si>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</si>
  <si>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</si>
  <si>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</si>
  <si>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</si>
  <si>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</si>
  <si>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</si>
  <si>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</si>
  <si>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</si>
  <si>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</si>
  <si>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</si>
  <si>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</si>
  <si>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</si>
  <si>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</si>
  <si>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</si>
  <si>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</si>
  <si>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</si>
  <si>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</si>
  <si>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</si>
  <si>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</si>
  <si>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</si>
  <si>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</si>
  <si>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</si>
  <si>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</si>
  <si>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</si>
  <si>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</si>
  <si>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</si>
  <si>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</si>
  <si>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</si>
  <si>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</si>
  <si>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</si>
  <si>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</si>
  <si>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</si>
  <si>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</si>
  <si>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</si>
  <si>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</si>
  <si>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</si>
  <si>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</si>
  <si>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</si>
  <si>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</si>
  <si>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</si>
  <si>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</si>
  <si>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</si>
  <si>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</si>
  <si>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</si>
  <si>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</si>
  <si>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</si>
  <si>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</si>
  <si>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</si>
  <si>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</si>
  <si>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</si>
  <si>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</si>
  <si>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</si>
  <si>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</si>
  <si>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</si>
  <si>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</si>
  <si>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</si>
  <si>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</si>
  <si>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</si>
  <si>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</si>
  <si>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</si>
  <si>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</si>
  <si>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</si>
  <si>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</si>
  <si>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</si>
  <si>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</si>
  <si>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</si>
  <si>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</si>
  <si>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</si>
  <si>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</si>
  <si>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</si>
  <si>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</si>
  <si>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</si>
  <si>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</si>
  <si>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</si>
  <si>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</si>
  <si>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</si>
  <si>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</si>
  <si>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</si>
  <si>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</si>
  <si>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</si>
  <si>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</si>
  <si>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</si>
  <si>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</si>
  <si>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</si>
  <si>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</si>
  <si>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</si>
  <si>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</si>
  <si>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</si>
  <si>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</si>
  <si>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</si>
  <si>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</si>
  <si>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</si>
  <si>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</si>
  <si>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</si>
  <si>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</si>
  <si>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</si>
  <si>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</si>
  <si>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</si>
  <si>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</si>
  <si>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</si>
  <si>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</si>
  <si>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</si>
  <si>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</si>
  <si>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</si>
  <si>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</si>
  <si>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</si>
  <si>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</si>
  <si>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</si>
  <si>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</si>
  <si>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</si>
  <si>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</si>
  <si>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</si>
  <si>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</si>
  <si>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</si>
  <si>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</si>
  <si>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</si>
  <si>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</si>
  <si>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</si>
  <si>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</si>
  <si>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</si>
  <si>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</si>
  <si>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</si>
  <si>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</si>
  <si>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</si>
  <si>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</si>
  <si>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</si>
  <si>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</si>
  <si>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</si>
  <si>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</si>
  <si>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</si>
  <si>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</si>
  <si>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</si>
  <si>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</si>
  <si>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</si>
  <si>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</si>
  <si>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</si>
  <si>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</si>
  <si>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</si>
  <si>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</si>
  <si>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</si>
  <si>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</si>
  <si>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</si>
  <si>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</si>
  <si>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</si>
  <si>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</si>
  <si>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</si>
  <si>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</si>
  <si>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</si>
  <si>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</si>
  <si>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</si>
  <si>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</si>
  <si>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</si>
  <si>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</si>
  <si>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</si>
  <si>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</si>
  <si>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</si>
  <si>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</si>
  <si>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</si>
  <si>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</si>
  <si>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</si>
  <si>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</si>
  <si>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</si>
  <si>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</si>
  <si>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</si>
  <si>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</si>
  <si>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</si>
  <si>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</si>
  <si>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</si>
  <si>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</si>
  <si>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</si>
  <si>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</si>
  <si>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</si>
  <si>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</si>
  <si>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</si>
  <si>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</si>
  <si>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</si>
  <si>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</si>
  <si>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</si>
  <si>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</si>
  <si>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</si>
  <si>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</si>
  <si>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</si>
  <si>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</si>
  <si>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</si>
  <si>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</si>
  <si>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</si>
  <si>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</si>
  <si>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</si>
  <si>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</si>
  <si>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</si>
  <si>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</si>
  <si>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</si>
  <si>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</si>
  <si>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</si>
  <si>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</si>
  <si>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</si>
  <si>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</si>
  <si>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</si>
  <si>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</si>
  <si>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</si>
  <si>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</si>
  <si>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</si>
  <si>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</si>
  <si>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</si>
  <si>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</si>
  <si>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</si>
  <si>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</si>
  <si>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</si>
  <si>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</si>
  <si>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</si>
  <si>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</si>
  <si>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</si>
  <si>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</si>
  <si>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</si>
  <si>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</si>
  <si>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</si>
  <si>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</si>
  <si>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</si>
  <si>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</si>
  <si>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</si>
  <si>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</si>
  <si>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</si>
  <si>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</si>
  <si>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</si>
  <si>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</si>
  <si>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</si>
  <si>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</si>
  <si>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</si>
  <si>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</si>
  <si>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</si>
  <si>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</si>
  <si>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</si>
  <si>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</si>
  <si>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</si>
  <si>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</si>
  <si>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</si>
  <si>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</si>
  <si>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</si>
  <si>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</si>
  <si>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</si>
  <si>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</si>
  <si>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</si>
  <si>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</si>
  <si>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</si>
  <si>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</si>
  <si>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</si>
  <si>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</si>
  <si>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</si>
  <si>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</si>
  <si>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</si>
  <si>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</si>
  <si>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</si>
  <si>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</si>
  <si>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</si>
  <si>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</si>
  <si>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</si>
  <si>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</si>
  <si>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</si>
  <si>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</si>
  <si>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</si>
  <si>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</si>
  <si>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</si>
  <si>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</si>
  <si>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</si>
  <si>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</si>
  <si>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</si>
  <si>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</si>
  <si>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</si>
  <si>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</si>
  <si>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</si>
  <si>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</si>
  <si>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</si>
  <si>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</si>
  <si>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</si>
  <si>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</si>
  <si>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</si>
  <si>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</si>
  <si>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</si>
  <si>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</si>
  <si>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</si>
  <si>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</si>
  <si>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</si>
  <si>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</si>
  <si>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</si>
  <si>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</si>
  <si>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</si>
  <si>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</si>
  <si>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</si>
  <si>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</si>
  <si>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</si>
  <si>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</si>
  <si>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</si>
  <si>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</si>
  <si>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</si>
  <si>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</si>
  <si>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</si>
  <si>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</si>
  <si>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</si>
  <si>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</si>
  <si>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</si>
  <si>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</si>
  <si>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</si>
  <si>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</si>
  <si>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</si>
  <si>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</si>
  <si>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</si>
  <si>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</si>
  <si>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</si>
  <si>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</si>
  <si>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</si>
  <si>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</si>
  <si>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</si>
  <si>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</si>
  <si>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</si>
  <si>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</si>
  <si>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</si>
  <si>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</si>
  <si>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</si>
  <si>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</si>
  <si>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</si>
  <si>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</si>
  <si>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</si>
  <si>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</si>
  <si>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</si>
  <si>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</si>
  <si>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</si>
  <si>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</si>
  <si>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</si>
  <si>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</si>
  <si>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</si>
  <si>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</si>
  <si>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</si>
  <si>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</si>
  <si>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</si>
  <si>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</si>
  <si>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</si>
  <si>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</si>
  <si>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</si>
  <si>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</si>
  <si>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</si>
  <si>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</si>
  <si>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</si>
  <si>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</si>
  <si>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</si>
  <si>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</si>
  <si>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</si>
  <si>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</si>
  <si>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</si>
  <si>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</si>
  <si>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</si>
  <si>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</si>
  <si>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</si>
  <si>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</si>
  <si>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</si>
  <si>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</si>
  <si>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</si>
  <si>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</si>
  <si>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</si>
  <si>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</si>
  <si>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</si>
  <si>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</si>
  <si>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</si>
  <si>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</si>
  <si>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</si>
  <si>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</si>
  <si>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</si>
  <si>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</si>
  <si>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</si>
  <si>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</si>
  <si>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</si>
  <si>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</si>
  <si>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</si>
  <si>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</si>
  <si>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</si>
  <si>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</si>
  <si>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</si>
  <si>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</si>
  <si>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</si>
  <si>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</si>
  <si>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</si>
  <si>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</si>
  <si>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</si>
  <si>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</si>
  <si>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</si>
  <si>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</si>
  <si>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</si>
  <si>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</si>
  <si>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</si>
  <si>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</si>
  <si>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</si>
  <si>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</si>
  <si>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</si>
  <si>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</si>
  <si>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</si>
  <si>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</si>
  <si>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</si>
  <si>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</si>
  <si>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</si>
  <si>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</si>
  <si>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</si>
  <si>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</si>
  <si>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</si>
  <si>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</si>
  <si>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</si>
  <si>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</si>
  <si>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</si>
  <si>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</si>
  <si>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</si>
  <si>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</si>
  <si>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</si>
  <si>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</si>
  <si>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</si>
  <si>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</si>
  <si>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</si>
  <si>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</si>
  <si>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</si>
  <si>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</si>
  <si>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</si>
  <si>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</si>
  <si>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</si>
  <si>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</si>
  <si>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</si>
  <si>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</si>
  <si>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</si>
  <si>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</si>
  <si>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</si>
  <si>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</si>
  <si>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</si>
  <si>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</si>
  <si>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</si>
  <si>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</si>
  <si>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</si>
  <si>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</si>
  <si>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</si>
  <si>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</si>
  <si>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</si>
  <si>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</si>
  <si>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</si>
  <si>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</si>
  <si>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</si>
  <si>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</si>
  <si>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</si>
  <si>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</si>
  <si>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</si>
  <si>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</si>
  <si>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</si>
  <si>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</si>
  <si>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</si>
  <si>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</si>
  <si>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</si>
  <si>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</si>
  <si>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</si>
  <si>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</si>
  <si>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</si>
  <si>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</si>
  <si>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</si>
  <si>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</si>
  <si>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</si>
  <si>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</si>
  <si>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</si>
  <si>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</si>
  <si>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</si>
  <si>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</si>
  <si>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</si>
  <si>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</si>
  <si>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</si>
  <si>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</si>
  <si>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</si>
  <si>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</si>
  <si>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</si>
  <si>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</si>
  <si>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</si>
  <si>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</si>
  <si>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</si>
  <si>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</si>
  <si>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</si>
  <si>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</si>
  <si>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</si>
  <si>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</si>
  <si>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</si>
  <si>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</si>
  <si>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</si>
  <si>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</si>
  <si>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</si>
  <si>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</si>
  <si>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</si>
  <si>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</si>
  <si>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</si>
  <si>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</si>
  <si>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</si>
  <si>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</si>
  <si>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</si>
  <si>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</si>
  <si>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</si>
  <si>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</si>
  <si>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</si>
  <si>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</si>
  <si>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</si>
  <si>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</si>
  <si>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</si>
  <si>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</si>
  <si>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</si>
  <si>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</si>
  <si>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</si>
  <si>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</si>
  <si>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</si>
  <si>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</si>
  <si>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</si>
  <si>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</si>
  <si>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</si>
  <si>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</si>
  <si>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</si>
  <si>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</si>
  <si>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</si>
  <si>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</si>
  <si>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</si>
  <si>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</si>
  <si>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</si>
  <si>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</si>
  <si>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</si>
  <si>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</si>
  <si>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</si>
  <si>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</si>
  <si>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</si>
  <si>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</si>
  <si>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</si>
  <si>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</si>
  <si>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</si>
  <si>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</si>
  <si>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</si>
  <si>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</si>
  <si>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</si>
  <si>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</si>
  <si>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</si>
  <si>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</si>
  <si>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</si>
  <si>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</si>
  <si>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</si>
  <si>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</si>
  <si>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</si>
  <si>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</si>
  <si>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</si>
  <si>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</si>
  <si>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</si>
  <si>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</si>
  <si>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</si>
  <si>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</si>
  <si>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</si>
  <si>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</si>
  <si>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</si>
  <si>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</si>
  <si>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</si>
  <si>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</si>
  <si>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</si>
  <si>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</si>
  <si>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</si>
  <si>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</si>
  <si>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</si>
  <si>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</si>
  <si>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</si>
  <si>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</si>
  <si>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</si>
  <si>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</si>
  <si>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</si>
  <si>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</si>
  <si>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</si>
  <si>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</si>
  <si>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</si>
  <si>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</si>
  <si>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</si>
  <si>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</si>
  <si>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</si>
  <si>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</si>
  <si>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</si>
  <si>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</si>
  <si>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</si>
  <si>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</si>
  <si>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</si>
  <si>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</si>
  <si>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</si>
  <si>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</si>
  <si>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</si>
  <si>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</si>
  <si>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</si>
  <si>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</si>
  <si>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</si>
  <si>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</si>
  <si>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</si>
  <si>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</si>
  <si>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</si>
  <si>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</si>
  <si>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</si>
  <si>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</si>
  <si>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</si>
  <si>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</si>
  <si>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</si>
  <si>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</si>
  <si>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</si>
  <si>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</si>
  <si>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</si>
  <si>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</si>
  <si>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</si>
  <si>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</si>
  <si>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</si>
  <si>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</si>
  <si>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</si>
  <si>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</si>
  <si>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</si>
  <si>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</si>
  <si>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</si>
  <si>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</si>
  <si>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</si>
  <si>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</si>
  <si>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</si>
  <si>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</si>
  <si>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</si>
  <si>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</si>
  <si>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</si>
  <si>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</si>
  <si>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</si>
  <si>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</si>
  <si>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</si>
  <si>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</si>
  <si>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</si>
  <si>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</si>
  <si>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</si>
  <si>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</si>
  <si>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</si>
  <si>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</si>
  <si>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</si>
  <si>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</si>
  <si>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</si>
  <si>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</si>
  <si>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</si>
  <si>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</si>
  <si>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</si>
  <si>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</si>
  <si>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</si>
  <si>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</si>
  <si>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</si>
  <si>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</si>
  <si>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</si>
  <si>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</si>
  <si>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</si>
  <si>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</si>
  <si>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</si>
  <si>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</si>
  <si>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</si>
  <si>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</si>
  <si>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</si>
  <si>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</si>
  <si>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</si>
  <si>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</si>
  <si>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</si>
  <si>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</si>
  <si>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</si>
  <si>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</si>
  <si>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</si>
  <si>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</si>
  <si>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</si>
  <si>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</si>
  <si>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</si>
  <si>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</si>
  <si>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</si>
  <si>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</si>
  <si>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</si>
  <si>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</si>
  <si>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</si>
  <si>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</si>
  <si>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</si>
  <si>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</si>
  <si>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</si>
  <si>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</si>
  <si>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</si>
  <si>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</si>
  <si>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</si>
  <si>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</si>
  <si>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</si>
  <si>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</si>
  <si>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</si>
  <si>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</si>
  <si>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</si>
  <si>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</si>
  <si>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</si>
  <si>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</si>
  <si>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</si>
  <si>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</si>
  <si>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</si>
  <si>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</si>
  <si>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</si>
  <si>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</si>
  <si>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</si>
  <si>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</si>
  <si>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</si>
  <si>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</si>
  <si>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</si>
  <si>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</si>
  <si>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</si>
  <si>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</si>
  <si>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</si>
  <si>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</si>
  <si>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</si>
  <si>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</si>
  <si>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</si>
  <si>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</si>
  <si>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</si>
  <si>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</si>
  <si>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</si>
  <si>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</si>
  <si>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</si>
  <si>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</si>
  <si>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</si>
  <si>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</si>
  <si>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</si>
  <si>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</si>
  <si>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</si>
  <si>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</si>
  <si>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</si>
  <si>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</si>
  <si>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</si>
  <si>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</si>
  <si>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</si>
  <si>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</si>
  <si>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</si>
  <si>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</si>
  <si>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</si>
  <si>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</si>
  <si>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</si>
  <si>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</si>
  <si>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</si>
  <si>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</si>
  <si>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</si>
  <si>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</si>
  <si>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</si>
  <si>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</si>
  <si>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</si>
  <si>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</si>
  <si>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</si>
  <si>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</si>
  <si>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</si>
  <si>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</si>
  <si>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</si>
  <si>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</si>
  <si>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</si>
  <si>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</si>
  <si>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</si>
  <si>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</si>
  <si>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</si>
  <si>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</si>
  <si>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</si>
  <si>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</si>
  <si>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</si>
  <si>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</si>
  <si>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</si>
  <si>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</si>
  <si>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</si>
  <si>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</si>
  <si>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</si>
  <si>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</si>
  <si>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</si>
  <si>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</si>
  <si>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</si>
  <si>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</si>
  <si>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</si>
  <si>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</si>
  <si>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</si>
  <si>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</si>
  <si>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</si>
  <si>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</si>
  <si>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</si>
  <si>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</si>
  <si>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</si>
  <si>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</si>
  <si>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</si>
  <si>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</si>
  <si>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</si>
  <si>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</si>
  <si>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</si>
  <si>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</si>
  <si>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</si>
  <si>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</si>
  <si>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</si>
  <si>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</si>
  <si>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</si>
  <si>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</si>
  <si>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</si>
  <si>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</si>
  <si>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</si>
  <si>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</si>
  <si>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</si>
  <si>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</si>
  <si>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</si>
  <si>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</si>
  <si>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</si>
  <si>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</si>
  <si>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</si>
  <si>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</si>
  <si>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</si>
  <si>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</si>
  <si>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</si>
  <si>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</si>
  <si>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</si>
  <si>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</si>
  <si>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</si>
  <si>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</si>
  <si>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</si>
  <si>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</si>
  <si>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</si>
  <si>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</si>
  <si>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</si>
  <si>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</si>
  <si>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</si>
  <si>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</si>
  <si>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</si>
  <si>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</si>
  <si>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</si>
  <si>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</si>
  <si>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</si>
  <si>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</si>
  <si>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</si>
  <si>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</si>
  <si>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</si>
  <si>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</si>
  <si>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</si>
  <si>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</si>
  <si>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</si>
  <si>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</si>
  <si>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</si>
  <si>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</si>
  <si>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</si>
  <si>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</si>
  <si>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</si>
  <si>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</si>
  <si>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</si>
  <si>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</si>
  <si>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</si>
  <si>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</si>
  <si>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</si>
  <si>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</si>
  <si>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</si>
  <si>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</si>
  <si>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</si>
  <si>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</si>
  <si>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</si>
  <si>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</si>
  <si>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</si>
  <si>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</si>
  <si>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</si>
  <si>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</si>
  <si>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</si>
  <si>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</si>
  <si>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</si>
  <si>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</si>
  <si>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</si>
  <si>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</si>
  <si>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</si>
  <si>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</si>
  <si>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</si>
  <si>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</si>
  <si>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</si>
  <si>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</si>
  <si>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</si>
  <si>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</si>
  <si>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</si>
  <si>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</si>
  <si>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</si>
  <si>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</si>
  <si>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</si>
  <si>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</si>
  <si>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</si>
  <si>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</si>
  <si>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</si>
  <si>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</si>
  <si>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</si>
  <si>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</si>
  <si>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</si>
  <si>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</si>
  <si>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</si>
  <si>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</si>
  <si>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</si>
  <si>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</si>
  <si>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</si>
  <si>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</si>
  <si>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</si>
  <si>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</si>
  <si>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</si>
  <si>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</si>
  <si>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</si>
  <si>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</si>
  <si>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</si>
  <si>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</si>
  <si>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</si>
  <si>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</si>
  <si>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</si>
  <si>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</si>
  <si>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</si>
  <si>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</si>
  <si>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</si>
  <si>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</si>
  <si>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</si>
  <si>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</si>
  <si>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</si>
  <si>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</si>
  <si>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</si>
  <si>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</si>
  <si>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</si>
  <si>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</si>
  <si>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</si>
  <si>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</si>
  <si>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</si>
  <si>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</si>
  <si>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</si>
  <si>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</si>
  <si>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</si>
  <si>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</si>
  <si>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</si>
  <si>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</si>
  <si>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</si>
  <si>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</si>
  <si>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</si>
  <si>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</si>
  <si>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</si>
  <si>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</si>
  <si>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</si>
  <si>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</si>
  <si>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</si>
  <si>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</si>
  <si>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</si>
  <si>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</si>
  <si>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</si>
  <si>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</si>
  <si>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</si>
  <si>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</si>
  <si>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</si>
  <si>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</si>
  <si>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</si>
  <si>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</si>
  <si>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</si>
  <si>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</si>
  <si>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</si>
  <si>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</si>
  <si>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</si>
  <si>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</si>
  <si>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</si>
  <si>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</si>
  <si>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</si>
  <si>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</si>
  <si>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</si>
  <si>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</si>
  <si>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</si>
  <si>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</si>
  <si>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</si>
  <si>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</si>
  <si>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</si>
  <si>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</si>
  <si>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</si>
  <si>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</si>
  <si>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</si>
  <si>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</si>
  <si>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</si>
  <si>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</si>
  <si>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</si>
  <si>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</si>
  <si>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</si>
  <si>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</si>
  <si>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</si>
  <si>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</si>
  <si>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</si>
  <si>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</si>
  <si>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</si>
  <si>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</si>
  <si>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</si>
  <si>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</si>
  <si>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</si>
  <si>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</si>
  <si>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</si>
  <si>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</si>
  <si>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</si>
  <si>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</si>
  <si>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</si>
  <si>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</si>
  <si>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</si>
  <si>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</si>
  <si>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</si>
  <si>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</si>
  <si>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</si>
  <si>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</si>
  <si>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</si>
  <si>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</si>
  <si>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</si>
  <si>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</si>
  <si>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</si>
  <si>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</si>
  <si>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</si>
  <si>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</si>
  <si>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</si>
  <si>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</si>
  <si>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</si>
  <si>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</si>
  <si>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</si>
  <si>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</si>
  <si>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</si>
  <si>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</si>
  <si>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</si>
  <si>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</si>
  <si>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</si>
  <si>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</si>
  <si>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</si>
  <si>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</si>
  <si>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</si>
  <si>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</si>
  <si>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</si>
  <si>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</si>
  <si>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</si>
  <si>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</si>
  <si>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</si>
  <si>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</si>
  <si>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</si>
  <si>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</si>
  <si>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</si>
  <si>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</si>
  <si>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</si>
  <si>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</si>
  <si>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</si>
  <si>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</si>
  <si>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</si>
  <si>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</si>
  <si>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</si>
  <si>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</si>
  <si>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</si>
  <si>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</si>
  <si>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</si>
  <si>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</si>
  <si>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</si>
  <si>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</si>
  <si>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</si>
  <si>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</si>
  <si>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</si>
  <si>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</si>
  <si>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</si>
  <si>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</si>
  <si>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</si>
  <si>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</si>
  <si>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</si>
  <si>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</si>
  <si>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</si>
  <si>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</si>
  <si>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</si>
  <si>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</si>
  <si>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</si>
  <si>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</si>
  <si>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</si>
  <si>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</si>
  <si>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</si>
  <si>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</si>
  <si>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</si>
  <si>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</si>
  <si>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</si>
  <si>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</si>
  <si>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</si>
  <si>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</si>
  <si>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</si>
  <si>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</si>
  <si>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</si>
  <si>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</si>
  <si>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</si>
  <si>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</si>
  <si>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</si>
  <si>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</si>
  <si>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</si>
  <si>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</si>
  <si>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</si>
  <si>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</si>
  <si>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</si>
  <si>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</si>
  <si>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</si>
  <si>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</si>
  <si>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</si>
  <si>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</si>
  <si>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</si>
  <si>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</si>
  <si>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</si>
  <si>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</si>
  <si>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</si>
  <si>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</si>
  <si>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</si>
  <si>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</si>
  <si>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</si>
  <si>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</si>
  <si>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</si>
  <si>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</si>
  <si>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</si>
  <si>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</si>
  <si>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</si>
  <si>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</si>
  <si>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</si>
  <si>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</si>
  <si>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</si>
  <si>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</si>
  <si>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</si>
  <si>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</si>
  <si>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</si>
  <si>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</si>
  <si>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</si>
  <si>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</si>
  <si>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</si>
  <si>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</si>
  <si>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</si>
  <si>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</si>
  <si>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</si>
  <si>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</si>
  <si>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</si>
  <si>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</si>
  <si>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</si>
  <si>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</si>
  <si>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</si>
  <si>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</si>
  <si>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</si>
  <si>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</si>
  <si>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</si>
  <si>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</si>
  <si>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</si>
  <si>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</si>
  <si>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</si>
  <si>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</si>
  <si>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</si>
  <si>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</si>
  <si>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</si>
  <si>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</si>
  <si>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</si>
  <si>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</si>
  <si>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</si>
  <si>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</si>
  <si>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</si>
  <si>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</si>
  <si>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</si>
  <si>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</si>
  <si>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</si>
  <si>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</si>
  <si>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</si>
  <si>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</si>
  <si>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</si>
  <si>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</si>
  <si>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</si>
  <si>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</si>
  <si>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</si>
  <si>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</si>
  <si>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</si>
  <si>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</si>
  <si>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</si>
  <si>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</si>
  <si>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</si>
  <si>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</si>
  <si>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</si>
  <si>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</si>
  <si>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</si>
  <si>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</si>
  <si>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</si>
  <si>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</si>
  <si>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</si>
  <si>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</si>
  <si>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</si>
  <si>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</si>
  <si>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</si>
  <si>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</si>
  <si>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</si>
  <si>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</si>
  <si>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</si>
  <si>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</si>
  <si>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</si>
  <si>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</si>
  <si>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</si>
  <si>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</si>
  <si>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</si>
  <si>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</si>
  <si>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</si>
  <si>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</si>
  <si>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</si>
  <si>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</si>
  <si>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</si>
  <si>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</si>
  <si>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</si>
  <si>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</si>
  <si>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</si>
  <si>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</si>
  <si>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</si>
  <si>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</si>
  <si>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</si>
  <si>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</si>
  <si>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</si>
  <si>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</si>
  <si>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</si>
  <si>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</si>
  <si>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</si>
  <si>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</si>
  <si>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</si>
  <si>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</si>
  <si>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</si>
  <si>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</si>
  <si>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</si>
  <si>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</si>
  <si>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</si>
  <si>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</si>
  <si>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</si>
  <si>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</si>
  <si>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</si>
  <si>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</si>
  <si>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</si>
  <si>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</si>
  <si>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</si>
  <si>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</si>
  <si>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</si>
  <si>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</si>
  <si>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</si>
  <si>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</si>
  <si>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</si>
  <si>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</si>
  <si>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</si>
  <si>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</si>
  <si>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</si>
  <si>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</si>
  <si>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</si>
  <si>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</si>
  <si>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</si>
  <si>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</si>
  <si>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</si>
  <si>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</si>
  <si>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</si>
  <si>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</si>
  <si>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</si>
  <si>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</si>
  <si>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</si>
  <si>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</si>
  <si>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</si>
  <si>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</si>
  <si>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</si>
  <si>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</si>
  <si>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</si>
  <si>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</si>
  <si>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</si>
  <si>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</si>
  <si>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</si>
  <si>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</si>
  <si>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</si>
  <si>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</si>
  <si>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</si>
  <si>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</si>
  <si>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</si>
  <si>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</si>
  <si>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</si>
  <si>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</si>
  <si>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</si>
  <si>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</si>
  <si>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</si>
  <si>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</si>
  <si>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</si>
  <si>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</si>
  <si>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</si>
  <si>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</si>
  <si>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</si>
  <si>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</si>
  <si>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</si>
  <si>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</si>
  <si>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</si>
  <si>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</si>
  <si>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</si>
  <si>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</si>
  <si>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</si>
  <si>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</si>
  <si>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</si>
  <si>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</si>
  <si>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</si>
  <si>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</si>
  <si>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</si>
  <si>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</si>
  <si>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</si>
  <si>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</si>
  <si>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</si>
  <si>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</si>
  <si>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</si>
  <si>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</si>
  <si>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</si>
  <si>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</si>
  <si>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</si>
  <si>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</si>
  <si>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</si>
  <si>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</si>
  <si>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</si>
  <si>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</si>
  <si>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</si>
  <si>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</si>
  <si>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</si>
  <si>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</si>
  <si>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</si>
  <si>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</si>
  <si>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</si>
  <si>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</si>
  <si>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</si>
  <si>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</si>
  <si>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</si>
  <si>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</si>
  <si>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</si>
  <si>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</si>
  <si>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</si>
  <si>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</si>
  <si>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</si>
  <si>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</si>
  <si>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</si>
  <si>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</si>
  <si>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</si>
  <si>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</si>
  <si>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</si>
  <si>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</si>
  <si>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</si>
  <si>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</si>
  <si>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</si>
  <si>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</si>
  <si>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</si>
  <si>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</si>
  <si>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</si>
  <si>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</si>
  <si>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</si>
  <si>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</si>
  <si>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</si>
  <si>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</si>
  <si>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</si>
  <si>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</si>
  <si>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</si>
  <si>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</si>
  <si>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</si>
  <si>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</si>
  <si>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</si>
  <si>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</si>
  <si>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</si>
  <si>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</si>
  <si>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</si>
  <si>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</si>
  <si>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</si>
  <si>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</si>
  <si>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</si>
  <si>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</si>
  <si>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</si>
  <si>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</si>
  <si>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</si>
  <si>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</si>
  <si>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</si>
  <si>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</si>
  <si>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</si>
  <si>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</si>
  <si>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</si>
  <si>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</si>
  <si>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</si>
  <si>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</si>
  <si>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</si>
  <si>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</si>
  <si>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</si>
  <si>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</si>
  <si>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</si>
  <si>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</si>
  <si>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</si>
  <si>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</si>
  <si>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</si>
  <si>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</si>
  <si>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</si>
  <si>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</si>
  <si>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</si>
  <si>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</si>
  <si>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</si>
  <si>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</si>
  <si>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</si>
  <si>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</si>
  <si>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</si>
  <si>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</si>
  <si>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</si>
  <si>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</si>
  <si>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</si>
  <si>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</si>
  <si>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</si>
  <si>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</si>
  <si>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</si>
  <si>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</si>
  <si>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</si>
  <si>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</si>
  <si>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</si>
  <si>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</si>
  <si>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</si>
  <si>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</si>
  <si>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</si>
  <si>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</si>
  <si>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</si>
  <si>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</si>
  <si>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</si>
  <si>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</si>
  <si>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</si>
  <si>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</si>
  <si>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</si>
  <si>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</si>
  <si>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</si>
  <si>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</si>
  <si>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</si>
  <si>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</si>
  <si>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</si>
  <si>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</si>
  <si>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</si>
  <si>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</si>
  <si>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</si>
  <si>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</si>
  <si>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</si>
  <si>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</si>
  <si>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</si>
  <si>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</si>
  <si>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</si>
  <si>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</si>
  <si>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</si>
  <si>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</si>
  <si>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</si>
  <si>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</si>
  <si>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</si>
  <si>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</si>
  <si>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</si>
  <si>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</si>
  <si>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</si>
  <si>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</si>
  <si>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</si>
  <si>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</si>
  <si>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</si>
  <si>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</si>
  <si>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</si>
  <si>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</si>
  <si>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</si>
  <si>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</si>
  <si>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</si>
  <si>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</si>
  <si>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</si>
  <si>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</si>
  <si>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</si>
  <si>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</si>
  <si>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</si>
  <si>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</si>
  <si>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</si>
  <si>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</si>
  <si>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</si>
  <si>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</si>
  <si>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</si>
  <si>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</si>
  <si>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</si>
  <si>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</si>
  <si>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</si>
  <si>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</si>
  <si>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</si>
  <si>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</si>
  <si>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</si>
  <si>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</si>
  <si>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</si>
  <si>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</si>
  <si>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</si>
  <si>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</si>
  <si>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</si>
  <si>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</si>
  <si>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</si>
  <si>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</si>
  <si>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</si>
  <si>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</si>
  <si>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</si>
  <si>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</si>
  <si>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</si>
  <si>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</si>
  <si>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</si>
  <si>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</si>
  <si>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</si>
  <si>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</si>
  <si>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</si>
  <si>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</si>
  <si>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</si>
  <si>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</si>
  <si>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</si>
  <si>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</si>
  <si>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</si>
  <si>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</si>
  <si>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</si>
  <si>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</si>
  <si>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</si>
  <si>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</si>
  <si>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</si>
  <si>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</si>
  <si>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</si>
  <si>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</si>
  <si>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</si>
  <si>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</si>
  <si>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</si>
  <si>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</si>
  <si>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</si>
  <si>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</si>
  <si>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</si>
  <si>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</si>
  <si>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</si>
  <si>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</si>
  <si>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</si>
  <si>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</si>
  <si>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</si>
  <si>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</si>
  <si>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</si>
  <si>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</si>
  <si>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</si>
  <si>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</si>
  <si>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</si>
  <si>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</si>
  <si>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</si>
  <si>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</si>
  <si>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</si>
  <si>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</si>
  <si>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</si>
  <si>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</si>
  <si>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</si>
  <si>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</si>
  <si>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</si>
  <si>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</si>
  <si>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</si>
  <si>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</si>
  <si>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</si>
  <si>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</si>
  <si>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</si>
  <si>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</si>
  <si>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</si>
  <si>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</si>
  <si>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</si>
  <si>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</si>
  <si>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</si>
  <si>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</si>
  <si>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</si>
  <si>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</si>
  <si>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</si>
  <si>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</si>
  <si>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</si>
  <si>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</si>
  <si>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</si>
  <si>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</si>
  <si>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</si>
  <si>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</si>
  <si>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</si>
  <si>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</si>
  <si>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</si>
  <si>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</si>
  <si>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</si>
  <si>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</si>
  <si>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</si>
  <si>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</si>
  <si>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</si>
  <si>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</si>
  <si>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</si>
  <si>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</si>
  <si>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</si>
  <si>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</si>
  <si>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</si>
  <si>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</si>
  <si>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</si>
  <si>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</si>
  <si>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</si>
  <si>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</si>
  <si>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</si>
  <si>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</si>
  <si>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</si>
  <si>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</si>
  <si>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</si>
  <si>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</si>
  <si>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</si>
  <si>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</si>
  <si>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</si>
  <si>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</si>
  <si>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</si>
  <si>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</si>
  <si>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</si>
  <si>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</si>
  <si>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</si>
  <si>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</si>
  <si>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</si>
  <si>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</si>
  <si>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</si>
  <si>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</si>
  <si>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</si>
  <si>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</si>
  <si>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</si>
  <si>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</si>
  <si>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</si>
  <si>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</si>
  <si>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</si>
  <si>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</si>
  <si>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</si>
  <si>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</si>
  <si>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</si>
  <si>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</si>
  <si>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</si>
  <si>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</si>
  <si>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</si>
  <si>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</si>
  <si>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</si>
  <si>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</si>
  <si>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</si>
  <si>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</si>
  <si>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</si>
  <si>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</si>
  <si>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</si>
  <si>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</si>
  <si>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</si>
  <si>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</si>
  <si>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</si>
  <si>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</si>
  <si>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</si>
  <si>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</si>
  <si>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</si>
  <si>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</si>
  <si>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</si>
  <si>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</si>
  <si>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</si>
  <si>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</si>
  <si>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</si>
  <si>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</si>
  <si>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</si>
  <si>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</si>
  <si>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</si>
  <si>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</si>
  <si>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</si>
  <si>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</si>
  <si>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</si>
  <si>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</si>
  <si>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</si>
  <si>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</si>
  <si>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</si>
  <si>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</si>
  <si>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</si>
  <si>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</si>
  <si>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</si>
  <si>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</si>
  <si>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</si>
  <si>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</si>
  <si>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</si>
  <si>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</si>
  <si>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</si>
  <si>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</si>
  <si>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</si>
  <si>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</si>
  <si>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</si>
  <si>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</si>
  <si>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</si>
  <si>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</si>
  <si>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</si>
  <si>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</si>
  <si>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</si>
  <si>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</si>
  <si>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</si>
  <si>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</si>
  <si>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</si>
  <si>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</si>
  <si>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</si>
  <si>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</si>
  <si>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</si>
  <si>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</si>
  <si>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</si>
  <si>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</si>
  <si>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</si>
  <si>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</si>
  <si>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</si>
  <si>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</si>
  <si>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</si>
  <si>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</si>
  <si>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</si>
  <si>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</si>
  <si>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</si>
  <si>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</si>
  <si>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</si>
  <si>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</si>
  <si>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</si>
  <si>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</si>
  <si>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</si>
  <si>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</si>
  <si>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</si>
  <si>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</si>
  <si>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</si>
  <si>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</si>
  <si>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</si>
  <si>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</si>
  <si>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</si>
  <si>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</si>
  <si>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</si>
  <si>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</si>
  <si>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</si>
  <si>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</si>
  <si>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</si>
  <si>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</si>
  <si>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</si>
  <si>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</si>
  <si>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</si>
  <si>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</si>
  <si>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</si>
  <si>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</si>
  <si>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</si>
  <si>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</si>
  <si>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</si>
  <si>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</si>
  <si>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</si>
  <si>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</si>
  <si>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</si>
  <si>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</si>
  <si>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</si>
  <si>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</si>
  <si>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</si>
  <si>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</si>
  <si>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</si>
  <si>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</si>
  <si>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</si>
  <si>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</si>
  <si>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</si>
  <si>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</si>
  <si>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</si>
  <si>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</si>
  <si>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</si>
  <si>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</si>
  <si>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</si>
  <si>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</si>
  <si>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</si>
  <si>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</si>
  <si>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</si>
  <si>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</si>
  <si>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</si>
  <si>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</si>
  <si>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</si>
  <si>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</si>
  <si>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</si>
  <si>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</si>
  <si>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</si>
  <si>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</si>
  <si>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</si>
  <si>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</si>
  <si>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</si>
  <si>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</si>
  <si>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</si>
  <si>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</si>
  <si>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</si>
  <si>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</si>
  <si>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</si>
  <si>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</si>
  <si>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</si>
  <si>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</si>
  <si>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</si>
  <si>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</si>
  <si>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</si>
  <si>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</si>
  <si>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</si>
  <si>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</si>
  <si>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</si>
  <si>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</si>
  <si>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</si>
  <si>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</si>
  <si>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</si>
  <si>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</si>
  <si>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</si>
  <si>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</si>
  <si>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</si>
  <si>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</si>
  <si>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</si>
  <si>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</si>
  <si>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</si>
  <si>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</si>
  <si>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</si>
  <si>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</si>
  <si>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</si>
  <si>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</si>
  <si>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</si>
  <si>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</si>
  <si>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</si>
  <si>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</si>
  <si>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</si>
  <si>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</si>
  <si>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</si>
  <si>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</si>
  <si>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</si>
  <si>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</si>
  <si>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</si>
  <si>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</si>
  <si>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</si>
  <si>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</si>
  <si>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</si>
  <si>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</si>
  <si>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</si>
  <si>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</si>
  <si>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</si>
  <si>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</si>
  <si>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</si>
  <si>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</si>
  <si>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</si>
  <si>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</si>
  <si>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</si>
  <si>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</si>
  <si>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</si>
  <si>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</si>
  <si>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</si>
  <si>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</si>
  <si>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</si>
  <si>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</si>
  <si>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</si>
  <si>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</si>
  <si>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</si>
  <si>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</si>
  <si>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</si>
  <si>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</si>
  <si>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</si>
  <si>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</si>
  <si>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</si>
  <si>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</si>
  <si>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</si>
  <si>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</si>
  <si>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</si>
  <si>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</si>
  <si>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</si>
  <si>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</si>
  <si>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</si>
  <si>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</si>
  <si>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</si>
  <si>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</si>
  <si>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</si>
  <si>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</si>
  <si>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</si>
  <si>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</si>
  <si>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</si>
  <si>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</si>
  <si>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</si>
  <si>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</si>
  <si>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</si>
  <si>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</si>
  <si>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</si>
  <si>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</si>
  <si>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</si>
  <si>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</si>
  <si>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</si>
  <si>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</si>
  <si>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</si>
  <si>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</si>
  <si>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</si>
  <si>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</si>
  <si>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</si>
  <si>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</si>
  <si>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</si>
  <si>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</si>
  <si>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</si>
  <si>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</si>
  <si>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</si>
  <si>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</si>
  <si>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</si>
  <si>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</si>
  <si>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</si>
  <si>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</si>
  <si>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</si>
  <si>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</si>
  <si>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</si>
  <si>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</si>
  <si>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</si>
  <si>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</si>
  <si>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</si>
  <si>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</si>
  <si>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</si>
  <si>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</si>
  <si>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</si>
  <si>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</si>
  <si>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</si>
  <si>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</si>
  <si>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</si>
  <si>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</si>
  <si>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</si>
  <si>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</si>
  <si>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</si>
  <si>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</si>
  <si>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</si>
  <si>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</si>
  <si>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</si>
  <si>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</si>
  <si>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</si>
  <si>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</si>
  <si>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</si>
  <si>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</si>
  <si>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</si>
  <si>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</si>
  <si>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</si>
  <si>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</si>
  <si>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</si>
  <si>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</si>
  <si>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</si>
  <si>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</si>
  <si>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</si>
  <si>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</si>
  <si>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</si>
  <si>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</si>
  <si>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</si>
  <si>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</si>
  <si>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</si>
  <si>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</si>
  <si>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</si>
  <si>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</si>
  <si>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</si>
  <si>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</si>
  <si>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</si>
  <si>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</si>
  <si>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</si>
  <si>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</si>
  <si>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</si>
  <si>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</si>
  <si>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</si>
  <si>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</si>
  <si>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</si>
  <si>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</si>
  <si>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</si>
  <si>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</si>
  <si>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</si>
  <si>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</si>
  <si>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</si>
  <si>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</si>
  <si>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</si>
  <si>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</si>
  <si>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</si>
  <si>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</si>
  <si>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</si>
  <si>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</si>
  <si>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</si>
  <si>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</si>
  <si>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</si>
  <si>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</si>
  <si>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</si>
  <si>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</si>
  <si>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</si>
  <si>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</si>
  <si>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</si>
  <si>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</si>
  <si>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</si>
  <si>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</si>
  <si>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</si>
  <si>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</si>
  <si>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</si>
  <si>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</si>
  <si>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</si>
  <si>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</si>
  <si>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</si>
  <si>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</si>
  <si>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</si>
  <si>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</si>
  <si>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</si>
  <si>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</si>
  <si>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</si>
  <si>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</si>
  <si>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</si>
  <si>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</si>
  <si>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</si>
  <si>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</si>
  <si>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</si>
  <si>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</si>
  <si>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</si>
  <si>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</si>
  <si>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</si>
  <si>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</si>
  <si>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</si>
  <si>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</si>
  <si>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</si>
  <si>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</si>
  <si>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</si>
  <si>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</si>
  <si>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</si>
  <si>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</si>
  <si>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</si>
  <si>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</si>
  <si>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</si>
  <si>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</si>
  <si>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</si>
  <si>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</si>
  <si>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</si>
  <si>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</si>
  <si>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</si>
  <si>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</si>
  <si>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</si>
  <si>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</si>
  <si>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</si>
  <si>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</si>
  <si>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</si>
  <si>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</si>
  <si>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</si>
  <si>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</si>
  <si>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</si>
  <si>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</si>
  <si>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</si>
  <si>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</si>
  <si>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</si>
  <si>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</si>
  <si>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</si>
  <si>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</si>
  <si>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</si>
  <si>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</si>
  <si>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</si>
  <si>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</si>
  <si>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</si>
  <si>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</si>
  <si>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</si>
  <si>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</si>
  <si>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</si>
  <si>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</si>
  <si>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</si>
  <si>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</si>
  <si>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</si>
  <si>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</si>
  <si>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</si>
  <si>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</si>
  <si>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</si>
  <si>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</si>
  <si>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</si>
  <si>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</si>
  <si>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</si>
  <si>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</si>
  <si>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</si>
  <si>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</si>
  <si>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</si>
  <si>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</si>
  <si>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</si>
  <si>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</si>
  <si>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</si>
  <si>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</si>
  <si>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</si>
  <si>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</si>
  <si>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</si>
  <si>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</si>
  <si>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</si>
  <si>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</si>
  <si>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</si>
  <si>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</si>
  <si>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</si>
  <si>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</si>
  <si>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</si>
  <si>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</si>
  <si>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</si>
  <si>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</si>
  <si>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</si>
  <si>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</si>
  <si>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</si>
  <si>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</si>
  <si>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</si>
  <si>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</si>
  <si>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</si>
  <si>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</si>
  <si>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</si>
  <si>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</si>
  <si>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</si>
  <si>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</si>
  <si>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</si>
  <si>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</si>
  <si>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</si>
  <si>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</si>
  <si>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</si>
  <si>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</si>
  <si>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</si>
  <si>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</si>
  <si>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</si>
  <si>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</si>
  <si>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</si>
  <si>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</si>
  <si>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</si>
  <si>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</si>
  <si>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</si>
  <si>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</si>
  <si>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</si>
  <si>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</si>
  <si>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</si>
  <si>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</si>
  <si>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</si>
  <si>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</si>
  <si>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</si>
  <si>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</si>
  <si>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</si>
  <si>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</si>
  <si>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</si>
  <si>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</si>
  <si>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</si>
  <si>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</si>
  <si>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</si>
  <si>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</si>
  <si>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</si>
  <si>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</si>
  <si>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</si>
  <si>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</si>
  <si>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</si>
  <si>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</si>
  <si>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</si>
  <si>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</si>
  <si>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</si>
  <si>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</si>
  <si>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</si>
  <si>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</si>
  <si>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</si>
  <si>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</si>
  <si>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</si>
  <si>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</si>
  <si>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</si>
  <si>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</si>
  <si>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</si>
  <si>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</si>
  <si>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</si>
  <si>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</si>
  <si>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</si>
  <si>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</si>
  <si>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</si>
  <si>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</si>
  <si>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</si>
  <si>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</si>
  <si>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</si>
  <si>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</si>
  <si>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</si>
  <si>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</si>
  <si>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</si>
  <si>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</si>
  <si>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</si>
  <si>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</si>
  <si>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</si>
  <si>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</si>
  <si>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</si>
  <si>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</si>
  <si>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</si>
  <si>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</si>
  <si>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</si>
  <si>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</si>
  <si>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</si>
  <si>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</si>
  <si>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</si>
  <si>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</si>
  <si>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</si>
  <si>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</si>
  <si>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</si>
  <si>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</si>
  <si>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</si>
  <si>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</si>
  <si>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</si>
  <si>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</si>
  <si>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</si>
  <si>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</si>
  <si>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</si>
  <si>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</si>
  <si>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</si>
  <si>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</si>
  <si>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</si>
  <si>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</si>
  <si>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</si>
  <si>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</si>
  <si>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</si>
  <si>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</si>
  <si>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</si>
  <si>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</si>
  <si>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</si>
  <si>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</si>
  <si>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</si>
  <si>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</si>
  <si>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</si>
  <si>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</si>
  <si>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</si>
  <si>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</si>
  <si>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</si>
  <si>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</si>
  <si>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</si>
  <si>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</si>
  <si>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</si>
  <si>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</si>
  <si>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</si>
  <si>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</si>
  <si>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</si>
  <si>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</si>
  <si>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</si>
  <si>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</si>
  <si>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</si>
  <si>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</si>
  <si>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</si>
  <si>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</si>
  <si>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</si>
  <si>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</si>
  <si>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</si>
  <si>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</si>
  <si>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</si>
  <si>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</si>
  <si>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</si>
  <si>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</si>
  <si>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</si>
  <si>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</si>
  <si>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</si>
  <si>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</si>
  <si>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</si>
  <si>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</si>
  <si>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</si>
  <si>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</si>
  <si>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</si>
  <si>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</si>
  <si>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</si>
  <si>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</si>
  <si>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</si>
  <si>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</si>
  <si>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</si>
  <si>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</si>
  <si>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</si>
  <si>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</si>
  <si>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</si>
  <si>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</si>
  <si>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</si>
  <si>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</si>
  <si>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</si>
  <si>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</si>
  <si>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</si>
  <si>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</si>
  <si>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</si>
  <si>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</si>
  <si>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</si>
  <si>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</si>
  <si>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</si>
  <si>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</si>
  <si>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</si>
  <si>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</si>
  <si>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</si>
  <si>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</si>
  <si>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</si>
  <si>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</si>
  <si>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</si>
  <si>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</si>
  <si>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</si>
  <si>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</si>
  <si>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</si>
  <si>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</si>
  <si>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</si>
  <si>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</si>
  <si>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</si>
  <si>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</si>
  <si>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</si>
  <si>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</si>
  <si>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</si>
  <si>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</si>
  <si>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</si>
  <si>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</si>
  <si>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</si>
  <si>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</si>
  <si>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</si>
  <si>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</si>
  <si>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</si>
  <si>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</si>
  <si>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</si>
  <si>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</si>
  <si>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</si>
  <si>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</si>
  <si>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</si>
  <si>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</si>
  <si>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</si>
  <si>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</si>
  <si>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</si>
  <si>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</si>
  <si>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</si>
  <si>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</si>
  <si>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</si>
  <si>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</si>
  <si>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</si>
  <si>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</si>
  <si>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</si>
  <si>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</si>
  <si>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</si>
  <si>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</si>
  <si>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</si>
  <si>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</si>
  <si>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</si>
  <si>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</si>
  <si>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</si>
  <si>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</si>
  <si>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</si>
  <si>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</si>
  <si>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</si>
  <si>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</si>
  <si>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</si>
  <si>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</si>
  <si>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</si>
  <si>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</si>
  <si>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</si>
  <si>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</si>
  <si>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</si>
  <si>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</si>
  <si>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</si>
  <si>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</si>
  <si>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</si>
  <si>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</si>
  <si>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</si>
  <si>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</si>
  <si>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</si>
  <si>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</si>
  <si>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</si>
  <si>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</si>
  <si>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</si>
  <si>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</si>
  <si>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</si>
  <si>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</si>
  <si>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</si>
  <si>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</si>
  <si>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</si>
  <si>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</si>
  <si>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</si>
  <si>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</si>
  <si>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</si>
  <si>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</si>
  <si>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</si>
  <si>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</si>
  <si>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</si>
  <si>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</si>
  <si>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</si>
  <si>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</si>
  <si>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</si>
  <si>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</si>
  <si>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</si>
  <si>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</si>
  <si>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</si>
  <si>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</si>
  <si>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</si>
  <si>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</si>
  <si>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</si>
  <si>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</si>
  <si>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</si>
  <si>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</si>
  <si>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</si>
  <si>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</si>
  <si>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</si>
  <si>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</si>
  <si>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</si>
  <si>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</si>
  <si>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</si>
  <si>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</si>
  <si>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</si>
  <si>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</si>
  <si>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</si>
  <si>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</si>
  <si>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</si>
  <si>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</si>
  <si>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</si>
  <si>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</si>
  <si>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</si>
  <si>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</si>
  <si>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</si>
  <si>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</si>
  <si>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</si>
  <si>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</si>
  <si>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</si>
  <si>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</si>
  <si>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</si>
  <si>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</si>
  <si>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</si>
  <si>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</si>
  <si>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</si>
  <si>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</si>
  <si>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</si>
  <si>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</si>
  <si>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</si>
  <si>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</si>
  <si>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</si>
  <si>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</si>
  <si>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</si>
  <si>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</si>
  <si>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</si>
  <si>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</si>
  <si>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</si>
  <si>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</si>
  <si>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</si>
  <si>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</si>
  <si>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</si>
  <si>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</si>
  <si>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</si>
  <si>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</si>
  <si>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</si>
  <si>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</si>
  <si>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</si>
  <si>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</si>
  <si>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</si>
  <si>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</si>
  <si>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</si>
  <si>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</si>
  <si>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</si>
  <si>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</si>
  <si>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</si>
  <si>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</si>
  <si>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</si>
  <si>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</si>
  <si>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</si>
  <si>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</si>
  <si>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</si>
  <si>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</si>
  <si>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</si>
  <si>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</si>
  <si>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</si>
  <si>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</si>
  <si>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</si>
  <si>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</si>
  <si>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</si>
  <si>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</si>
  <si>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</si>
  <si>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</si>
  <si>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</si>
  <si>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</si>
  <si>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</si>
  <si>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</si>
  <si>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</si>
  <si>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</si>
  <si>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</si>
  <si>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</si>
  <si>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</si>
  <si>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</si>
  <si>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</si>
  <si>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</si>
  <si>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</si>
  <si>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</si>
  <si>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</si>
  <si>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</si>
  <si>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</si>
  <si>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</si>
  <si>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</si>
  <si>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</si>
  <si>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</si>
  <si>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</si>
  <si>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</si>
  <si>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FO-12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</si>
  <si>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</si>
  <si>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</si>
  <si>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</si>
  <si>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</si>
  <si>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</si>
  <si>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</si>
  <si>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</si>
  <si>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</si>
  <si>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</si>
  <si>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</si>
  <si>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</si>
  <si>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</si>
  <si>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</si>
  <si>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</si>
  <si>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</si>
  <si>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</si>
  <si>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</si>
  <si>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</si>
  <si>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</si>
  <si>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</si>
  <si>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</si>
  <si>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</si>
  <si>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</si>
  <si>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</si>
  <si>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</si>
  <si>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</si>
  <si>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</si>
  <si>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</si>
  <si>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</si>
  <si>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</si>
  <si>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</si>
  <si>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</si>
  <si>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</si>
  <si>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</si>
  <si>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</si>
  <si>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</si>
  <si>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</si>
  <si>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</si>
  <si>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</si>
  <si>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</si>
  <si>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</si>
  <si>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</si>
  <si>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</si>
  <si>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</si>
  <si>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</si>
  <si>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</si>
  <si>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</si>
  <si>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</si>
  <si>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</si>
  <si>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</si>
  <si>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</si>
  <si>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</si>
  <si>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</si>
  <si>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</si>
  <si>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</si>
  <si>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</si>
  <si>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</si>
  <si>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</si>
  <si>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</si>
  <si>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</si>
  <si>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</si>
  <si>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</si>
  <si>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</si>
  <si>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</si>
  <si>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</si>
  <si>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</si>
  <si>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</si>
  <si>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</si>
  <si>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</si>
  <si>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</si>
  <si>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</si>
  <si>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</si>
  <si>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</si>
  <si>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</si>
  <si>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</si>
  <si>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</si>
  <si>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</si>
  <si>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</si>
  <si>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</si>
  <si>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</si>
  <si>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</si>
  <si>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</si>
  <si>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</si>
  <si>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</si>
  <si>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</si>
  <si>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</si>
  <si>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</si>
  <si>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</si>
  <si>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</si>
  <si>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</si>
  <si>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</si>
  <si>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</si>
  <si>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</si>
  <si>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</si>
  <si>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</si>
  <si>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</si>
  <si>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</si>
  <si>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</si>
  <si>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</si>
  <si>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</si>
  <si>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</si>
  <si>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</si>
  <si>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</si>
  <si>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</si>
  <si>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</si>
  <si>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</si>
  <si>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</si>
  <si>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</si>
  <si>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</si>
  <si>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</si>
  <si>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</si>
  <si>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</si>
  <si>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</si>
  <si>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</si>
  <si>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</si>
  <si>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</si>
  <si>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</si>
  <si>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</si>
  <si>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</si>
  <si>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</si>
  <si>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</si>
  <si>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</si>
  <si>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</si>
  <si>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</si>
  <si>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</si>
  <si>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</si>
  <si>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</si>
  <si>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</si>
  <si>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</si>
  <si>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</si>
  <si>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</si>
  <si>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</si>
  <si>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</si>
  <si>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</si>
  <si>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</si>
  <si>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</si>
  <si>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</si>
  <si>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</si>
  <si>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</si>
  <si>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</si>
  <si>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</si>
  <si>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</si>
  <si>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</si>
  <si>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</si>
  <si>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</si>
  <si>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</si>
  <si>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</si>
  <si>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</si>
  <si>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</si>
  <si>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</si>
  <si>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</si>
  <si>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</si>
  <si>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</si>
  <si>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</si>
  <si>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</si>
  <si>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</si>
  <si>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</si>
  <si>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</si>
  <si>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</si>
  <si>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</si>
  <si>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</si>
  <si>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</si>
  <si>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</si>
  <si>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</si>
  <si>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</si>
  <si>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</si>
  <si>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</si>
  <si>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</si>
  <si>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</si>
  <si>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</si>
  <si>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</si>
  <si>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</si>
  <si>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</si>
  <si>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</si>
  <si>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</si>
  <si>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</si>
  <si>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</si>
  <si>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</si>
  <si>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</si>
  <si>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</si>
  <si>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</si>
  <si>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</si>
  <si>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</si>
  <si>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</si>
  <si>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</si>
  <si>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</si>
  <si>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</si>
  <si>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</si>
  <si>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</si>
  <si>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</si>
  <si>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</si>
  <si>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</si>
  <si>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</si>
  <si>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</si>
  <si>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</si>
  <si>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</si>
  <si>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</si>
  <si>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</si>
  <si>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</si>
  <si>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</si>
  <si>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</si>
  <si>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</si>
  <si>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</si>
  <si>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</si>
  <si>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</si>
  <si>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</si>
  <si>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</si>
  <si>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</si>
  <si>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</si>
  <si>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</si>
  <si>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</si>
  <si>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</si>
  <si>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</si>
  <si>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</si>
  <si>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</si>
  <si>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</si>
  <si>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</si>
  <si>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</si>
  <si>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</si>
  <si>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</si>
  <si>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</si>
  <si>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</si>
  <si>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</si>
  <si>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</si>
  <si>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</si>
  <si>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</si>
  <si>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</si>
  <si>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</si>
  <si>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</si>
  <si>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</si>
  <si>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</si>
  <si>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</si>
  <si>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</si>
  <si>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</si>
  <si>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</si>
  <si>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</si>
  <si>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</si>
  <si>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</si>
  <si>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</si>
  <si>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</si>
  <si>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</si>
  <si>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</si>
  <si>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</si>
  <si>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</si>
  <si>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</si>
  <si>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</si>
  <si>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</si>
  <si>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</si>
  <si>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</si>
  <si>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</si>
  <si>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</si>
  <si>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</si>
  <si>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</si>
  <si>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</si>
  <si>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</si>
  <si>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</si>
  <si>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</si>
  <si>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</si>
  <si>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</si>
  <si>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</si>
  <si>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</si>
  <si>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</si>
  <si>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</si>
  <si>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</si>
  <si>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</si>
  <si>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</si>
  <si>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</si>
  <si>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</si>
  <si>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</si>
  <si>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</si>
  <si>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</si>
  <si>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</si>
  <si>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</si>
  <si>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</si>
  <si>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</si>
  <si>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</si>
  <si>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</si>
  <si>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</si>
  <si>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</si>
  <si>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</si>
  <si>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</si>
  <si>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</si>
  <si>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</si>
  <si>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</si>
  <si>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</si>
  <si>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</si>
  <si>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</si>
  <si>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</si>
  <si>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</si>
  <si>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</si>
  <si>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</si>
  <si>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</si>
  <si>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</si>
  <si>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</si>
  <si>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</si>
  <si>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</si>
  <si>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</si>
  <si>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</si>
  <si>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</si>
  <si>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</si>
  <si>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</si>
  <si>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</si>
  <si>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</si>
  <si>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</si>
  <si>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</si>
  <si>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</si>
  <si>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</si>
  <si>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</si>
  <si>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</si>
  <si>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</si>
  <si>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</si>
  <si>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</si>
  <si>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</si>
  <si>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</si>
  <si>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</si>
  <si>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</si>
  <si>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</si>
  <si>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</si>
  <si>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</si>
  <si>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</si>
  <si>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</si>
  <si>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</si>
  <si>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</si>
  <si>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</si>
  <si>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</si>
  <si>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</si>
  <si>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</si>
  <si>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</si>
  <si>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</si>
  <si>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</si>
  <si>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</si>
  <si>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</si>
  <si>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</si>
  <si>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</si>
  <si>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</si>
  <si>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</si>
  <si>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</si>
  <si>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</si>
  <si>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</si>
  <si>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</si>
  <si>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</si>
  <si>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</si>
  <si>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</si>
  <si>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</si>
  <si>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</si>
  <si>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</si>
  <si>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</si>
  <si>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</si>
  <si>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</si>
  <si>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</si>
  <si>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</si>
  <si>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</si>
  <si>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</si>
  <si>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</si>
  <si>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</si>
  <si>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</si>
  <si>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</si>
  <si>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</si>
  <si>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</si>
  <si>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</si>
  <si>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</si>
  <si>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</si>
  <si>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</si>
  <si>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</si>
  <si>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</si>
  <si>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</si>
  <si>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</si>
  <si>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</si>
  <si>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</si>
  <si>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</si>
  <si>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</si>
  <si>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</si>
  <si>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</si>
  <si>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</si>
  <si>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</si>
  <si>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</si>
  <si>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</si>
  <si>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</si>
  <si>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</si>
  <si>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</si>
  <si>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</si>
  <si>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</si>
  <si>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</si>
  <si>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</si>
  <si>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</si>
  <si>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</si>
  <si>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</si>
  <si>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</si>
  <si>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</si>
  <si>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</si>
  <si>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</si>
  <si>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</si>
  <si>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</si>
  <si>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</si>
  <si>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</si>
  <si>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</si>
  <si>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</si>
  <si>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</si>
  <si>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</si>
  <si>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</si>
  <si>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</si>
  <si>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</si>
  <si>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</si>
  <si>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</si>
  <si>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</si>
  <si>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</si>
  <si>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</si>
  <si>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</si>
  <si>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</si>
  <si>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</si>
  <si>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</si>
  <si>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</si>
  <si>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</si>
  <si>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</si>
  <si>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</si>
  <si>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</si>
  <si>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</si>
  <si>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</si>
  <si>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</si>
  <si>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</si>
  <si>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</si>
  <si>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</si>
  <si>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</si>
  <si>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</si>
  <si>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</si>
  <si>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</si>
  <si>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</si>
  <si>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</si>
  <si>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</si>
  <si>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</si>
  <si>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</si>
  <si>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</si>
  <si>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</si>
  <si>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</si>
  <si>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</si>
  <si>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</si>
  <si>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</si>
  <si>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</si>
  <si>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</si>
  <si>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</si>
  <si>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</si>
  <si>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</si>
  <si>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</si>
  <si>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</si>
  <si>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</si>
  <si>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</si>
  <si>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</si>
  <si>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</si>
  <si>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</si>
  <si>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</si>
  <si>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</si>
  <si>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</si>
  <si>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</si>
  <si>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</si>
  <si>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</si>
  <si>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</si>
  <si>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</si>
  <si>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</si>
  <si>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</si>
  <si>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</si>
  <si>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</si>
  <si>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</si>
  <si>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</si>
  <si>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</si>
  <si>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</si>
  <si>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</si>
  <si>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</si>
  <si>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</si>
  <si>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</si>
  <si>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</si>
  <si>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</si>
  <si>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</si>
  <si>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</si>
  <si>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</si>
  <si>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</si>
  <si>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</si>
  <si>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</si>
  <si>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</si>
  <si>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</si>
  <si>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</si>
  <si>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</si>
  <si>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</si>
  <si>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</si>
  <si>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</si>
  <si>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</si>
  <si>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</si>
  <si>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</si>
  <si>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</si>
  <si>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</si>
  <si>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</si>
  <si>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</si>
  <si>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</si>
  <si>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</si>
  <si>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</si>
  <si>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</si>
  <si>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</si>
  <si>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</si>
  <si>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</si>
  <si>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</si>
  <si>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</si>
  <si>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</si>
  <si>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</si>
  <si>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</si>
  <si>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</si>
  <si>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</si>
  <si>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</si>
  <si>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</si>
  <si>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</si>
  <si>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</si>
  <si>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</si>
  <si>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</si>
  <si>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</si>
  <si>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</si>
  <si>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</si>
  <si>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</si>
  <si>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</si>
  <si>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</si>
  <si>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</si>
  <si>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</si>
  <si>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</si>
  <si>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</si>
  <si>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</si>
  <si>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</si>
  <si>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</si>
  <si>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</si>
  <si>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</si>
  <si>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</si>
  <si>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</si>
  <si>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</si>
  <si>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</si>
  <si>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</si>
  <si>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</si>
  <si>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</si>
  <si>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</si>
  <si>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</si>
  <si>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</si>
  <si>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</si>
  <si>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</si>
  <si>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</si>
  <si>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</si>
  <si>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</si>
  <si>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</si>
  <si>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</si>
  <si>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</si>
  <si>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</si>
  <si>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</si>
  <si>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</si>
  <si>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</si>
  <si>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</si>
  <si>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</si>
  <si>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</si>
  <si>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</si>
  <si>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</si>
  <si>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</si>
  <si>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</si>
  <si>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</si>
  <si>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</si>
  <si>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</si>
  <si>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</si>
  <si>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</si>
  <si>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</si>
  <si>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</si>
  <si>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</si>
  <si>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</si>
  <si>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</si>
  <si>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</si>
  <si>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</si>
  <si>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</si>
  <si>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</si>
  <si>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</si>
  <si>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</si>
  <si>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</si>
  <si>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</si>
  <si>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</si>
  <si>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</si>
  <si>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</si>
  <si>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</si>
  <si>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</si>
  <si>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</si>
  <si>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</si>
  <si>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</si>
  <si>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</si>
  <si>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</si>
  <si>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</si>
  <si>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</si>
  <si>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</si>
  <si>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</si>
  <si>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</si>
  <si>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</si>
  <si>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</si>
  <si>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</si>
  <si>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</si>
  <si>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</si>
  <si>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</si>
  <si>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</si>
  <si>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</si>
  <si>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</si>
  <si>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</si>
  <si>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</si>
  <si>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</si>
  <si>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</si>
  <si>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</si>
  <si>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</si>
  <si>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</si>
  <si>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</si>
  <si>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</si>
  <si>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</si>
  <si>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</si>
  <si>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</si>
  <si>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</si>
  <si>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</si>
  <si>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</si>
  <si>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</si>
  <si>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</si>
  <si>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</si>
  <si>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</si>
  <si>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</si>
  <si>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</si>
  <si>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</si>
  <si>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</si>
  <si>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</si>
  <si>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</si>
  <si>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</si>
  <si>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</si>
  <si>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</si>
  <si>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</si>
  <si>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</si>
  <si>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</si>
  <si>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</si>
  <si>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</si>
  <si>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</si>
  <si>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</si>
  <si>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</si>
  <si>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</si>
  <si>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</si>
  <si>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</si>
  <si>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</si>
  <si>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</si>
  <si>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</si>
  <si>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</si>
  <si>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</si>
  <si>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</si>
  <si>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</si>
  <si>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</si>
  <si>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</si>
  <si>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</si>
  <si>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</si>
  <si>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</si>
  <si>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</si>
  <si>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</si>
  <si>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</si>
  <si>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</si>
  <si>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</si>
  <si>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</si>
  <si>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</si>
  <si>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</si>
  <si>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</si>
  <si>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</si>
  <si>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</si>
  <si>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</si>
  <si>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</si>
  <si>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</si>
  <si>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</si>
  <si>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</si>
  <si>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</si>
  <si>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</si>
  <si>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</si>
  <si>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</si>
  <si>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</si>
  <si>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</si>
  <si>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</si>
  <si>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</si>
  <si>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</si>
  <si>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</si>
  <si>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</si>
  <si>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</si>
  <si>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</si>
  <si>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</si>
  <si>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</si>
  <si>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</si>
  <si>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</si>
  <si>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</si>
  <si>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</si>
  <si>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</si>
  <si>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</si>
  <si>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</si>
  <si>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</si>
  <si>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</si>
  <si>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</si>
  <si>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</si>
  <si>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</si>
  <si>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</si>
  <si>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</si>
  <si>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</si>
  <si>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</si>
  <si>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</si>
  <si>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</si>
  <si>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</si>
  <si>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</si>
  <si>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</si>
  <si>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</si>
  <si>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</si>
  <si>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</si>
  <si>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</si>
  <si>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</si>
  <si>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</si>
  <si>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</si>
  <si>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</si>
  <si>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</si>
  <si>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</si>
  <si>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</si>
  <si>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</si>
  <si>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</si>
  <si>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</si>
  <si>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</si>
  <si>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</si>
  <si>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</si>
  <si>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</si>
  <si>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</si>
  <si>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</si>
  <si>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</si>
  <si>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</si>
  <si>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</si>
  <si>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</si>
  <si>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</si>
  <si>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</si>
  <si>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</si>
  <si>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</si>
  <si>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</si>
  <si>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</si>
  <si>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</si>
  <si>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</si>
  <si>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</si>
  <si>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</si>
  <si>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</si>
  <si>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</si>
  <si>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</si>
  <si>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</si>
  <si>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</si>
  <si>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</si>
  <si>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</si>
  <si>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</si>
  <si>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</si>
  <si>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</si>
  <si>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</si>
  <si>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</si>
  <si>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</si>
  <si>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</si>
  <si>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</si>
  <si>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</si>
  <si>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</si>
  <si>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</si>
  <si>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</si>
  <si>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</si>
  <si>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</si>
  <si>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</si>
  <si>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</si>
  <si>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</si>
  <si>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</si>
  <si>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</si>
  <si>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</si>
  <si>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</si>
  <si>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</si>
  <si>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</si>
  <si>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</si>
  <si>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</si>
  <si>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</si>
  <si>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</si>
  <si>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</si>
  <si>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</si>
  <si>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</si>
  <si>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</si>
  <si>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</si>
  <si>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</si>
  <si>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</si>
  <si>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</si>
  <si>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</si>
  <si>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</si>
  <si>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</si>
  <si>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</si>
  <si>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</si>
  <si>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</si>
  <si>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</si>
  <si>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</si>
  <si>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</si>
  <si>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</si>
  <si>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</si>
  <si>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</si>
  <si>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</si>
  <si>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</si>
  <si>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</si>
  <si>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</si>
  <si>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</si>
  <si>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</si>
  <si>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</si>
  <si>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</si>
  <si>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</si>
  <si>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M4/Rico</t>
  </si>
  <si>
    <t>DR - G11/Grape</t>
  </si>
  <si>
    <t>M Scripts for Updater:</t>
  </si>
  <si>
    <t xml:space="preserve"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"org_id"}),
    #"Filtered Rows" = Table.SelectRows(#"Expanded Column1", each [id] &lt; 2000 or [id] &gt;= 20000 and [id] &lt; 30000)
in
    #"Filtered Rows"
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</si>
  <si>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</si>
  <si>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</si>
  <si>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</si>
  <si>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</si>
  <si>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</si>
  <si>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</si>
  <si>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</si>
  <si>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</si>
  <si>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</si>
  <si>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</si>
  <si>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</si>
  <si>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</si>
  <si>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</si>
  <si>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</si>
  <si>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</si>
  <si>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</si>
  <si>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</si>
  <si>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</si>
  <si>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</si>
  <si>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</si>
  <si>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</si>
  <si>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</si>
  <si>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</si>
  <si>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</si>
  <si>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</si>
  <si>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</si>
  <si>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</si>
  <si>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</si>
  <si>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</si>
  <si>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</si>
  <si>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</si>
  <si>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</si>
  <si>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</si>
  <si>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</si>
  <si>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</si>
  <si>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</si>
  <si>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</si>
  <si>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</si>
  <si>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</si>
  <si>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</si>
  <si>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</si>
  <si>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</si>
  <si>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</si>
  <si>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</si>
  <si>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</si>
  <si>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</si>
  <si>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</si>
  <si>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</si>
  <si>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</si>
  <si>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</si>
  <si>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</si>
  <si>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</si>
  <si>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</si>
  <si>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</si>
  <si>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</si>
  <si>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</si>
  <si>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</si>
  <si>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</si>
  <si>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</si>
  <si>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</si>
  <si>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</si>
  <si>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</si>
  <si>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</si>
  <si>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</si>
  <si>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</si>
  <si>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</si>
  <si>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</si>
  <si>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</si>
  <si>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</si>
  <si>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</si>
  <si>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</si>
  <si>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</si>
  <si>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</si>
  <si>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</si>
  <si>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</si>
  <si>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</si>
  <si>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</si>
  <si>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</si>
  <si>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</si>
  <si>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</si>
  <si>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</si>
  <si>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</si>
  <si>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</si>
  <si>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</si>
  <si>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</si>
  <si>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</si>
  <si>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</si>
  <si>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</si>
  <si>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</si>
  <si>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</si>
  <si>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</si>
  <si>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</si>
  <si>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</si>
  <si>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</si>
  <si>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</si>
  <si>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</si>
  <si>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</si>
  <si>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</si>
  <si>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</si>
  <si>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</si>
  <si>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</si>
  <si>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</si>
  <si>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</si>
  <si>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</si>
  <si>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</si>
  <si>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</si>
  <si>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</si>
  <si>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</si>
  <si>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</si>
  <si>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</si>
  <si>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</si>
  <si>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</si>
  <si>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</si>
  <si>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</si>
  <si>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</si>
  <si>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</si>
  <si>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</si>
  <si>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</si>
  <si>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</si>
  <si>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</si>
  <si>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</si>
  <si>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</si>
  <si>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</si>
  <si>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</si>
  <si>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</si>
  <si>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</si>
  <si>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</si>
  <si>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</si>
  <si>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</si>
  <si>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</si>
  <si>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</si>
  <si>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</si>
  <si>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</si>
  <si>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</si>
  <si>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</si>
  <si>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</si>
  <si>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</si>
  <si>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</si>
  <si>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</si>
  <si>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</si>
  <si>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</si>
  <si>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</si>
  <si>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</si>
  <si>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</si>
  <si>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December 30, 2021)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</si>
</sst>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44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0" fillId="4" borderId="0" xfId="0" applyFill="1"/>
    <xf numFmtId="0" fontId="2" fillId="3" borderId="11" xfId="0" applyFont="1" applyFill="1" applyBorder="1" applyAlignment="1" applyProtection="1">
      <alignment horizontal="center"/>
      <protection locked="0"/>
    </xf>
    <xf numFmtId="0" fontId="0" fillId="0" borderId="4" xfId="0" applyBorder="1"/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2" fillId="3" borderId="10" xfId="0" quotePrefix="1" applyFont="1" applyFill="1" applyBorder="1" applyAlignment="1" applyProtection="1">
      <alignment horizontal="center" shrinkToFit="1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3" borderId="15" xfId="0" applyFont="1" applyFill="1" applyBorder="1" applyAlignment="1" applyProtection="1">
      <alignment horizontal="center"/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1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14</xdr:row>
          <xdr:rowOff>133350</xdr:rowOff>
        </xdr:from>
        <xdr:to>
          <xdr:col>4</xdr:col>
          <xdr:colOff>123825</xdr:colOff>
          <xdr:row>16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14</xdr:row>
          <xdr:rowOff>133350</xdr:rowOff>
        </xdr:from>
        <xdr:to>
          <xdr:col>5</xdr:col>
          <xdr:colOff>428625</xdr:colOff>
          <xdr:row>16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14</xdr:row>
          <xdr:rowOff>133350</xdr:rowOff>
        </xdr:from>
        <xdr:to>
          <xdr:col>7</xdr:col>
          <xdr:colOff>47625</xdr:colOff>
          <xdr:row>16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10</xdr:row>
          <xdr:rowOff>66675</xdr:rowOff>
        </xdr:from>
        <xdr:to>
          <xdr:col>7</xdr:col>
          <xdr:colOff>485775</xdr:colOff>
          <xdr:row>12</xdr:row>
          <xdr:rowOff>38100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2" Type="http://schemas.openxmlformats.org/officeDocument/2006/relationships/hyperlink" Target="https://gall.dcinside.com/mgallery/board/view?id=micateam&amp;no=1506585" TargetMode="Externa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bbs.nga.cn/read.php?tid=20891117&amp;rand=438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1"/>
  <sheetViews>
    <sheetView tabSelected="1" zoomScale="90" zoomScaleNormal="90" workbookViewId="0"/>
  </sheetViews>
  <sheetFormatPr defaultRowHeight="15" outlineLevelRow="1" x14ac:dyDescent="0.25"/>
  <cols>
    <col min="1" max="1" width="10.855468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6384" width="9.140625" style="155"/>
  </cols>
  <sheetData>
    <row r="1" spans="1:5" ht="26.25" x14ac:dyDescent="0.4">
      <c r="A1" s="154" t="s">
        <v>5741</v>
      </c>
    </row>
    <row r="2" spans="1:5" x14ac:dyDescent="0.25">
      <c r="A2" s="155" t="s">
        <v>864</v>
      </c>
    </row>
    <row r="3" spans="1:5" x14ac:dyDescent="0.25">
      <c r="A3" s="155" t="s">
        <v>5721</v>
      </c>
    </row>
    <row r="4" spans="1:5" x14ac:dyDescent="0.25">
      <c r="A4" s="155" t="s">
        <v>5723</v>
      </c>
    </row>
    <row r="5" spans="1:5" x14ac:dyDescent="0.25">
      <c r="A5" s="155" t="s">
        <v>944</v>
      </c>
      <c r="B5" s="156" t="s">
        <v>943</v>
      </c>
    </row>
    <row r="6" spans="1:5" x14ac:dyDescent="0.25">
      <c r="A6" s="155" t="s">
        <v>987</v>
      </c>
      <c r="B6" s="156" t="s">
        <v>988</v>
      </c>
    </row>
    <row r="7" spans="1:5" x14ac:dyDescent="0.25">
      <c r="A7" s="155" t="s">
        <v>996</v>
      </c>
      <c r="B7" s="156" t="s">
        <v>997</v>
      </c>
    </row>
    <row r="9" spans="1:5" x14ac:dyDescent="0.25">
      <c r="A9" s="157" t="s">
        <v>1086</v>
      </c>
      <c r="B9" s="161" t="s">
        <v>1795</v>
      </c>
      <c r="D9" s="157" t="s">
        <v>1751</v>
      </c>
      <c r="E9" s="229" t="s">
        <v>5722</v>
      </c>
    </row>
    <row r="10" spans="1:5" x14ac:dyDescent="0.25">
      <c r="A10" s="158" t="s">
        <v>865</v>
      </c>
      <c r="B10" s="159" t="s">
        <v>1860</v>
      </c>
      <c r="D10" s="158" t="s">
        <v>857</v>
      </c>
      <c r="E10" s="159">
        <v>178000</v>
      </c>
    </row>
    <row r="11" spans="1:5" x14ac:dyDescent="0.25">
      <c r="A11" s="158" t="s">
        <v>856</v>
      </c>
      <c r="B11" s="159" t="s">
        <v>989</v>
      </c>
      <c r="D11" s="158" t="s">
        <v>858</v>
      </c>
      <c r="E11" s="159" t="b">
        <v>1</v>
      </c>
    </row>
    <row r="12" spans="1:5" x14ac:dyDescent="0.25">
      <c r="A12" s="158" t="s">
        <v>1752</v>
      </c>
      <c r="B12" s="159">
        <v>8</v>
      </c>
      <c r="D12" s="158" t="s">
        <v>859</v>
      </c>
      <c r="E12" s="159" t="b">
        <v>1</v>
      </c>
    </row>
    <row r="14" spans="1:5" ht="18.75" x14ac:dyDescent="0.3">
      <c r="A14" s="162" t="s">
        <v>1084</v>
      </c>
      <c r="B14" s="163"/>
    </row>
    <row r="15" spans="1:5" hidden="1" outlineLevel="1" x14ac:dyDescent="0.25">
      <c r="A15" s="160"/>
      <c r="B15" s="163"/>
    </row>
    <row r="16" spans="1:5" hidden="1" outlineLevel="1" x14ac:dyDescent="0.25">
      <c r="A16" s="160" t="s">
        <v>998</v>
      </c>
      <c r="B16" s="234" t="s">
        <v>5594</v>
      </c>
      <c r="C16" s="235"/>
    </row>
    <row r="17" spans="1:29" hidden="1" outlineLevel="1" x14ac:dyDescent="0.25">
      <c r="A17" s="160"/>
      <c r="B17" s="163"/>
    </row>
    <row r="18" spans="1:29" hidden="1" outlineLevel="1" x14ac:dyDescent="0.25">
      <c r="A18" s="164" t="s">
        <v>971</v>
      </c>
      <c r="B18" s="164"/>
      <c r="C18" s="164"/>
      <c r="D18" s="164"/>
      <c r="E18" s="164"/>
      <c r="F18" s="164"/>
      <c r="G18" s="164"/>
      <c r="H18" s="164"/>
      <c r="I18" s="164"/>
      <c r="J18" s="164"/>
      <c r="L18" s="164" t="s">
        <v>970</v>
      </c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</row>
    <row r="19" spans="1:29" hidden="1" outlineLevel="1" x14ac:dyDescent="0.25">
      <c r="A19" s="165"/>
      <c r="B19" s="166" t="s">
        <v>578</v>
      </c>
      <c r="C19" s="166"/>
      <c r="D19" s="166"/>
      <c r="E19" s="166"/>
      <c r="F19" s="166"/>
      <c r="G19" s="166"/>
      <c r="H19" s="166"/>
      <c r="I19" s="166"/>
      <c r="J19" s="167"/>
      <c r="L19" s="168" t="s">
        <v>710</v>
      </c>
      <c r="M19" s="166"/>
      <c r="N19" s="166"/>
      <c r="O19" s="167"/>
      <c r="P19" s="166" t="s">
        <v>711</v>
      </c>
      <c r="Q19" s="166"/>
      <c r="R19" s="166"/>
      <c r="S19" s="167"/>
      <c r="T19" s="166" t="s">
        <v>712</v>
      </c>
      <c r="U19" s="166"/>
      <c r="V19" s="166"/>
      <c r="W19" s="167"/>
      <c r="Y19" s="168" t="s">
        <v>984</v>
      </c>
      <c r="Z19" s="166"/>
      <c r="AA19" s="166"/>
      <c r="AB19" s="167"/>
      <c r="AC19" s="184" t="b">
        <v>1</v>
      </c>
    </row>
    <row r="20" spans="1:29" hidden="1" outlineLevel="1" x14ac:dyDescent="0.25">
      <c r="A20" s="169" t="s">
        <v>0</v>
      </c>
      <c r="B20" s="170" t="s">
        <v>1118</v>
      </c>
      <c r="C20" s="170" t="s">
        <v>1</v>
      </c>
      <c r="D20" s="170" t="s">
        <v>8</v>
      </c>
      <c r="E20" s="170" t="s">
        <v>18</v>
      </c>
      <c r="F20" s="170" t="s">
        <v>282</v>
      </c>
      <c r="G20" s="170" t="s">
        <v>58</v>
      </c>
      <c r="H20" s="170" t="s">
        <v>59</v>
      </c>
      <c r="I20" s="170" t="s">
        <v>270</v>
      </c>
      <c r="J20" s="171" t="s">
        <v>60</v>
      </c>
      <c r="L20" s="172" t="s">
        <v>708</v>
      </c>
      <c r="M20" s="170" t="s">
        <v>8</v>
      </c>
      <c r="N20" s="170" t="s">
        <v>18</v>
      </c>
      <c r="O20" s="171" t="s">
        <v>709</v>
      </c>
      <c r="P20" s="170" t="s">
        <v>708</v>
      </c>
      <c r="Q20" s="170" t="s">
        <v>8</v>
      </c>
      <c r="R20" s="170" t="s">
        <v>18</v>
      </c>
      <c r="S20" s="171" t="s">
        <v>709</v>
      </c>
      <c r="T20" s="170" t="s">
        <v>708</v>
      </c>
      <c r="U20" s="170" t="s">
        <v>8</v>
      </c>
      <c r="V20" s="170" t="s">
        <v>18</v>
      </c>
      <c r="W20" s="171" t="s">
        <v>709</v>
      </c>
      <c r="Y20" s="185" t="s">
        <v>986</v>
      </c>
      <c r="Z20" s="186" t="s">
        <v>10</v>
      </c>
      <c r="AA20" s="186" t="s">
        <v>11</v>
      </c>
      <c r="AB20" s="186" t="s">
        <v>12</v>
      </c>
      <c r="AC20" s="187" t="s">
        <v>13</v>
      </c>
    </row>
    <row r="21" spans="1:29" hidden="1" outlineLevel="1" x14ac:dyDescent="0.25">
      <c r="A21" s="213">
        <v>1</v>
      </c>
      <c r="B21" s="173">
        <v>6</v>
      </c>
      <c r="C21" s="174" t="s">
        <v>2</v>
      </c>
      <c r="D21" s="175" t="s">
        <v>1499</v>
      </c>
      <c r="E21" s="174">
        <v>115</v>
      </c>
      <c r="F21" s="174">
        <v>5</v>
      </c>
      <c r="G21" s="174">
        <v>10</v>
      </c>
      <c r="H21" s="174">
        <v>10</v>
      </c>
      <c r="I21" s="174">
        <v>3</v>
      </c>
      <c r="J21" s="175">
        <v>100</v>
      </c>
      <c r="K21" s="176"/>
      <c r="L21" s="177" t="s">
        <v>718</v>
      </c>
      <c r="M21" s="178" t="s">
        <v>524</v>
      </c>
      <c r="N21" s="178">
        <v>10</v>
      </c>
      <c r="O21" s="179">
        <v>1</v>
      </c>
      <c r="P21" s="177" t="s">
        <v>734</v>
      </c>
      <c r="Q21" s="178" t="s">
        <v>544</v>
      </c>
      <c r="R21" s="178">
        <v>10</v>
      </c>
      <c r="S21" s="179">
        <v>1</v>
      </c>
      <c r="T21" s="177" t="s">
        <v>707</v>
      </c>
      <c r="U21" s="178" t="s">
        <v>1499</v>
      </c>
      <c r="V21" s="178">
        <v>10</v>
      </c>
      <c r="W21" s="179">
        <v>1</v>
      </c>
      <c r="Y21" s="177"/>
      <c r="Z21" s="178"/>
      <c r="AA21" s="178"/>
      <c r="AB21" s="178"/>
      <c r="AC21" s="231"/>
    </row>
    <row r="22" spans="1:29" hidden="1" outlineLevel="1" x14ac:dyDescent="0.25">
      <c r="A22" s="213">
        <v>2</v>
      </c>
      <c r="B22" s="177">
        <v>5</v>
      </c>
      <c r="C22" s="178" t="s">
        <v>6</v>
      </c>
      <c r="D22" s="180" t="s">
        <v>171</v>
      </c>
      <c r="E22" s="178">
        <v>100</v>
      </c>
      <c r="F22" s="178">
        <v>5</v>
      </c>
      <c r="G22" s="178">
        <v>10</v>
      </c>
      <c r="H22" s="178">
        <v>0</v>
      </c>
      <c r="I22" s="178">
        <v>0</v>
      </c>
      <c r="J22" s="180">
        <v>100</v>
      </c>
      <c r="K22" s="176"/>
      <c r="L22" s="177" t="s">
        <v>718</v>
      </c>
      <c r="M22" s="178" t="s">
        <v>524</v>
      </c>
      <c r="N22" s="178">
        <v>10</v>
      </c>
      <c r="O22" s="179">
        <v>1</v>
      </c>
      <c r="P22" s="177" t="s">
        <v>932</v>
      </c>
      <c r="Q22" s="178" t="s">
        <v>929</v>
      </c>
      <c r="R22" s="178">
        <v>10</v>
      </c>
      <c r="S22" s="179">
        <v>1</v>
      </c>
      <c r="T22" s="177" t="s">
        <v>749</v>
      </c>
      <c r="U22" s="178" t="s">
        <v>577</v>
      </c>
      <c r="V22" s="178">
        <v>10</v>
      </c>
      <c r="W22" s="179">
        <v>1</v>
      </c>
      <c r="Y22" s="177"/>
      <c r="Z22" s="178"/>
      <c r="AA22" s="178"/>
      <c r="AB22" s="178"/>
      <c r="AC22" s="231"/>
    </row>
    <row r="23" spans="1:29" hidden="1" outlineLevel="1" x14ac:dyDescent="0.25">
      <c r="A23" s="213">
        <v>3</v>
      </c>
      <c r="B23" s="177">
        <v>5</v>
      </c>
      <c r="C23" s="178" t="s">
        <v>3</v>
      </c>
      <c r="D23" s="180" t="s">
        <v>186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760</v>
      </c>
      <c r="M23" s="178" t="s">
        <v>559</v>
      </c>
      <c r="N23" s="178">
        <v>10</v>
      </c>
      <c r="O23" s="179">
        <v>1</v>
      </c>
      <c r="P23" s="177" t="s">
        <v>9</v>
      </c>
      <c r="Q23" s="178" t="s">
        <v>565</v>
      </c>
      <c r="R23" s="178">
        <v>10</v>
      </c>
      <c r="S23" s="179">
        <v>1</v>
      </c>
      <c r="T23" s="177" t="s">
        <v>739</v>
      </c>
      <c r="U23" s="178" t="s">
        <v>548</v>
      </c>
      <c r="V23" s="178">
        <v>10</v>
      </c>
      <c r="W23" s="179">
        <v>1</v>
      </c>
      <c r="Y23" s="177"/>
      <c r="Z23" s="178"/>
      <c r="AA23" s="178"/>
      <c r="AB23" s="178"/>
      <c r="AC23" s="231"/>
    </row>
    <row r="24" spans="1:29" hidden="1" outlineLevel="1" x14ac:dyDescent="0.25">
      <c r="A24" s="213">
        <v>4</v>
      </c>
      <c r="B24" s="177">
        <v>2</v>
      </c>
      <c r="C24" s="178" t="s">
        <v>3</v>
      </c>
      <c r="D24" s="180" t="s">
        <v>70</v>
      </c>
      <c r="E24" s="178">
        <v>100</v>
      </c>
      <c r="F24" s="178">
        <v>5</v>
      </c>
      <c r="G24" s="178">
        <v>10</v>
      </c>
      <c r="H24" s="178">
        <v>0</v>
      </c>
      <c r="I24" s="178">
        <v>0</v>
      </c>
      <c r="J24" s="180">
        <v>100</v>
      </c>
      <c r="K24" s="176"/>
      <c r="L24" s="177" t="s">
        <v>760</v>
      </c>
      <c r="M24" s="178" t="s">
        <v>559</v>
      </c>
      <c r="N24" s="178">
        <v>10</v>
      </c>
      <c r="O24" s="179">
        <v>1</v>
      </c>
      <c r="P24" s="177" t="s">
        <v>9</v>
      </c>
      <c r="Q24" s="178" t="s">
        <v>565</v>
      </c>
      <c r="R24" s="178">
        <v>10</v>
      </c>
      <c r="S24" s="179">
        <v>1</v>
      </c>
      <c r="T24" s="177" t="s">
        <v>739</v>
      </c>
      <c r="U24" s="178" t="s">
        <v>548</v>
      </c>
      <c r="V24" s="178">
        <v>10</v>
      </c>
      <c r="W24" s="179">
        <v>1</v>
      </c>
      <c r="Y24" s="177"/>
      <c r="Z24" s="178"/>
      <c r="AA24" s="178"/>
      <c r="AB24" s="178"/>
      <c r="AC24" s="231"/>
    </row>
    <row r="25" spans="1:29" hidden="1" outlineLevel="1" x14ac:dyDescent="0.25">
      <c r="A25" s="214">
        <v>5</v>
      </c>
      <c r="B25" s="181">
        <v>5</v>
      </c>
      <c r="C25" s="182" t="s">
        <v>3</v>
      </c>
      <c r="D25" s="159" t="s">
        <v>197</v>
      </c>
      <c r="E25" s="182">
        <v>100</v>
      </c>
      <c r="F25" s="182">
        <v>5</v>
      </c>
      <c r="G25" s="182">
        <v>10</v>
      </c>
      <c r="H25" s="182">
        <v>0</v>
      </c>
      <c r="I25" s="182">
        <v>0</v>
      </c>
      <c r="J25" s="159">
        <v>100</v>
      </c>
      <c r="K25" s="176"/>
      <c r="L25" s="181" t="s">
        <v>760</v>
      </c>
      <c r="M25" s="182" t="s">
        <v>559</v>
      </c>
      <c r="N25" s="182">
        <v>10</v>
      </c>
      <c r="O25" s="183">
        <v>1</v>
      </c>
      <c r="P25" s="181" t="s">
        <v>9</v>
      </c>
      <c r="Q25" s="182" t="s">
        <v>565</v>
      </c>
      <c r="R25" s="182">
        <v>10</v>
      </c>
      <c r="S25" s="183">
        <v>1</v>
      </c>
      <c r="T25" s="181" t="s">
        <v>739</v>
      </c>
      <c r="U25" s="182" t="s">
        <v>548</v>
      </c>
      <c r="V25" s="182">
        <v>10</v>
      </c>
      <c r="W25" s="183">
        <v>1</v>
      </c>
      <c r="Y25" s="181"/>
      <c r="Z25" s="182"/>
      <c r="AA25" s="182"/>
      <c r="AB25" s="182"/>
      <c r="AC25" s="232"/>
    </row>
    <row r="26" spans="1:29" hidden="1" outlineLevel="1" x14ac:dyDescent="0.25"/>
    <row r="27" spans="1:29" hidden="1" outlineLevel="1" x14ac:dyDescent="0.25">
      <c r="A27" s="164" t="s">
        <v>969</v>
      </c>
      <c r="B27" s="164"/>
      <c r="C27" s="164"/>
      <c r="D27" s="164"/>
      <c r="E27" s="164"/>
      <c r="F27" s="164"/>
      <c r="H27" s="164" t="s">
        <v>972</v>
      </c>
      <c r="I27" s="164"/>
      <c r="J27" s="164"/>
    </row>
    <row r="28" spans="1:29" hidden="1" outlineLevel="1" x14ac:dyDescent="0.25">
      <c r="A28" s="165"/>
      <c r="B28" s="168" t="s">
        <v>770</v>
      </c>
      <c r="C28" s="166"/>
      <c r="D28" s="166"/>
      <c r="E28" s="166"/>
      <c r="F28" s="167"/>
      <c r="H28" s="161">
        <v>1</v>
      </c>
      <c r="I28" s="161">
        <v>3</v>
      </c>
      <c r="J28" s="161"/>
    </row>
    <row r="29" spans="1:29" hidden="1" outlineLevel="1" x14ac:dyDescent="0.25">
      <c r="A29" s="169" t="s">
        <v>774</v>
      </c>
      <c r="B29" s="172" t="s">
        <v>8</v>
      </c>
      <c r="C29" s="170" t="s">
        <v>1118</v>
      </c>
      <c r="D29" s="170" t="s">
        <v>18</v>
      </c>
      <c r="E29" s="170" t="s">
        <v>775</v>
      </c>
      <c r="F29" s="171" t="s">
        <v>585</v>
      </c>
      <c r="H29" s="161"/>
      <c r="I29" s="161">
        <v>4</v>
      </c>
      <c r="J29" s="161"/>
    </row>
    <row r="30" spans="1:29" hidden="1" outlineLevel="1" x14ac:dyDescent="0.25">
      <c r="A30" s="214">
        <v>1</v>
      </c>
      <c r="B30" s="181" t="s">
        <v>661</v>
      </c>
      <c r="C30" s="182">
        <v>5</v>
      </c>
      <c r="D30" s="182">
        <v>100</v>
      </c>
      <c r="E30" s="182">
        <v>10</v>
      </c>
      <c r="F30" s="159" t="s">
        <v>703</v>
      </c>
      <c r="H30" s="161">
        <v>2</v>
      </c>
      <c r="I30" s="161">
        <v>5</v>
      </c>
      <c r="J30" s="161"/>
    </row>
    <row r="31" spans="1:29" hidden="1" outlineLevel="1" x14ac:dyDescent="0.25"/>
    <row r="32" spans="1:29" collapsed="1" x14ac:dyDescent="0.25"/>
    <row r="33" spans="1:20" ht="18.75" x14ac:dyDescent="0.3">
      <c r="A33" s="188" t="s">
        <v>1085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0" s="189" customFormat="1" ht="15" hidden="1" customHeight="1" outlineLevel="1" x14ac:dyDescent="0.3">
      <c r="A34" s="216" t="s">
        <v>1157</v>
      </c>
      <c r="B34" s="188"/>
      <c r="C34" s="188"/>
      <c r="D34" s="188"/>
      <c r="E34" s="188"/>
      <c r="F34" s="188"/>
      <c r="G34" s="188"/>
      <c r="H34" s="188"/>
      <c r="I34" s="215"/>
      <c r="J34" s="215"/>
      <c r="K34" s="215"/>
      <c r="L34" s="188"/>
      <c r="M34" s="188"/>
    </row>
    <row r="35" spans="1:20" hidden="1" outlineLevel="1" x14ac:dyDescent="0.25">
      <c r="A35" s="190"/>
      <c r="B35" s="168" t="s">
        <v>1081</v>
      </c>
      <c r="C35" s="166"/>
      <c r="D35" s="166"/>
      <c r="E35" s="166"/>
      <c r="F35" s="166"/>
      <c r="G35" s="166"/>
      <c r="H35" s="166"/>
      <c r="I35" s="168" t="s">
        <v>775</v>
      </c>
      <c r="J35" s="166"/>
      <c r="K35" s="166"/>
      <c r="L35" s="167"/>
      <c r="M35" s="168" t="s">
        <v>1075</v>
      </c>
      <c r="N35" s="167"/>
      <c r="P35" s="191" t="s">
        <v>1154</v>
      </c>
    </row>
    <row r="36" spans="1:20" hidden="1" outlineLevel="1" x14ac:dyDescent="0.25">
      <c r="A36" s="169" t="s">
        <v>1074</v>
      </c>
      <c r="B36" s="170" t="s">
        <v>1117</v>
      </c>
      <c r="C36" s="215" t="s">
        <v>8</v>
      </c>
      <c r="D36" s="215" t="s">
        <v>18</v>
      </c>
      <c r="E36" s="215" t="s">
        <v>1817</v>
      </c>
      <c r="F36" s="215" t="s">
        <v>1816</v>
      </c>
      <c r="G36" s="215" t="s">
        <v>1078</v>
      </c>
      <c r="H36" s="215" t="s">
        <v>60</v>
      </c>
      <c r="I36" s="172">
        <v>1</v>
      </c>
      <c r="J36" s="170">
        <v>2</v>
      </c>
      <c r="K36" s="170">
        <v>3</v>
      </c>
      <c r="L36" s="171">
        <v>4</v>
      </c>
      <c r="M36" s="172">
        <v>1</v>
      </c>
      <c r="N36" s="171">
        <v>2</v>
      </c>
      <c r="P36" s="161" t="b">
        <v>0</v>
      </c>
    </row>
    <row r="37" spans="1:20" hidden="1" outlineLevel="1" x14ac:dyDescent="0.25">
      <c r="A37" s="211">
        <v>1</v>
      </c>
      <c r="B37" s="212">
        <f>IFERROR(4-INDEX('SF Data'!J:J,MATCH(C37,'SF Data'!C:C,0)),"")</f>
        <v>3</v>
      </c>
      <c r="C37" s="173" t="s">
        <v>1748</v>
      </c>
      <c r="D37" s="174">
        <v>100</v>
      </c>
      <c r="E37" s="174">
        <v>5</v>
      </c>
      <c r="F37" s="174">
        <v>4</v>
      </c>
      <c r="G37" s="174"/>
      <c r="H37" s="175">
        <v>100</v>
      </c>
      <c r="I37" s="178">
        <v>10</v>
      </c>
      <c r="J37" s="178">
        <v>10</v>
      </c>
      <c r="K37" s="178">
        <v>5</v>
      </c>
      <c r="L37" s="180">
        <v>5</v>
      </c>
      <c r="M37" s="177" t="s">
        <v>1124</v>
      </c>
      <c r="N37" s="180" t="s">
        <v>1119</v>
      </c>
      <c r="P37" s="192"/>
      <c r="R37" s="236" t="s">
        <v>1146</v>
      </c>
      <c r="S37" s="236"/>
      <c r="T37" s="236"/>
    </row>
    <row r="38" spans="1:20" hidden="1" outlineLevel="1" x14ac:dyDescent="0.25">
      <c r="A38" s="213">
        <v>2</v>
      </c>
      <c r="B38" s="205">
        <f>IFERROR(4-INDEX('SF Data'!J:J,MATCH(C38,'SF Data'!C:C,0)),"")</f>
        <v>2</v>
      </c>
      <c r="C38" s="177" t="s">
        <v>1036</v>
      </c>
      <c r="D38" s="178">
        <v>100</v>
      </c>
      <c r="E38" s="178">
        <v>5</v>
      </c>
      <c r="F38" s="178">
        <v>4</v>
      </c>
      <c r="G38" s="178" t="s">
        <v>1077</v>
      </c>
      <c r="H38" s="180">
        <v>100</v>
      </c>
      <c r="I38" s="178">
        <v>5</v>
      </c>
      <c r="J38" s="178">
        <v>5</v>
      </c>
      <c r="K38" s="178"/>
      <c r="L38" s="180"/>
      <c r="M38" s="177"/>
      <c r="N38" s="180"/>
      <c r="P38" s="192"/>
      <c r="R38" s="161">
        <v>2</v>
      </c>
      <c r="S38" s="161"/>
      <c r="T38" s="161"/>
    </row>
    <row r="39" spans="1:20" hidden="1" outlineLevel="1" x14ac:dyDescent="0.25">
      <c r="A39" s="213">
        <v>3</v>
      </c>
      <c r="B39" s="205">
        <f>IFERROR(4-INDEX('SF Data'!J:J,MATCH(C39,'SF Data'!C:C,0)),"")</f>
        <v>2</v>
      </c>
      <c r="C39" s="177" t="s">
        <v>1036</v>
      </c>
      <c r="D39" s="178">
        <v>100</v>
      </c>
      <c r="E39" s="178">
        <v>5</v>
      </c>
      <c r="F39" s="178">
        <v>4</v>
      </c>
      <c r="G39" s="178" t="s">
        <v>1077</v>
      </c>
      <c r="H39" s="180">
        <v>100</v>
      </c>
      <c r="I39" s="178">
        <v>5</v>
      </c>
      <c r="J39" s="178">
        <v>5</v>
      </c>
      <c r="K39" s="178"/>
      <c r="L39" s="180"/>
      <c r="M39" s="177"/>
      <c r="N39" s="180"/>
      <c r="P39" s="192"/>
      <c r="R39" s="161">
        <v>4</v>
      </c>
      <c r="S39" s="161">
        <v>1</v>
      </c>
      <c r="T39" s="161"/>
    </row>
    <row r="40" spans="1:20" hidden="1" outlineLevel="1" x14ac:dyDescent="0.25">
      <c r="A40" s="213">
        <v>4</v>
      </c>
      <c r="B40" s="205">
        <f>IFERROR(4-INDEX('SF Data'!J:J,MATCH(C40,'SF Data'!C:C,0)),"")</f>
        <v>1</v>
      </c>
      <c r="C40" s="177" t="s">
        <v>1048</v>
      </c>
      <c r="D40" s="178">
        <v>100</v>
      </c>
      <c r="E40" s="178">
        <v>5</v>
      </c>
      <c r="F40" s="178">
        <v>4</v>
      </c>
      <c r="G40" s="178" t="s">
        <v>1077</v>
      </c>
      <c r="H40" s="180">
        <v>100</v>
      </c>
      <c r="I40" s="178">
        <v>5</v>
      </c>
      <c r="J40" s="178"/>
      <c r="K40" s="178"/>
      <c r="L40" s="180"/>
      <c r="M40" s="177"/>
      <c r="N40" s="180"/>
      <c r="P40" s="192"/>
      <c r="R40" s="161">
        <v>3</v>
      </c>
      <c r="S40" s="161"/>
      <c r="T40" s="161"/>
    </row>
    <row r="41" spans="1:20" hidden="1" outlineLevel="1" x14ac:dyDescent="0.25">
      <c r="A41" s="213">
        <v>5</v>
      </c>
      <c r="B41" s="205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P41" s="192"/>
    </row>
    <row r="42" spans="1:20" hidden="1" outlineLevel="1" x14ac:dyDescent="0.25">
      <c r="A42" s="213">
        <v>6</v>
      </c>
      <c r="B42" s="205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178"/>
      <c r="L42" s="180"/>
      <c r="M42" s="177"/>
      <c r="N42" s="180"/>
      <c r="P42" s="192"/>
    </row>
    <row r="43" spans="1:20" hidden="1" outlineLevel="1" x14ac:dyDescent="0.25">
      <c r="A43" s="213">
        <v>7</v>
      </c>
      <c r="B43" s="205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P43" s="192"/>
    </row>
    <row r="44" spans="1:20" hidden="1" outlineLevel="1" x14ac:dyDescent="0.25">
      <c r="A44" s="213">
        <v>8</v>
      </c>
      <c r="B44" s="205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P44" s="192"/>
    </row>
    <row r="45" spans="1:20" hidden="1" outlineLevel="1" x14ac:dyDescent="0.25">
      <c r="A45" s="214">
        <v>9</v>
      </c>
      <c r="B45" s="207" t="str">
        <f>IFERROR(4-INDEX('SF Data'!J:J,MATCH(C45,'SF Data'!C:C,0)),"")</f>
        <v/>
      </c>
      <c r="C45" s="181"/>
      <c r="D45" s="182"/>
      <c r="E45" s="182"/>
      <c r="F45" s="182"/>
      <c r="G45" s="182"/>
      <c r="H45" s="159"/>
      <c r="I45" s="182"/>
      <c r="J45" s="182"/>
      <c r="K45" s="182"/>
      <c r="L45" s="159"/>
      <c r="M45" s="181"/>
      <c r="N45" s="159"/>
      <c r="P45" s="193"/>
    </row>
    <row r="46" spans="1:20" hidden="1" outlineLevel="1" x14ac:dyDescent="0.25"/>
    <row r="47" spans="1:20" collapsed="1" x14ac:dyDescent="0.25"/>
    <row r="48" spans="1:20" ht="18.75" x14ac:dyDescent="0.3">
      <c r="A48" s="188" t="s">
        <v>1818</v>
      </c>
    </row>
    <row r="49" spans="1:14" hidden="1" outlineLevel="1" x14ac:dyDescent="0.25">
      <c r="A49" s="164" t="s">
        <v>1856</v>
      </c>
      <c r="B49" s="164"/>
      <c r="C49" s="164"/>
      <c r="D49" s="164"/>
      <c r="E49" s="164"/>
      <c r="F49" s="164"/>
      <c r="G49" s="164"/>
      <c r="H49" s="164"/>
      <c r="I49" s="164"/>
      <c r="J49" s="164"/>
    </row>
    <row r="50" spans="1:14" hidden="1" outlineLevel="1" x14ac:dyDescent="0.25">
      <c r="A50" s="195"/>
      <c r="B50" s="196"/>
      <c r="C50" s="197"/>
      <c r="D50" s="168" t="s">
        <v>896</v>
      </c>
      <c r="E50" s="166"/>
      <c r="F50" s="166"/>
      <c r="G50" s="167"/>
      <c r="H50" s="168" t="s">
        <v>775</v>
      </c>
      <c r="I50" s="166"/>
      <c r="J50" s="167"/>
    </row>
    <row r="51" spans="1:14" hidden="1" outlineLevel="1" x14ac:dyDescent="0.25">
      <c r="A51" s="172" t="s">
        <v>863</v>
      </c>
      <c r="B51" s="172" t="s">
        <v>869</v>
      </c>
      <c r="C51" s="171" t="s">
        <v>8</v>
      </c>
      <c r="D51" s="170" t="s">
        <v>879</v>
      </c>
      <c r="E51" s="170" t="s">
        <v>878</v>
      </c>
      <c r="F51" s="170" t="s">
        <v>880</v>
      </c>
      <c r="G51" s="171" t="s">
        <v>881</v>
      </c>
      <c r="H51" s="170">
        <v>1</v>
      </c>
      <c r="I51" s="170">
        <v>2</v>
      </c>
      <c r="J51" s="171">
        <v>3</v>
      </c>
    </row>
    <row r="52" spans="1:14" hidden="1" outlineLevel="1" x14ac:dyDescent="0.25">
      <c r="A52" s="177"/>
      <c r="B52" s="205">
        <v>1</v>
      </c>
      <c r="C52" s="206" t="s">
        <v>870</v>
      </c>
      <c r="D52" s="178">
        <v>513</v>
      </c>
      <c r="E52" s="178">
        <v>890</v>
      </c>
      <c r="F52" s="178">
        <v>647</v>
      </c>
      <c r="G52" s="180">
        <v>153</v>
      </c>
      <c r="H52" s="178">
        <v>10</v>
      </c>
      <c r="I52" s="178">
        <v>10</v>
      </c>
      <c r="J52" s="180">
        <v>10</v>
      </c>
    </row>
    <row r="53" spans="1:14" hidden="1" outlineLevel="1" x14ac:dyDescent="0.25">
      <c r="A53" s="177"/>
      <c r="B53" s="205">
        <v>2</v>
      </c>
      <c r="C53" s="206" t="s">
        <v>871</v>
      </c>
      <c r="D53" s="178">
        <v>292</v>
      </c>
      <c r="E53" s="178">
        <v>336</v>
      </c>
      <c r="F53" s="178">
        <v>381</v>
      </c>
      <c r="G53" s="180">
        <v>744</v>
      </c>
      <c r="H53" s="178">
        <v>10</v>
      </c>
      <c r="I53" s="178">
        <v>10</v>
      </c>
      <c r="J53" s="180">
        <v>10</v>
      </c>
    </row>
    <row r="54" spans="1:14" hidden="1" outlineLevel="1" x14ac:dyDescent="0.25">
      <c r="A54" s="177"/>
      <c r="B54" s="205">
        <v>3</v>
      </c>
      <c r="C54" s="206" t="s">
        <v>872</v>
      </c>
      <c r="D54" s="178">
        <v>620</v>
      </c>
      <c r="E54" s="178">
        <v>121</v>
      </c>
      <c r="F54" s="178">
        <v>276</v>
      </c>
      <c r="G54" s="180">
        <v>306</v>
      </c>
      <c r="H54" s="178">
        <v>10</v>
      </c>
      <c r="I54" s="178">
        <v>10</v>
      </c>
      <c r="J54" s="180">
        <v>10</v>
      </c>
    </row>
    <row r="55" spans="1:14" hidden="1" outlineLevel="1" x14ac:dyDescent="0.25">
      <c r="A55" s="177"/>
      <c r="B55" s="205">
        <v>4</v>
      </c>
      <c r="C55" s="206" t="s">
        <v>873</v>
      </c>
      <c r="D55" s="178">
        <v>519</v>
      </c>
      <c r="E55" s="178">
        <v>138</v>
      </c>
      <c r="F55" s="178">
        <v>266</v>
      </c>
      <c r="G55" s="180">
        <v>401</v>
      </c>
      <c r="H55" s="178">
        <v>10</v>
      </c>
      <c r="I55" s="178">
        <v>10</v>
      </c>
      <c r="J55" s="180">
        <v>10</v>
      </c>
    </row>
    <row r="56" spans="1:14" hidden="1" outlineLevel="1" x14ac:dyDescent="0.25">
      <c r="A56" s="177"/>
      <c r="B56" s="205">
        <v>5</v>
      </c>
      <c r="C56" s="206" t="s">
        <v>874</v>
      </c>
      <c r="D56" s="178">
        <v>432</v>
      </c>
      <c r="E56" s="178">
        <v>631</v>
      </c>
      <c r="F56" s="178">
        <v>548</v>
      </c>
      <c r="G56" s="180">
        <v>249</v>
      </c>
      <c r="H56" s="178">
        <v>10</v>
      </c>
      <c r="I56" s="178">
        <v>10</v>
      </c>
      <c r="J56" s="180">
        <v>10</v>
      </c>
    </row>
    <row r="57" spans="1:14" hidden="1" outlineLevel="1" x14ac:dyDescent="0.25">
      <c r="A57" s="177"/>
      <c r="B57" s="205">
        <v>6</v>
      </c>
      <c r="C57" s="206" t="s">
        <v>875</v>
      </c>
      <c r="D57" s="178">
        <v>299</v>
      </c>
      <c r="E57" s="178">
        <v>309</v>
      </c>
      <c r="F57" s="178">
        <v>344</v>
      </c>
      <c r="G57" s="180">
        <v>603</v>
      </c>
      <c r="H57" s="178">
        <v>10</v>
      </c>
      <c r="I57" s="178">
        <v>10</v>
      </c>
      <c r="J57" s="180">
        <v>10</v>
      </c>
    </row>
    <row r="58" spans="1:14" hidden="1" outlineLevel="1" x14ac:dyDescent="0.25">
      <c r="A58" s="177"/>
      <c r="B58" s="205">
        <v>7</v>
      </c>
      <c r="C58" s="206" t="s">
        <v>876</v>
      </c>
      <c r="D58" s="178">
        <v>466</v>
      </c>
      <c r="E58" s="178">
        <v>617</v>
      </c>
      <c r="F58" s="178">
        <v>509</v>
      </c>
      <c r="G58" s="180">
        <v>234</v>
      </c>
      <c r="H58" s="178">
        <v>10</v>
      </c>
      <c r="I58" s="178">
        <v>10</v>
      </c>
      <c r="J58" s="180">
        <v>10</v>
      </c>
    </row>
    <row r="59" spans="1:14" hidden="1" outlineLevel="1" x14ac:dyDescent="0.25">
      <c r="A59" s="181"/>
      <c r="B59" s="207">
        <v>8</v>
      </c>
      <c r="C59" s="208" t="s">
        <v>1794</v>
      </c>
      <c r="D59" s="182">
        <v>598</v>
      </c>
      <c r="E59" s="182">
        <v>263</v>
      </c>
      <c r="F59" s="182">
        <v>488</v>
      </c>
      <c r="G59" s="159">
        <v>455</v>
      </c>
      <c r="H59" s="182">
        <v>10</v>
      </c>
      <c r="I59" s="182">
        <v>10</v>
      </c>
      <c r="J59" s="159">
        <v>10</v>
      </c>
    </row>
    <row r="60" spans="1:14" hidden="1" outlineLevel="1" x14ac:dyDescent="0.25"/>
    <row r="61" spans="1:14" hidden="1" outlineLevel="1" x14ac:dyDescent="0.25">
      <c r="A61" s="164" t="s">
        <v>1857</v>
      </c>
    </row>
    <row r="62" spans="1:14" s="189" customFormat="1" hidden="1" outlineLevel="1" x14ac:dyDescent="0.25">
      <c r="A62" s="165"/>
      <c r="B62" s="196"/>
      <c r="C62" s="221"/>
      <c r="D62" s="166" t="s">
        <v>1819</v>
      </c>
      <c r="E62" s="166"/>
      <c r="F62" s="166"/>
      <c r="G62" s="167"/>
      <c r="H62" s="166" t="s">
        <v>775</v>
      </c>
      <c r="I62" s="166"/>
      <c r="J62" s="166"/>
      <c r="K62" s="167"/>
      <c r="L62" s="166" t="s">
        <v>1075</v>
      </c>
      <c r="M62" s="167"/>
      <c r="N62" s="191" t="s">
        <v>1820</v>
      </c>
    </row>
    <row r="63" spans="1:14" s="189" customFormat="1" hidden="1" outlineLevel="1" x14ac:dyDescent="0.25">
      <c r="A63" s="169" t="s">
        <v>863</v>
      </c>
      <c r="B63" s="172" t="s">
        <v>1074</v>
      </c>
      <c r="C63" s="171" t="s">
        <v>8</v>
      </c>
      <c r="D63" s="170" t="s">
        <v>18</v>
      </c>
      <c r="E63" s="170" t="s">
        <v>1817</v>
      </c>
      <c r="F63" s="170" t="s">
        <v>1816</v>
      </c>
      <c r="G63" s="171" t="s">
        <v>60</v>
      </c>
      <c r="H63" s="170">
        <v>1</v>
      </c>
      <c r="I63" s="170">
        <v>2</v>
      </c>
      <c r="J63" s="170">
        <v>3</v>
      </c>
      <c r="K63" s="171">
        <v>4</v>
      </c>
      <c r="L63" s="170">
        <v>1</v>
      </c>
      <c r="M63" s="171">
        <v>2</v>
      </c>
      <c r="N63" s="228" t="s">
        <v>1855</v>
      </c>
    </row>
    <row r="64" spans="1:14" hidden="1" outlineLevel="1" x14ac:dyDescent="0.25">
      <c r="A64" s="220"/>
      <c r="B64" s="205">
        <v>1</v>
      </c>
      <c r="C64" s="206" t="s">
        <v>1748</v>
      </c>
      <c r="D64" s="178">
        <v>100</v>
      </c>
      <c r="E64" s="178">
        <v>5</v>
      </c>
      <c r="F64" s="178">
        <v>4</v>
      </c>
      <c r="G64" s="180">
        <v>100</v>
      </c>
      <c r="H64" s="178">
        <v>10</v>
      </c>
      <c r="I64" s="178">
        <v>10</v>
      </c>
      <c r="J64" s="178">
        <v>5</v>
      </c>
      <c r="K64" s="180">
        <v>5</v>
      </c>
      <c r="L64" s="178"/>
      <c r="M64" s="180"/>
      <c r="N64" s="225">
        <v>100</v>
      </c>
    </row>
    <row r="65" spans="1:14" hidden="1" outlineLevel="1" x14ac:dyDescent="0.25">
      <c r="A65" s="220"/>
      <c r="B65" s="205">
        <v>2</v>
      </c>
      <c r="C65" s="206" t="s">
        <v>1018</v>
      </c>
      <c r="D65" s="178">
        <v>100</v>
      </c>
      <c r="E65" s="178">
        <v>5</v>
      </c>
      <c r="F65" s="178">
        <v>4</v>
      </c>
      <c r="G65" s="180">
        <v>100</v>
      </c>
      <c r="H65" s="178">
        <v>10</v>
      </c>
      <c r="I65" s="178">
        <v>10</v>
      </c>
      <c r="J65" s="178">
        <v>5</v>
      </c>
      <c r="K65" s="180">
        <v>5</v>
      </c>
      <c r="L65" s="178"/>
      <c r="M65" s="180"/>
      <c r="N65" s="226">
        <v>102</v>
      </c>
    </row>
    <row r="66" spans="1:14" hidden="1" outlineLevel="1" x14ac:dyDescent="0.25">
      <c r="A66" s="220"/>
      <c r="B66" s="205">
        <v>3</v>
      </c>
      <c r="C66" s="206" t="s">
        <v>1021</v>
      </c>
      <c r="D66" s="178">
        <v>100</v>
      </c>
      <c r="E66" s="178">
        <v>5</v>
      </c>
      <c r="F66" s="178">
        <v>4</v>
      </c>
      <c r="G66" s="180">
        <v>100</v>
      </c>
      <c r="H66" s="178">
        <v>10</v>
      </c>
      <c r="I66" s="178">
        <v>10</v>
      </c>
      <c r="J66" s="178">
        <v>5</v>
      </c>
      <c r="K66" s="180">
        <v>5</v>
      </c>
      <c r="L66" s="178"/>
      <c r="M66" s="180"/>
      <c r="N66" s="226">
        <v>104</v>
      </c>
    </row>
    <row r="67" spans="1:14" hidden="1" outlineLevel="1" x14ac:dyDescent="0.25">
      <c r="A67" s="220"/>
      <c r="B67" s="205">
        <v>4</v>
      </c>
      <c r="C67" s="206" t="s">
        <v>1027</v>
      </c>
      <c r="D67" s="178">
        <v>100</v>
      </c>
      <c r="E67" s="178">
        <v>5</v>
      </c>
      <c r="F67" s="178">
        <v>4</v>
      </c>
      <c r="G67" s="180">
        <v>100</v>
      </c>
      <c r="H67" s="178">
        <v>10</v>
      </c>
      <c r="I67" s="178">
        <v>10</v>
      </c>
      <c r="J67" s="178">
        <v>5</v>
      </c>
      <c r="K67" s="180">
        <v>5</v>
      </c>
      <c r="L67" s="178"/>
      <c r="M67" s="180"/>
      <c r="N67" s="226">
        <v>105</v>
      </c>
    </row>
    <row r="68" spans="1:14" hidden="1" outlineLevel="1" x14ac:dyDescent="0.25">
      <c r="A68" s="204"/>
      <c r="B68" s="207">
        <v>5</v>
      </c>
      <c r="C68" s="208" t="s">
        <v>1026</v>
      </c>
      <c r="D68" s="182">
        <v>100</v>
      </c>
      <c r="E68" s="182">
        <v>5</v>
      </c>
      <c r="F68" s="182">
        <v>4</v>
      </c>
      <c r="G68" s="159">
        <v>100</v>
      </c>
      <c r="H68" s="182">
        <v>10</v>
      </c>
      <c r="I68" s="182">
        <v>10</v>
      </c>
      <c r="J68" s="182">
        <v>5</v>
      </c>
      <c r="K68" s="159">
        <v>5</v>
      </c>
      <c r="L68" s="182"/>
      <c r="M68" s="159"/>
      <c r="N68" s="227">
        <v>106</v>
      </c>
    </row>
    <row r="69" spans="1:14" s="219" customFormat="1" hidden="1" outlineLevel="1" x14ac:dyDescent="0.25"/>
    <row r="70" spans="1:14" hidden="1" outlineLevel="1" x14ac:dyDescent="0.25">
      <c r="A70" s="164" t="s">
        <v>1155</v>
      </c>
      <c r="B70" s="164"/>
      <c r="C70" s="164"/>
    </row>
    <row r="71" spans="1:14" hidden="1" outlineLevel="1" x14ac:dyDescent="0.25">
      <c r="A71" s="198" t="s">
        <v>967</v>
      </c>
      <c r="B71" s="186" t="s">
        <v>790</v>
      </c>
      <c r="C71" s="187" t="s">
        <v>775</v>
      </c>
    </row>
    <row r="72" spans="1:14" hidden="1" outlineLevel="1" x14ac:dyDescent="0.25">
      <c r="A72" s="205">
        <v>1</v>
      </c>
      <c r="B72" s="199"/>
      <c r="C72" s="180"/>
    </row>
    <row r="73" spans="1:14" hidden="1" outlineLevel="1" x14ac:dyDescent="0.25">
      <c r="A73" s="205">
        <v>2</v>
      </c>
      <c r="B73" s="200"/>
      <c r="C73" s="180"/>
    </row>
    <row r="74" spans="1:14" hidden="1" outlineLevel="1" x14ac:dyDescent="0.25">
      <c r="A74" s="207">
        <v>3</v>
      </c>
      <c r="B74" s="201"/>
      <c r="C74" s="159"/>
    </row>
    <row r="75" spans="1:14" hidden="1" outlineLevel="1" x14ac:dyDescent="0.25">
      <c r="A75" s="194"/>
      <c r="B75" s="194"/>
      <c r="C75" s="194"/>
    </row>
    <row r="76" spans="1:14" hidden="1" outlineLevel="1" x14ac:dyDescent="0.25">
      <c r="A76" s="160" t="s">
        <v>1156</v>
      </c>
    </row>
    <row r="77" spans="1:14" hidden="1" outlineLevel="1" x14ac:dyDescent="0.25">
      <c r="A77" s="191" t="s">
        <v>863</v>
      </c>
      <c r="B77" s="190" t="s">
        <v>8</v>
      </c>
      <c r="C77" s="187" t="s">
        <v>775</v>
      </c>
    </row>
    <row r="78" spans="1:14" hidden="1" outlineLevel="1" x14ac:dyDescent="0.25">
      <c r="A78" s="202"/>
      <c r="B78" s="209" t="s">
        <v>968</v>
      </c>
      <c r="C78" s="203"/>
    </row>
    <row r="79" spans="1:14" hidden="1" outlineLevel="1" x14ac:dyDescent="0.25">
      <c r="A79" s="204"/>
      <c r="B79" s="210" t="s">
        <v>665</v>
      </c>
      <c r="C79" s="204"/>
    </row>
    <row r="80" spans="1:14" hidden="1" outlineLevel="1" x14ac:dyDescent="0.25"/>
    <row r="81" collapsed="1" x14ac:dyDescent="0.25"/>
  </sheetData>
  <mergeCells count="2">
    <mergeCell ref="B16:C16"/>
    <mergeCell ref="R37:T37"/>
  </mergeCells>
  <conditionalFormatting sqref="M37:M45">
    <cfRule type="expression" dxfId="10" priority="12">
      <formula>$B37&lt;&gt;3</formula>
    </cfRule>
  </conditionalFormatting>
  <conditionalFormatting sqref="N37:N45">
    <cfRule type="expression" dxfId="9" priority="11">
      <formula>OR($B37&lt;&gt;3,AND($B37=3,$F37&lt;&gt;4))</formula>
    </cfRule>
  </conditionalFormatting>
  <conditionalFormatting sqref="G37:G45">
    <cfRule type="expression" dxfId="8" priority="10">
      <formula>$B37=3</formula>
    </cfRule>
  </conditionalFormatting>
  <conditionalFormatting sqref="L37:L45">
    <cfRule type="expression" dxfId="7" priority="9">
      <formula>OR($B37&lt;&gt;3,$F37&lt;&gt;4)</formula>
    </cfRule>
  </conditionalFormatting>
  <conditionalFormatting sqref="K37:K45">
    <cfRule type="expression" dxfId="6" priority="8">
      <formula>B37&lt;&gt;3</formula>
    </cfRule>
  </conditionalFormatting>
  <conditionalFormatting sqref="J37:J45">
    <cfRule type="expression" dxfId="5" priority="7">
      <formula>$B37&lt;2</formula>
    </cfRule>
  </conditionalFormatting>
  <conditionalFormatting sqref="L64:L68">
    <cfRule type="expression" dxfId="4" priority="6">
      <formula>#REF!&lt;&gt;3</formula>
    </cfRule>
  </conditionalFormatting>
  <conditionalFormatting sqref="J64:J68">
    <cfRule type="expression" dxfId="3" priority="2">
      <formula>#REF!&lt;&gt;3</formula>
    </cfRule>
  </conditionalFormatting>
  <conditionalFormatting sqref="I64:I68">
    <cfRule type="expression" dxfId="2" priority="1">
      <formula>#REF!&lt;2</formula>
    </cfRule>
  </conditionalFormatting>
  <conditionalFormatting sqref="M64:M68">
    <cfRule type="expression" dxfId="1" priority="15">
      <formula>OR(#REF!&lt;&gt;3,AND(#REF!=3,$F64&lt;&gt;4))</formula>
    </cfRule>
  </conditionalFormatting>
  <conditionalFormatting sqref="K64:K68">
    <cfRule type="expression" dxfId="0" priority="16">
      <formula>OR(#REF!&lt;&gt;3,$F64&lt;&gt;4)</formula>
    </cfRule>
  </conditionalFormatting>
  <dataValidations count="30">
    <dataValidation type="list" allowBlank="1" showInputMessage="1" showErrorMessage="1" sqref="C30 F21:F25" xr:uid="{1FCACD4C-0FA8-4C48-A98B-8E9E88350C65}">
      <formula1>"1,2,3,4,5"</formula1>
    </dataValidation>
    <dataValidation type="list" allowBlank="1" showInputMessage="1" showErrorMessage="1" sqref="C78:C79 E30 G21:G25 C72:C74 H52:J59" xr:uid="{FCCC2E3E-A3D6-45C2-9C3D-20E7ECC1BAF1}">
      <formula1>"1,2,3,4,5,6,7,8,9,10"</formula1>
    </dataValidation>
    <dataValidation type="whole" allowBlank="1" showInputMessage="1" showErrorMessage="1" sqref="D30 D37:D45 D64:D68" xr:uid="{80DC6792-148D-4BFC-80DA-71B23E37E4A2}">
      <formula1>1</formula1>
      <formula2>100</formula2>
    </dataValidation>
    <dataValidation type="custom" allowBlank="1" showInputMessage="1" showErrorMessage="1" sqref="H28:J30" xr:uid="{EE2145AC-772E-45D9-ACD6-76E7FA021818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B11" xr:uid="{CA922A95-A969-45B6-BDD4-9C96B112FF88}">
      <formula1>"Yellow,Red,Blue,White"</formula1>
    </dataValidation>
    <dataValidation type="list" allowBlank="1" showInputMessage="1" showErrorMessage="1" sqref="E11:E12 AC19 P36" xr:uid="{3B086EA7-917B-44E8-9743-ED71ECA3E5E6}">
      <formula1>"TRUE,FALSE"</formula1>
    </dataValidation>
    <dataValidation type="list" allowBlank="1" showInputMessage="1" showErrorMessage="1" sqref="B10" xr:uid="{82ED4012-E53E-4ED9-A13B-BFAE3AB29809}">
      <formula1>"Day,Night,TargetTrain"</formula1>
    </dataValidation>
    <dataValidation type="whole" allowBlank="1" showInputMessage="1" showErrorMessage="1" sqref="B12" xr:uid="{79E0C35A-9CB7-43ED-B1AE-AD76852C1ABF}">
      <formula1>1</formula1>
      <formula2>99</formula2>
    </dataValidation>
    <dataValidation type="whole" operator="greaterThan" allowBlank="1" showInputMessage="1" showErrorMessage="1" sqref="E10" xr:uid="{FA0774A7-F408-45FF-967D-DF2DB3F22FA4}">
      <formula1>0</formula1>
    </dataValidation>
    <dataValidation type="whole" operator="greaterThanOrEqual" allowBlank="1" showInputMessage="1" showErrorMessage="1" sqref="Y21:AC25 D52:G59" xr:uid="{5A1A8508-6E59-4959-9B93-396B548A9B0E}">
      <formula1>0</formula1>
    </dataValidation>
    <dataValidation type="list" allowBlank="1" showInputMessage="1" showErrorMessage="1" sqref="B16" xr:uid="{8372ACDF-E9CB-47D2-9B8B-59D2BBAAE47A}">
      <formula1>ListOfPresets</formula1>
    </dataValidation>
    <dataValidation type="list" allowBlank="1" showInputMessage="1" showErrorMessage="1" sqref="D21:D25" xr:uid="{D004556E-4E3F-46EC-BEB9-823585177351}">
      <formula1>DollNames</formula1>
    </dataValidation>
    <dataValidation type="whole" allowBlank="1" showInputMessage="1" showErrorMessage="1" sqref="E21:E25" xr:uid="{9AC40C4B-8B4F-4F96-AAAB-7454AA56ECE1}">
      <formula1>1</formula1>
      <formula2>120</formula2>
    </dataValidation>
    <dataValidation type="list" allowBlank="1" showInputMessage="1" showErrorMessage="1" sqref="I21:I25 F37:F45 F64:F68" xr:uid="{2154F765-81B6-4C59-BA74-D7EE4E67574B}">
      <formula1>"0,1,2,3,4"</formula1>
    </dataValidation>
    <dataValidation type="whole" allowBlank="1" showInputMessage="1" showErrorMessage="1" sqref="J21:J25" xr:uid="{E462B439-0567-4C97-B64C-34CF52293AB6}">
      <formula1>0</formula1>
      <formula2>200</formula2>
    </dataValidation>
    <dataValidation type="list" allowBlank="1" showInputMessage="1" showErrorMessage="1" sqref="M21:M25 U21:U25 Q21:Q25" xr:uid="{2F5F85B4-C18A-4882-BFAC-1CFB770A543A}">
      <formula1>DollEq</formula1>
    </dataValidation>
    <dataValidation type="list" allowBlank="1" showInputMessage="1" showErrorMessage="1" sqref="H21:H25 N21:N25 R21:R25 V21:V25" xr:uid="{31248698-C8E5-4DF8-B361-12DA782DEC09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37:E45" xr:uid="{F830A6E4-1C41-4099-B360-341EC951B045}">
      <formula1>AND(OR(E37=1,E37=2,E37=3,E37=4,E37=5),E37&gt;=B37)</formula1>
    </dataValidation>
    <dataValidation type="list" allowBlank="1" showInputMessage="1" showErrorMessage="1" sqref="G37:G45" xr:uid="{AF1B8805-91CE-44C9-9325-F9282ABD553E}">
      <formula1>"XS,S,M,L,XL"</formula1>
    </dataValidation>
    <dataValidation type="list" allowBlank="1" showInputMessage="1" showErrorMessage="1" sqref="B9" xr:uid="{A727248C-80C0-4C29-8CAA-16D794E8ABDF}">
      <formula1>"G&amp;K,SF"</formula1>
    </dataValidation>
    <dataValidation type="custom" allowBlank="1" showInputMessage="1" showErrorMessage="1" sqref="H37:H45" xr:uid="{C7033BB4-D07E-425D-9CA8-5A5792F47394}">
      <formula1>IF($B37&lt;3,AND(H37&gt;=0,H37&lt;=100,H37=INT(H37)),AND(H37&gt;=0,H37&lt;=150,H37=INT(H37)))</formula1>
    </dataValidation>
    <dataValidation type="custom" allowBlank="1" showInputMessage="1" showErrorMessage="1" sqref="R38:T40" xr:uid="{9463BE42-C7ED-4694-B334-862D5CEBB7C7}">
      <formula1>AND(R38&gt;=1,R38&lt;=9,R38=INT(R38),COUNTIF($R$38:$T$40,R38)&lt;=1)</formula1>
    </dataValidation>
    <dataValidation type="custom" allowBlank="1" showInputMessage="1" showErrorMessage="1" sqref="A78:A79" xr:uid="{30DFDF33-3A04-4A62-A33F-4FBD8648EE30}">
      <formula1>AND(A78="X",COUNTA($A$78:$A$79)&lt;=1)</formula1>
    </dataValidation>
    <dataValidation type="custom" allowBlank="1" showInputMessage="1" showErrorMessage="1" sqref="A52:A59 A64:A68" xr:uid="{7D558E68-3C30-4C22-BEE9-11982761EBD0}">
      <formula1>A52="X"</formula1>
    </dataValidation>
    <dataValidation type="custom" allowBlank="1" showInputMessage="1" showErrorMessage="1" sqref="I37:J45" xr:uid="{0E5F9827-02E5-4520-993A-EA0E622B9AE3}">
      <formula1>IF($B37=3,AND(I37&gt;=1,I37&lt;=10,I37=INT(I37)),AND(I37&gt;=1,I37&lt;=5,I37=INT(I37)))</formula1>
    </dataValidation>
    <dataValidation type="custom" allowBlank="1" showInputMessage="1" showErrorMessage="1" sqref="K37:L45 J64:K68" xr:uid="{0A4AA8A9-41DD-49B2-A459-8DEBED733098}">
      <formula1>AND(J37&gt;=1,J37&lt;=5,J37=INT(J37))</formula1>
    </dataValidation>
    <dataValidation type="custom" allowBlank="1" showInputMessage="1" showErrorMessage="1" errorTitle="Error:" error="Input must:_x000a_- Be an integer from 1 to 5_x000a_- Not be smaller than the base rarity" sqref="E64:E68" xr:uid="{84C862A0-597F-4007-99F6-5DA080A3125B}">
      <formula1>AND(OR(E64=1,E64=2,E64=3,E64=4,E64=5),E64&gt;=#REF!)</formula1>
    </dataValidation>
    <dataValidation type="custom" allowBlank="1" showInputMessage="1" showErrorMessage="1" sqref="G64:G68" xr:uid="{2B2F0FB9-5B2A-4849-8F08-E4EFA9F843BC}">
      <formula1>IF(#REF!&lt;3,AND(G64&gt;=0,G64&lt;=100,G64=INT(G64)),AND(G64&gt;=0,G64&lt;=150,G64=INT(G64)))</formula1>
    </dataValidation>
    <dataValidation type="custom" allowBlank="1" showInputMessage="1" showErrorMessage="1" sqref="H64:I68" xr:uid="{A71A3912-1786-4B2B-8202-786CECA986FD}">
      <formula1>IF(#REF!=3,AND(H64&gt;=1,H64&lt;=10,H64=INT(H64)),AND(H64&gt;=1,H64&lt;=5,H64=INT(H64)))</formula1>
    </dataValidation>
    <dataValidation operator="greaterThan" allowBlank="1" showInputMessage="1" showErrorMessage="1" sqref="E9" xr:uid="{F898ED61-EBE9-4B8C-B67B-AE0F2108A7CE}"/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3" r:id="rId4" xr:uid="{C9B6B32C-C0B9-4935-BA6E-CAC6C812B73C}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14</xdr:row>
                    <xdr:rowOff>133350</xdr:rowOff>
                  </from>
                  <to>
                    <xdr:col>4</xdr:col>
                    <xdr:colOff>123825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14</xdr:row>
                    <xdr:rowOff>133350</xdr:rowOff>
                  </from>
                  <to>
                    <xdr:col>5</xdr:col>
                    <xdr:colOff>428625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14</xdr:row>
                    <xdr:rowOff>133350</xdr:rowOff>
                  </from>
                  <to>
                    <xdr:col>7</xdr:col>
                    <xdr:colOff>47625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2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10</xdr:row>
                    <xdr:rowOff>66675</xdr:rowOff>
                  </from>
                  <to>
                    <xdr:col>7</xdr:col>
                    <xdr:colOff>485775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3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1069570-3D38-48F2-9EA5-C0C4433D1824}">
          <x14:formula1>
            <xm:f>'Fairy Data'!$B$2:$B$101</xm:f>
          </x14:formula1>
          <xm:sqref>B30</xm:sqref>
        </x14:dataValidation>
        <x14:dataValidation type="list" allowBlank="1" showInputMessage="1" showErrorMessage="1" xr:uid="{D185A8A8-73E1-4375-87DE-47812A9CDB84}">
          <x14:formula1>
            <xm:f>'Talent Data'!$A$2:$A$100</xm:f>
          </x14:formula1>
          <xm:sqref>F30</xm:sqref>
        </x14:dataValidation>
        <x14:dataValidation type="list" allowBlank="1" showInputMessage="1" showErrorMessage="1" xr:uid="{17362E7B-2EFA-43A9-AC32-9EE9B600A016}">
          <x14:formula1>
            <xm:f>Dropdowns!$B$2:$B$7</xm:f>
          </x14:formula1>
          <xm:sqref>C21:C25</xm:sqref>
        </x14:dataValidation>
        <x14:dataValidation type="list" allowBlank="1" showInputMessage="1" showErrorMessage="1" xr:uid="{4E51C432-8594-4EFA-A98B-626B09CEFE4C}">
          <x14:formula1>
            <xm:f>Dropdowns!$A$2:$A$6</xm:f>
          </x14:formula1>
          <xm:sqref>B21:B25</xm:sqref>
        </x14:dataValidation>
        <x14:dataValidation type="list" allowBlank="1" showInputMessage="1" showErrorMessage="1" xr:uid="{2BC4B4CA-D603-4AB9-8B93-694172D960AF}">
          <x14:formula1>
            <xm:f>Dropdowns!$AH$1:$AV$1</xm:f>
          </x14:formula1>
          <xm:sqref>L21:L25 T21:T25 P21:P25</xm:sqref>
        </x14:dataValidation>
        <x14:dataValidation type="list" allowBlank="1" showInputMessage="1" showErrorMessage="1" xr:uid="{BDEB271F-85DF-4CE9-9CAE-17020B6C1BB5}">
          <x14:formula1>
            <xm:f>'SF Chip Data'!$B$2:$B$1048576</xm:f>
          </x14:formula1>
          <xm:sqref>M37:N45 L64:M68</xm:sqref>
        </x14:dataValidation>
        <x14:dataValidation type="list" allowBlank="1" showInputMessage="1" showErrorMessage="1" xr:uid="{5E52B14E-D3AC-4CAA-A8EF-1BE0E5420338}">
          <x14:formula1>
            <xm:f>'Strat Buff Data'!$A$2:$A$1048576</xm:f>
          </x14:formula1>
          <xm:sqref>B72:B74</xm:sqref>
        </x14:dataValidation>
        <x14:dataValidation type="list" allowBlank="1" showInputMessage="1" showErrorMessage="1" xr:uid="{3DBCDFBD-35B6-4579-B7E3-7B87471F8096}">
          <x14:formula1>
            <xm:f>'SF Data'!$C$2:$C$1048576</xm:f>
          </x14:formula1>
          <xm:sqref>C37:C45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5DEDD5F3-D8EE-4C16-AE6B-9D0A40C3DDF4}">
          <x14:formula1>
            <xm:f>IF($B$10="Day",Spot_Act_Info_Day!A2:A10,Spot_Act_Info_Day!#REF!)</xm:f>
          </x14:formula1>
          <xm:sqref>N64:N68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I63"/>
  <sheetViews>
    <sheetView workbookViewId="0">
      <pane xSplit="6" topLeftCell="G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35" x14ac:dyDescent="0.25">
      <c r="D2" s="237" t="s">
        <v>578</v>
      </c>
      <c r="E2" s="238"/>
      <c r="F2" s="238"/>
      <c r="G2" s="238"/>
      <c r="H2" s="238"/>
      <c r="I2" s="238"/>
      <c r="J2" s="238"/>
      <c r="K2" s="238"/>
      <c r="L2" s="239"/>
      <c r="M2" s="54"/>
      <c r="N2" s="237" t="s">
        <v>710</v>
      </c>
      <c r="O2" s="238"/>
      <c r="P2" s="238"/>
      <c r="Q2" s="239"/>
      <c r="R2" s="238" t="s">
        <v>711</v>
      </c>
      <c r="S2" s="238"/>
      <c r="T2" s="238"/>
      <c r="U2" s="239"/>
      <c r="V2" s="238" t="s">
        <v>712</v>
      </c>
      <c r="W2" s="238"/>
      <c r="X2" s="238"/>
      <c r="Y2" s="239"/>
      <c r="AA2" s="168" t="s">
        <v>770</v>
      </c>
      <c r="AB2" s="166"/>
      <c r="AC2" s="166"/>
      <c r="AD2" s="166"/>
      <c r="AE2" s="167"/>
    </row>
    <row r="3" spans="1:35" x14ac:dyDescent="0.25">
      <c r="A3" s="10" t="s">
        <v>999</v>
      </c>
      <c r="D3" s="55" t="s">
        <v>283</v>
      </c>
      <c r="E3" s="56" t="s">
        <v>1</v>
      </c>
      <c r="F3" s="56" t="s">
        <v>8</v>
      </c>
      <c r="G3" s="56" t="s">
        <v>18</v>
      </c>
      <c r="H3" s="56" t="s">
        <v>282</v>
      </c>
      <c r="I3" s="56" t="s">
        <v>58</v>
      </c>
      <c r="J3" s="56" t="s">
        <v>59</v>
      </c>
      <c r="K3" s="56" t="s">
        <v>270</v>
      </c>
      <c r="L3" s="57" t="s">
        <v>60</v>
      </c>
      <c r="M3" s="54"/>
      <c r="N3" s="55" t="s">
        <v>708</v>
      </c>
      <c r="O3" s="56" t="s">
        <v>8</v>
      </c>
      <c r="P3" s="56" t="s">
        <v>18</v>
      </c>
      <c r="Q3" s="57" t="s">
        <v>709</v>
      </c>
      <c r="R3" s="56" t="s">
        <v>708</v>
      </c>
      <c r="S3" s="56" t="s">
        <v>8</v>
      </c>
      <c r="T3" s="56" t="s">
        <v>18</v>
      </c>
      <c r="U3" s="57" t="s">
        <v>709</v>
      </c>
      <c r="V3" s="56" t="s">
        <v>708</v>
      </c>
      <c r="W3" s="56" t="s">
        <v>8</v>
      </c>
      <c r="X3" s="56" t="s">
        <v>18</v>
      </c>
      <c r="Y3" s="57" t="s">
        <v>709</v>
      </c>
      <c r="AA3" s="172" t="s">
        <v>8</v>
      </c>
      <c r="AB3" s="170" t="s">
        <v>1118</v>
      </c>
      <c r="AC3" s="170" t="s">
        <v>18</v>
      </c>
      <c r="AD3" s="170" t="s">
        <v>775</v>
      </c>
      <c r="AE3" s="171" t="s">
        <v>585</v>
      </c>
    </row>
    <row r="4" spans="1:35" x14ac:dyDescent="0.25">
      <c r="A4" t="s">
        <v>993</v>
      </c>
      <c r="C4" t="s">
        <v>990</v>
      </c>
      <c r="D4" s="173">
        <v>5</v>
      </c>
      <c r="E4" s="174" t="s">
        <v>6</v>
      </c>
      <c r="F4" s="175" t="s">
        <v>267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718</v>
      </c>
      <c r="O4" s="178" t="s">
        <v>524</v>
      </c>
      <c r="P4" s="178">
        <v>10</v>
      </c>
      <c r="Q4" s="179">
        <v>1</v>
      </c>
      <c r="R4" s="177" t="s">
        <v>707</v>
      </c>
      <c r="S4" s="178" t="s">
        <v>267</v>
      </c>
      <c r="T4" s="178">
        <v>10</v>
      </c>
      <c r="U4" s="179">
        <v>1</v>
      </c>
      <c r="V4" s="177" t="s">
        <v>749</v>
      </c>
      <c r="W4" s="178" t="s">
        <v>577</v>
      </c>
      <c r="X4" s="178">
        <v>10</v>
      </c>
      <c r="Y4" s="179">
        <v>1</v>
      </c>
      <c r="AA4" s="181" t="s">
        <v>661</v>
      </c>
      <c r="AB4" s="182">
        <v>5</v>
      </c>
      <c r="AC4" s="182">
        <v>100</v>
      </c>
      <c r="AD4" s="182">
        <v>10</v>
      </c>
      <c r="AE4" s="159" t="s">
        <v>703</v>
      </c>
      <c r="AG4" s="161">
        <v>2</v>
      </c>
      <c r="AH4" s="161"/>
      <c r="AI4" s="161"/>
    </row>
    <row r="5" spans="1:35" x14ac:dyDescent="0.25">
      <c r="A5" t="s">
        <v>994</v>
      </c>
      <c r="D5" s="177">
        <v>4</v>
      </c>
      <c r="E5" s="178" t="s">
        <v>6</v>
      </c>
      <c r="F5" s="180" t="s">
        <v>847</v>
      </c>
      <c r="G5" s="178">
        <v>115</v>
      </c>
      <c r="H5" s="178">
        <v>5</v>
      </c>
      <c r="I5" s="178">
        <v>10</v>
      </c>
      <c r="J5" s="178">
        <v>10</v>
      </c>
      <c r="K5" s="178">
        <v>3</v>
      </c>
      <c r="L5" s="180">
        <v>100</v>
      </c>
      <c r="M5" s="176"/>
      <c r="N5" s="177" t="s">
        <v>707</v>
      </c>
      <c r="O5" s="178" t="s">
        <v>847</v>
      </c>
      <c r="P5" s="178">
        <v>10</v>
      </c>
      <c r="Q5" s="179">
        <v>1</v>
      </c>
      <c r="R5" s="177" t="s">
        <v>707</v>
      </c>
      <c r="S5" s="178" t="s">
        <v>119</v>
      </c>
      <c r="T5" s="178">
        <v>10</v>
      </c>
      <c r="U5" s="179">
        <v>1</v>
      </c>
      <c r="V5" s="177" t="s">
        <v>749</v>
      </c>
      <c r="W5" s="178" t="s">
        <v>577</v>
      </c>
      <c r="X5" s="178">
        <v>10</v>
      </c>
      <c r="Y5" s="179">
        <v>1</v>
      </c>
      <c r="AG5" s="161">
        <v>5</v>
      </c>
      <c r="AH5" s="161">
        <v>3</v>
      </c>
      <c r="AI5" s="161"/>
    </row>
    <row r="6" spans="1:35" x14ac:dyDescent="0.25">
      <c r="A6" t="s">
        <v>995</v>
      </c>
      <c r="D6" s="177">
        <v>6</v>
      </c>
      <c r="E6" s="178" t="s">
        <v>3</v>
      </c>
      <c r="F6" s="180" t="s">
        <v>264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760</v>
      </c>
      <c r="O6" s="178" t="s">
        <v>559</v>
      </c>
      <c r="P6" s="178">
        <v>10</v>
      </c>
      <c r="Q6" s="179">
        <v>1</v>
      </c>
      <c r="R6" s="177" t="s">
        <v>9</v>
      </c>
      <c r="S6" s="178" t="s">
        <v>565</v>
      </c>
      <c r="T6" s="178">
        <v>10</v>
      </c>
      <c r="U6" s="179">
        <v>1</v>
      </c>
      <c r="V6" s="177" t="s">
        <v>739</v>
      </c>
      <c r="W6" s="178" t="s">
        <v>548</v>
      </c>
      <c r="X6" s="178">
        <v>10</v>
      </c>
      <c r="Y6" s="179">
        <v>1</v>
      </c>
      <c r="AG6" s="161">
        <v>1</v>
      </c>
      <c r="AH6" s="161">
        <v>4</v>
      </c>
      <c r="AI6" s="161"/>
    </row>
    <row r="7" spans="1:35" x14ac:dyDescent="0.25">
      <c r="A7" t="s">
        <v>1004</v>
      </c>
      <c r="D7" s="177">
        <v>5</v>
      </c>
      <c r="E7" s="178" t="s">
        <v>3</v>
      </c>
      <c r="F7" s="180" t="s">
        <v>801</v>
      </c>
      <c r="G7" s="178">
        <v>100</v>
      </c>
      <c r="H7" s="178">
        <v>5</v>
      </c>
      <c r="I7" s="178">
        <v>10</v>
      </c>
      <c r="J7" s="178">
        <v>0</v>
      </c>
      <c r="K7" s="178">
        <v>0</v>
      </c>
      <c r="L7" s="180">
        <v>100</v>
      </c>
      <c r="M7" s="176"/>
      <c r="N7" s="177" t="s">
        <v>760</v>
      </c>
      <c r="O7" s="178" t="s">
        <v>559</v>
      </c>
      <c r="P7" s="178">
        <v>10</v>
      </c>
      <c r="Q7" s="179">
        <v>1</v>
      </c>
      <c r="R7" s="177" t="s">
        <v>9</v>
      </c>
      <c r="S7" s="178" t="s">
        <v>565</v>
      </c>
      <c r="T7" s="178">
        <v>10</v>
      </c>
      <c r="U7" s="179">
        <v>1</v>
      </c>
      <c r="V7" s="177" t="s">
        <v>739</v>
      </c>
      <c r="W7" s="178" t="s">
        <v>548</v>
      </c>
      <c r="X7" s="178">
        <v>10</v>
      </c>
      <c r="Y7" s="179">
        <v>1</v>
      </c>
    </row>
    <row r="8" spans="1:35" x14ac:dyDescent="0.25">
      <c r="A8" t="s">
        <v>992</v>
      </c>
      <c r="D8" s="181">
        <v>5</v>
      </c>
      <c r="E8" s="182" t="s">
        <v>3</v>
      </c>
      <c r="F8" s="159" t="s">
        <v>120</v>
      </c>
      <c r="G8" s="182">
        <v>100</v>
      </c>
      <c r="H8" s="182">
        <v>5</v>
      </c>
      <c r="I8" s="182">
        <v>10</v>
      </c>
      <c r="J8" s="182">
        <v>0</v>
      </c>
      <c r="K8" s="182">
        <v>0</v>
      </c>
      <c r="L8" s="159">
        <v>100</v>
      </c>
      <c r="M8" s="176"/>
      <c r="N8" s="181" t="s">
        <v>760</v>
      </c>
      <c r="O8" s="182" t="s">
        <v>559</v>
      </c>
      <c r="P8" s="182">
        <v>10</v>
      </c>
      <c r="Q8" s="183">
        <v>1</v>
      </c>
      <c r="R8" s="181" t="s">
        <v>9</v>
      </c>
      <c r="S8" s="182" t="s">
        <v>565</v>
      </c>
      <c r="T8" s="182">
        <v>10</v>
      </c>
      <c r="U8" s="183">
        <v>1</v>
      </c>
      <c r="V8" s="181" t="s">
        <v>739</v>
      </c>
      <c r="W8" s="182" t="s">
        <v>548</v>
      </c>
      <c r="X8" s="182">
        <v>10</v>
      </c>
      <c r="Y8" s="183">
        <v>1</v>
      </c>
    </row>
    <row r="9" spans="1:35" x14ac:dyDescent="0.25">
      <c r="A9" t="s">
        <v>1754</v>
      </c>
      <c r="C9" t="s">
        <v>993</v>
      </c>
      <c r="D9" s="173">
        <v>5</v>
      </c>
      <c r="E9" s="174" t="s">
        <v>4</v>
      </c>
      <c r="F9" s="175" t="s">
        <v>212</v>
      </c>
      <c r="G9" s="174">
        <v>100</v>
      </c>
      <c r="H9" s="174">
        <v>5</v>
      </c>
      <c r="I9" s="174">
        <v>10</v>
      </c>
      <c r="J9" s="174">
        <v>0</v>
      </c>
      <c r="K9" s="174">
        <v>0</v>
      </c>
      <c r="L9" s="175">
        <v>100</v>
      </c>
      <c r="M9" s="176"/>
      <c r="N9" s="177" t="s">
        <v>718</v>
      </c>
      <c r="O9" s="178" t="s">
        <v>524</v>
      </c>
      <c r="P9" s="178">
        <v>10</v>
      </c>
      <c r="Q9" s="179">
        <v>1</v>
      </c>
      <c r="R9" s="177" t="s">
        <v>932</v>
      </c>
      <c r="S9" s="178" t="s">
        <v>929</v>
      </c>
      <c r="T9" s="178">
        <v>10</v>
      </c>
      <c r="U9" s="179">
        <v>1</v>
      </c>
      <c r="V9" s="177" t="s">
        <v>748</v>
      </c>
      <c r="W9" s="178" t="s">
        <v>561</v>
      </c>
      <c r="X9" s="178">
        <v>10</v>
      </c>
      <c r="Y9" s="179">
        <v>1</v>
      </c>
      <c r="AA9" s="181" t="s">
        <v>661</v>
      </c>
      <c r="AB9" s="182">
        <v>5</v>
      </c>
      <c r="AC9" s="182">
        <v>100</v>
      </c>
      <c r="AD9" s="182">
        <v>10</v>
      </c>
      <c r="AE9" s="159" t="s">
        <v>703</v>
      </c>
      <c r="AG9" s="161">
        <v>1</v>
      </c>
      <c r="AH9" s="161"/>
      <c r="AI9" s="161"/>
    </row>
    <row r="10" spans="1:35" x14ac:dyDescent="0.25">
      <c r="A10" t="s">
        <v>5594</v>
      </c>
      <c r="D10" s="177">
        <v>4</v>
      </c>
      <c r="E10" s="178" t="s">
        <v>4</v>
      </c>
      <c r="F10" s="180" t="s">
        <v>845</v>
      </c>
      <c r="G10" s="178">
        <v>100</v>
      </c>
      <c r="H10" s="178">
        <v>5</v>
      </c>
      <c r="I10" s="178">
        <v>10</v>
      </c>
      <c r="J10" s="178">
        <v>0</v>
      </c>
      <c r="K10" s="178">
        <v>0</v>
      </c>
      <c r="L10" s="180">
        <v>100</v>
      </c>
      <c r="M10" s="176"/>
      <c r="N10" s="177" t="s">
        <v>718</v>
      </c>
      <c r="O10" s="178" t="s">
        <v>524</v>
      </c>
      <c r="P10" s="178">
        <v>10</v>
      </c>
      <c r="Q10" s="179">
        <v>1</v>
      </c>
      <c r="R10" s="177" t="s">
        <v>932</v>
      </c>
      <c r="S10" s="178" t="s">
        <v>929</v>
      </c>
      <c r="T10" s="178">
        <v>10</v>
      </c>
      <c r="U10" s="179">
        <v>1</v>
      </c>
      <c r="V10" s="177" t="s">
        <v>748</v>
      </c>
      <c r="W10" s="178" t="s">
        <v>561</v>
      </c>
      <c r="X10" s="178">
        <v>10</v>
      </c>
      <c r="Y10" s="179">
        <v>1</v>
      </c>
      <c r="AG10" s="161">
        <v>4</v>
      </c>
      <c r="AH10" s="161">
        <v>3</v>
      </c>
      <c r="AI10" s="161"/>
    </row>
    <row r="11" spans="1:35" x14ac:dyDescent="0.25">
      <c r="A11" t="s">
        <v>991</v>
      </c>
      <c r="D11" s="177">
        <v>5</v>
      </c>
      <c r="E11" s="178" t="s">
        <v>3</v>
      </c>
      <c r="F11" s="180" t="s">
        <v>1745</v>
      </c>
      <c r="G11" s="178">
        <v>100</v>
      </c>
      <c r="H11" s="178">
        <v>5</v>
      </c>
      <c r="I11" s="178">
        <v>10</v>
      </c>
      <c r="J11" s="178">
        <v>0</v>
      </c>
      <c r="K11" s="178">
        <v>0</v>
      </c>
      <c r="L11" s="180">
        <v>100</v>
      </c>
      <c r="M11" s="176"/>
      <c r="N11" s="177" t="s">
        <v>707</v>
      </c>
      <c r="O11" s="178" t="s">
        <v>761</v>
      </c>
      <c r="P11" s="178">
        <v>10</v>
      </c>
      <c r="Q11" s="179">
        <v>1</v>
      </c>
      <c r="R11" s="177" t="s">
        <v>707</v>
      </c>
      <c r="S11" s="178" t="s">
        <v>764</v>
      </c>
      <c r="T11" s="178">
        <v>10</v>
      </c>
      <c r="U11" s="179">
        <v>1</v>
      </c>
      <c r="V11" s="177" t="s">
        <v>707</v>
      </c>
      <c r="W11" s="178" t="s">
        <v>767</v>
      </c>
      <c r="X11" s="178">
        <v>10</v>
      </c>
      <c r="Y11" s="179">
        <v>1</v>
      </c>
      <c r="AG11" s="161">
        <v>2</v>
      </c>
      <c r="AH11" s="161">
        <v>5</v>
      </c>
      <c r="AI11" s="161"/>
    </row>
    <row r="12" spans="1:35" x14ac:dyDescent="0.25">
      <c r="A12" t="s">
        <v>5592</v>
      </c>
      <c r="D12" s="177">
        <v>5</v>
      </c>
      <c r="E12" s="178" t="s">
        <v>3</v>
      </c>
      <c r="F12" s="180" t="s">
        <v>64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932</v>
      </c>
      <c r="O12" s="178" t="s">
        <v>941</v>
      </c>
      <c r="P12" s="178">
        <v>10</v>
      </c>
      <c r="Q12" s="179">
        <v>1</v>
      </c>
      <c r="R12" s="177" t="s">
        <v>9</v>
      </c>
      <c r="S12" s="178" t="s">
        <v>565</v>
      </c>
      <c r="T12" s="178">
        <v>10</v>
      </c>
      <c r="U12" s="179">
        <v>1</v>
      </c>
      <c r="V12" s="177" t="s">
        <v>739</v>
      </c>
      <c r="W12" s="178" t="s">
        <v>555</v>
      </c>
      <c r="X12" s="178">
        <v>10</v>
      </c>
      <c r="Y12" s="179">
        <v>1</v>
      </c>
    </row>
    <row r="13" spans="1:35" x14ac:dyDescent="0.25">
      <c r="A13" t="s">
        <v>5593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760</v>
      </c>
      <c r="O13" s="182" t="s">
        <v>559</v>
      </c>
      <c r="P13" s="182">
        <v>10</v>
      </c>
      <c r="Q13" s="183">
        <v>1</v>
      </c>
      <c r="R13" s="181" t="s">
        <v>9</v>
      </c>
      <c r="S13" s="182" t="s">
        <v>565</v>
      </c>
      <c r="T13" s="182">
        <v>10</v>
      </c>
      <c r="U13" s="183">
        <v>1</v>
      </c>
      <c r="V13" s="181" t="s">
        <v>739</v>
      </c>
      <c r="W13" s="182" t="s">
        <v>548</v>
      </c>
      <c r="X13" s="182">
        <v>10</v>
      </c>
      <c r="Y13" s="183">
        <v>1</v>
      </c>
    </row>
    <row r="14" spans="1:35" x14ac:dyDescent="0.25">
      <c r="A14" t="s">
        <v>5591</v>
      </c>
      <c r="C14" t="s">
        <v>994</v>
      </c>
      <c r="D14" s="173">
        <v>5</v>
      </c>
      <c r="E14" s="174" t="s">
        <v>4</v>
      </c>
      <c r="F14" s="175" t="s">
        <v>212</v>
      </c>
      <c r="G14" s="174">
        <v>100</v>
      </c>
      <c r="H14" s="174">
        <v>5</v>
      </c>
      <c r="I14" s="174">
        <v>10</v>
      </c>
      <c r="J14" s="174">
        <v>0</v>
      </c>
      <c r="K14" s="174">
        <v>0</v>
      </c>
      <c r="L14" s="175">
        <v>100</v>
      </c>
      <c r="M14" s="176"/>
      <c r="N14" s="177" t="s">
        <v>718</v>
      </c>
      <c r="O14" s="178" t="s">
        <v>524</v>
      </c>
      <c r="P14" s="178">
        <v>10</v>
      </c>
      <c r="Q14" s="179">
        <v>1</v>
      </c>
      <c r="R14" s="177" t="s">
        <v>932</v>
      </c>
      <c r="S14" s="178" t="s">
        <v>929</v>
      </c>
      <c r="T14" s="178">
        <v>10</v>
      </c>
      <c r="U14" s="179">
        <v>1</v>
      </c>
      <c r="V14" s="177" t="s">
        <v>748</v>
      </c>
      <c r="W14" s="178" t="s">
        <v>561</v>
      </c>
      <c r="X14" s="178">
        <v>10</v>
      </c>
      <c r="Y14" s="179">
        <v>1</v>
      </c>
      <c r="AA14" s="181" t="s">
        <v>661</v>
      </c>
      <c r="AB14" s="182">
        <v>5</v>
      </c>
      <c r="AC14" s="182">
        <v>100</v>
      </c>
      <c r="AD14" s="182">
        <v>10</v>
      </c>
      <c r="AE14" s="159" t="s">
        <v>703</v>
      </c>
      <c r="AG14" s="161">
        <v>1</v>
      </c>
      <c r="AH14" s="161">
        <v>3</v>
      </c>
      <c r="AI14" s="161"/>
    </row>
    <row r="15" spans="1:35" x14ac:dyDescent="0.25">
      <c r="A15" t="s">
        <v>990</v>
      </c>
      <c r="D15" s="177">
        <v>4</v>
      </c>
      <c r="E15" s="178" t="s">
        <v>4</v>
      </c>
      <c r="F15" s="180" t="s">
        <v>845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718</v>
      </c>
      <c r="O15" s="178" t="s">
        <v>524</v>
      </c>
      <c r="P15" s="178">
        <v>10</v>
      </c>
      <c r="Q15" s="179">
        <v>1</v>
      </c>
      <c r="R15" s="177" t="s">
        <v>932</v>
      </c>
      <c r="S15" s="178" t="s">
        <v>929</v>
      </c>
      <c r="T15" s="178">
        <v>10</v>
      </c>
      <c r="U15" s="179">
        <v>1</v>
      </c>
      <c r="V15" s="177" t="s">
        <v>748</v>
      </c>
      <c r="W15" s="178" t="s">
        <v>561</v>
      </c>
      <c r="X15" s="178">
        <v>10</v>
      </c>
      <c r="Y15" s="179">
        <v>1</v>
      </c>
      <c r="AG15" s="161">
        <v>4</v>
      </c>
      <c r="AH15" s="161">
        <v>5</v>
      </c>
      <c r="AI15" s="161"/>
    </row>
    <row r="16" spans="1:35" x14ac:dyDescent="0.25">
      <c r="D16" s="177">
        <v>5</v>
      </c>
      <c r="E16" s="178" t="s">
        <v>4</v>
      </c>
      <c r="F16" s="180" t="s">
        <v>154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718</v>
      </c>
      <c r="O16" s="178" t="s">
        <v>524</v>
      </c>
      <c r="P16" s="178">
        <v>10</v>
      </c>
      <c r="Q16" s="179">
        <v>1</v>
      </c>
      <c r="R16" s="177" t="s">
        <v>932</v>
      </c>
      <c r="S16" s="178" t="s">
        <v>929</v>
      </c>
      <c r="T16" s="178">
        <v>10</v>
      </c>
      <c r="U16" s="179">
        <v>1</v>
      </c>
      <c r="V16" s="177" t="s">
        <v>748</v>
      </c>
      <c r="W16" s="178" t="s">
        <v>561</v>
      </c>
      <c r="X16" s="178">
        <v>10</v>
      </c>
      <c r="Y16" s="179">
        <v>1</v>
      </c>
      <c r="AG16" s="161">
        <v>2</v>
      </c>
      <c r="AH16" s="161"/>
      <c r="AI16" s="161"/>
    </row>
    <row r="17" spans="3:35" x14ac:dyDescent="0.25">
      <c r="D17" s="177">
        <v>5</v>
      </c>
      <c r="E17" s="178" t="s">
        <v>3</v>
      </c>
      <c r="F17" s="180" t="s">
        <v>64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932</v>
      </c>
      <c r="O17" s="178" t="s">
        <v>941</v>
      </c>
      <c r="P17" s="178">
        <v>10</v>
      </c>
      <c r="Q17" s="179">
        <v>1</v>
      </c>
      <c r="R17" s="177" t="s">
        <v>9</v>
      </c>
      <c r="S17" s="178" t="s">
        <v>565</v>
      </c>
      <c r="T17" s="178">
        <v>10</v>
      </c>
      <c r="U17" s="179">
        <v>1</v>
      </c>
      <c r="V17" s="177" t="s">
        <v>739</v>
      </c>
      <c r="W17" s="178" t="s">
        <v>555</v>
      </c>
      <c r="X17" s="178">
        <v>10</v>
      </c>
      <c r="Y17" s="179">
        <v>1</v>
      </c>
    </row>
    <row r="18" spans="3:35" x14ac:dyDescent="0.25">
      <c r="D18" s="181">
        <v>5</v>
      </c>
      <c r="E18" s="182" t="s">
        <v>3</v>
      </c>
      <c r="F18" s="159" t="s">
        <v>1745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707</v>
      </c>
      <c r="O18" s="182" t="s">
        <v>761</v>
      </c>
      <c r="P18" s="182">
        <v>10</v>
      </c>
      <c r="Q18" s="183">
        <v>1</v>
      </c>
      <c r="R18" s="181" t="s">
        <v>707</v>
      </c>
      <c r="S18" s="182" t="s">
        <v>764</v>
      </c>
      <c r="T18" s="182">
        <v>10</v>
      </c>
      <c r="U18" s="183">
        <v>1</v>
      </c>
      <c r="V18" s="181" t="s">
        <v>707</v>
      </c>
      <c r="W18" s="182" t="s">
        <v>767</v>
      </c>
      <c r="X18" s="182">
        <v>10</v>
      </c>
      <c r="Y18" s="183">
        <v>1</v>
      </c>
    </row>
    <row r="19" spans="3:35" x14ac:dyDescent="0.25">
      <c r="C19" t="s">
        <v>991</v>
      </c>
      <c r="D19" s="173">
        <v>5</v>
      </c>
      <c r="E19" s="174" t="s">
        <v>6</v>
      </c>
      <c r="F19" s="175" t="s">
        <v>267</v>
      </c>
      <c r="G19" s="174">
        <v>115</v>
      </c>
      <c r="H19" s="174">
        <v>5</v>
      </c>
      <c r="I19" s="174">
        <v>10</v>
      </c>
      <c r="J19" s="174">
        <v>10</v>
      </c>
      <c r="K19" s="174">
        <v>3</v>
      </c>
      <c r="L19" s="175">
        <v>100</v>
      </c>
      <c r="M19" s="176"/>
      <c r="N19" s="177" t="s">
        <v>718</v>
      </c>
      <c r="O19" s="178" t="s">
        <v>524</v>
      </c>
      <c r="P19" s="178">
        <v>10</v>
      </c>
      <c r="Q19" s="179">
        <v>1</v>
      </c>
      <c r="R19" s="177" t="s">
        <v>707</v>
      </c>
      <c r="S19" s="178" t="s">
        <v>267</v>
      </c>
      <c r="T19" s="178">
        <v>10</v>
      </c>
      <c r="U19" s="179">
        <v>1</v>
      </c>
      <c r="V19" s="177" t="s">
        <v>749</v>
      </c>
      <c r="W19" s="178" t="s">
        <v>577</v>
      </c>
      <c r="X19" s="178">
        <v>10</v>
      </c>
      <c r="Y19" s="179">
        <v>1</v>
      </c>
      <c r="AA19" s="181" t="s">
        <v>663</v>
      </c>
      <c r="AB19" s="182">
        <v>5</v>
      </c>
      <c r="AC19" s="182">
        <v>100</v>
      </c>
      <c r="AD19" s="182">
        <v>10</v>
      </c>
      <c r="AE19" s="159" t="s">
        <v>703</v>
      </c>
      <c r="AG19" s="161">
        <v>1</v>
      </c>
      <c r="AH19" s="161">
        <v>5</v>
      </c>
      <c r="AI19" s="161"/>
    </row>
    <row r="20" spans="3:35" x14ac:dyDescent="0.25">
      <c r="D20" s="177">
        <v>5</v>
      </c>
      <c r="E20" s="178" t="s">
        <v>6</v>
      </c>
      <c r="F20" s="180" t="s">
        <v>813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718</v>
      </c>
      <c r="O20" s="178" t="s">
        <v>524</v>
      </c>
      <c r="P20" s="178">
        <v>10</v>
      </c>
      <c r="Q20" s="179">
        <v>1</v>
      </c>
      <c r="R20" s="177" t="s">
        <v>932</v>
      </c>
      <c r="S20" s="178" t="s">
        <v>929</v>
      </c>
      <c r="T20" s="178">
        <v>10</v>
      </c>
      <c r="U20" s="179">
        <v>1</v>
      </c>
      <c r="V20" s="177" t="s">
        <v>749</v>
      </c>
      <c r="W20" s="178" t="s">
        <v>577</v>
      </c>
      <c r="X20" s="178">
        <v>10</v>
      </c>
      <c r="Y20" s="179">
        <v>1</v>
      </c>
      <c r="AG20" s="161">
        <v>4</v>
      </c>
      <c r="AH20" s="161">
        <v>3</v>
      </c>
      <c r="AI20" s="161"/>
    </row>
    <row r="21" spans="3:35" x14ac:dyDescent="0.25">
      <c r="D21" s="177">
        <v>6</v>
      </c>
      <c r="E21" s="178" t="s">
        <v>3</v>
      </c>
      <c r="F21" s="180" t="s">
        <v>264</v>
      </c>
      <c r="G21" s="178">
        <v>110</v>
      </c>
      <c r="H21" s="178">
        <v>5</v>
      </c>
      <c r="I21" s="178">
        <v>10</v>
      </c>
      <c r="J21" s="178">
        <v>10</v>
      </c>
      <c r="K21" s="178">
        <v>2</v>
      </c>
      <c r="L21" s="180">
        <v>100</v>
      </c>
      <c r="M21" s="176"/>
      <c r="N21" s="177" t="s">
        <v>760</v>
      </c>
      <c r="O21" s="178" t="s">
        <v>559</v>
      </c>
      <c r="P21" s="178">
        <v>10</v>
      </c>
      <c r="Q21" s="179">
        <v>1</v>
      </c>
      <c r="R21" s="177" t="s">
        <v>9</v>
      </c>
      <c r="S21" s="178" t="s">
        <v>565</v>
      </c>
      <c r="T21" s="178">
        <v>10</v>
      </c>
      <c r="U21" s="179">
        <v>1</v>
      </c>
      <c r="V21" s="177" t="s">
        <v>739</v>
      </c>
      <c r="W21" s="178" t="s">
        <v>548</v>
      </c>
      <c r="X21" s="178">
        <v>10</v>
      </c>
      <c r="Y21" s="179">
        <v>1</v>
      </c>
      <c r="AG21" s="161">
        <v>2</v>
      </c>
      <c r="AH21" s="161"/>
      <c r="AI21" s="161"/>
    </row>
    <row r="22" spans="3:35" x14ac:dyDescent="0.25">
      <c r="D22" s="177">
        <v>4</v>
      </c>
      <c r="E22" s="178" t="s">
        <v>3</v>
      </c>
      <c r="F22" s="180" t="s">
        <v>1736</v>
      </c>
      <c r="G22" s="178">
        <v>110</v>
      </c>
      <c r="H22" s="178">
        <v>5</v>
      </c>
      <c r="I22" s="178">
        <v>10</v>
      </c>
      <c r="J22" s="178">
        <v>10</v>
      </c>
      <c r="K22" s="178">
        <v>2</v>
      </c>
      <c r="L22" s="180">
        <v>100</v>
      </c>
      <c r="M22" s="176"/>
      <c r="N22" s="177" t="s">
        <v>760</v>
      </c>
      <c r="O22" s="178" t="s">
        <v>559</v>
      </c>
      <c r="P22" s="178">
        <v>10</v>
      </c>
      <c r="Q22" s="179">
        <v>1</v>
      </c>
      <c r="R22" s="177" t="s">
        <v>9</v>
      </c>
      <c r="S22" s="178" t="s">
        <v>565</v>
      </c>
      <c r="T22" s="178">
        <v>10</v>
      </c>
      <c r="U22" s="179">
        <v>1</v>
      </c>
      <c r="V22" s="177" t="s">
        <v>739</v>
      </c>
      <c r="W22" s="178" t="s">
        <v>548</v>
      </c>
      <c r="X22" s="178">
        <v>10</v>
      </c>
      <c r="Y22" s="179">
        <v>1</v>
      </c>
    </row>
    <row r="23" spans="3:35" x14ac:dyDescent="0.25">
      <c r="D23" s="181">
        <v>6</v>
      </c>
      <c r="E23" s="182" t="s">
        <v>7</v>
      </c>
      <c r="F23" s="159" t="s">
        <v>834</v>
      </c>
      <c r="G23" s="182">
        <v>110</v>
      </c>
      <c r="H23" s="182">
        <v>5</v>
      </c>
      <c r="I23" s="182">
        <v>10</v>
      </c>
      <c r="J23" s="182">
        <v>10</v>
      </c>
      <c r="K23" s="182">
        <v>2</v>
      </c>
      <c r="L23" s="159">
        <v>100</v>
      </c>
      <c r="M23" s="176"/>
      <c r="N23" s="181" t="s">
        <v>760</v>
      </c>
      <c r="O23" s="182" t="s">
        <v>559</v>
      </c>
      <c r="P23" s="182">
        <v>10</v>
      </c>
      <c r="Q23" s="183">
        <v>1</v>
      </c>
      <c r="R23" s="181" t="s">
        <v>9</v>
      </c>
      <c r="S23" s="182" t="s">
        <v>565</v>
      </c>
      <c r="T23" s="182">
        <v>10</v>
      </c>
      <c r="U23" s="183">
        <v>1</v>
      </c>
      <c r="V23" s="181" t="s">
        <v>739</v>
      </c>
      <c r="W23" s="182" t="s">
        <v>548</v>
      </c>
      <c r="X23" s="182">
        <v>10</v>
      </c>
      <c r="Y23" s="183">
        <v>1</v>
      </c>
    </row>
    <row r="24" spans="3:35" x14ac:dyDescent="0.25">
      <c r="C24" t="s">
        <v>992</v>
      </c>
      <c r="D24" s="173">
        <v>6</v>
      </c>
      <c r="E24" s="174" t="s">
        <v>2</v>
      </c>
      <c r="F24" s="175" t="s">
        <v>260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707</v>
      </c>
      <c r="O24" s="178" t="s">
        <v>223</v>
      </c>
      <c r="P24" s="178">
        <v>10</v>
      </c>
      <c r="Q24" s="179">
        <v>1</v>
      </c>
      <c r="R24" s="177" t="s">
        <v>734</v>
      </c>
      <c r="S24" s="178" t="s">
        <v>544</v>
      </c>
      <c r="T24" s="178">
        <v>10</v>
      </c>
      <c r="U24" s="179">
        <v>1</v>
      </c>
      <c r="V24" s="177" t="s">
        <v>707</v>
      </c>
      <c r="W24" s="178" t="s">
        <v>260</v>
      </c>
      <c r="X24" s="178">
        <v>10</v>
      </c>
      <c r="Y24" s="179">
        <v>1</v>
      </c>
      <c r="AA24" s="181" t="s">
        <v>646</v>
      </c>
      <c r="AB24" s="182">
        <v>5</v>
      </c>
      <c r="AC24" s="182">
        <v>100</v>
      </c>
      <c r="AD24" s="182">
        <v>10</v>
      </c>
      <c r="AE24" s="159" t="s">
        <v>703</v>
      </c>
      <c r="AG24" s="161">
        <v>1</v>
      </c>
      <c r="AH24" s="161"/>
      <c r="AI24" s="161"/>
    </row>
    <row r="25" spans="3:35" x14ac:dyDescent="0.25">
      <c r="D25" s="177">
        <v>5</v>
      </c>
      <c r="E25" s="178" t="s">
        <v>3</v>
      </c>
      <c r="F25" s="180" t="s">
        <v>268</v>
      </c>
      <c r="G25" s="178">
        <v>110</v>
      </c>
      <c r="H25" s="178">
        <v>5</v>
      </c>
      <c r="I25" s="178">
        <v>10</v>
      </c>
      <c r="J25" s="178">
        <v>10</v>
      </c>
      <c r="K25" s="178">
        <v>2</v>
      </c>
      <c r="L25" s="180">
        <v>100</v>
      </c>
      <c r="M25" s="176"/>
      <c r="N25" s="177" t="s">
        <v>760</v>
      </c>
      <c r="O25" s="178" t="s">
        <v>559</v>
      </c>
      <c r="P25" s="178">
        <v>10</v>
      </c>
      <c r="Q25" s="179">
        <v>1</v>
      </c>
      <c r="R25" s="177" t="s">
        <v>9</v>
      </c>
      <c r="S25" s="178" t="s">
        <v>565</v>
      </c>
      <c r="T25" s="178">
        <v>10</v>
      </c>
      <c r="U25" s="179">
        <v>1</v>
      </c>
      <c r="V25" s="177" t="s">
        <v>739</v>
      </c>
      <c r="W25" s="178" t="s">
        <v>548</v>
      </c>
      <c r="X25" s="178">
        <v>10</v>
      </c>
      <c r="Y25" s="179">
        <v>1</v>
      </c>
      <c r="AG25" s="161">
        <v>2</v>
      </c>
      <c r="AH25" s="161">
        <v>4</v>
      </c>
      <c r="AI25" s="161"/>
    </row>
    <row r="26" spans="3:35" x14ac:dyDescent="0.25">
      <c r="D26" s="177">
        <v>6</v>
      </c>
      <c r="E26" s="178" t="s">
        <v>6</v>
      </c>
      <c r="F26" s="180" t="s">
        <v>1734</v>
      </c>
      <c r="G26" s="178">
        <v>115</v>
      </c>
      <c r="H26" s="178">
        <v>5</v>
      </c>
      <c r="I26" s="178">
        <v>10</v>
      </c>
      <c r="J26" s="178">
        <v>10</v>
      </c>
      <c r="K26" s="178">
        <v>3</v>
      </c>
      <c r="L26" s="180">
        <v>100</v>
      </c>
      <c r="M26" s="176"/>
      <c r="N26" s="177" t="s">
        <v>718</v>
      </c>
      <c r="O26" s="178" t="s">
        <v>524</v>
      </c>
      <c r="P26" s="178">
        <v>10</v>
      </c>
      <c r="Q26" s="179">
        <v>1</v>
      </c>
      <c r="R26" s="177" t="s">
        <v>707</v>
      </c>
      <c r="S26" s="178" t="s">
        <v>1734</v>
      </c>
      <c r="T26" s="178">
        <v>10</v>
      </c>
      <c r="U26" s="179">
        <v>1</v>
      </c>
      <c r="V26" s="177" t="s">
        <v>749</v>
      </c>
      <c r="W26" s="178" t="s">
        <v>577</v>
      </c>
      <c r="X26" s="178">
        <v>10</v>
      </c>
      <c r="Y26" s="179">
        <v>1</v>
      </c>
      <c r="AG26" s="161">
        <v>3</v>
      </c>
      <c r="AH26" s="161">
        <v>5</v>
      </c>
      <c r="AI26" s="161"/>
    </row>
    <row r="27" spans="3:35" x14ac:dyDescent="0.25">
      <c r="D27" s="177">
        <v>5</v>
      </c>
      <c r="E27" s="178" t="s">
        <v>7</v>
      </c>
      <c r="F27" s="180" t="s">
        <v>1654</v>
      </c>
      <c r="G27" s="178">
        <v>100</v>
      </c>
      <c r="H27" s="178">
        <v>5</v>
      </c>
      <c r="I27" s="178">
        <v>10</v>
      </c>
      <c r="J27" s="178">
        <v>0</v>
      </c>
      <c r="K27" s="178">
        <v>0</v>
      </c>
      <c r="L27" s="180">
        <v>100</v>
      </c>
      <c r="M27" s="176"/>
      <c r="N27" s="177" t="s">
        <v>760</v>
      </c>
      <c r="O27" s="178" t="s">
        <v>559</v>
      </c>
      <c r="P27" s="178">
        <v>10</v>
      </c>
      <c r="Q27" s="179">
        <v>1</v>
      </c>
      <c r="R27" s="177" t="s">
        <v>9</v>
      </c>
      <c r="S27" s="178" t="s">
        <v>565</v>
      </c>
      <c r="T27" s="178">
        <v>10</v>
      </c>
      <c r="U27" s="179">
        <v>1</v>
      </c>
      <c r="V27" s="177" t="s">
        <v>739</v>
      </c>
      <c r="W27" s="178" t="s">
        <v>548</v>
      </c>
      <c r="X27" s="178">
        <v>10</v>
      </c>
      <c r="Y27" s="179">
        <v>1</v>
      </c>
    </row>
    <row r="28" spans="3:35" x14ac:dyDescent="0.25"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760</v>
      </c>
      <c r="O28" s="182" t="s">
        <v>559</v>
      </c>
      <c r="P28" s="182">
        <v>10</v>
      </c>
      <c r="Q28" s="183">
        <v>1</v>
      </c>
      <c r="R28" s="181" t="s">
        <v>9</v>
      </c>
      <c r="S28" s="182" t="s">
        <v>565</v>
      </c>
      <c r="T28" s="182">
        <v>10</v>
      </c>
      <c r="U28" s="183">
        <v>1</v>
      </c>
      <c r="V28" s="181" t="s">
        <v>739</v>
      </c>
      <c r="W28" s="182" t="s">
        <v>548</v>
      </c>
      <c r="X28" s="182">
        <v>10</v>
      </c>
      <c r="Y28" s="183">
        <v>1</v>
      </c>
    </row>
    <row r="29" spans="3:35" x14ac:dyDescent="0.25">
      <c r="C29" t="s">
        <v>995</v>
      </c>
      <c r="D29" s="173">
        <v>5</v>
      </c>
      <c r="E29" s="174" t="s">
        <v>3</v>
      </c>
      <c r="F29" s="175" t="s">
        <v>1739</v>
      </c>
      <c r="G29" s="174">
        <v>100</v>
      </c>
      <c r="H29" s="174">
        <v>5</v>
      </c>
      <c r="I29" s="174">
        <v>10</v>
      </c>
      <c r="J29" s="174">
        <v>0</v>
      </c>
      <c r="K29" s="174">
        <v>0</v>
      </c>
      <c r="L29" s="175">
        <v>100</v>
      </c>
      <c r="M29" s="176"/>
      <c r="N29" s="177" t="s">
        <v>932</v>
      </c>
      <c r="O29" s="178" t="s">
        <v>941</v>
      </c>
      <c r="P29" s="178">
        <v>10</v>
      </c>
      <c r="Q29" s="179">
        <v>1</v>
      </c>
      <c r="R29" s="177" t="s">
        <v>9</v>
      </c>
      <c r="S29" s="178" t="s">
        <v>565</v>
      </c>
      <c r="T29" s="178">
        <v>10</v>
      </c>
      <c r="U29" s="179">
        <v>1</v>
      </c>
      <c r="V29" s="177" t="s">
        <v>739</v>
      </c>
      <c r="W29" s="178" t="s">
        <v>555</v>
      </c>
      <c r="X29" s="178">
        <v>10</v>
      </c>
      <c r="Y29" s="179">
        <v>1</v>
      </c>
      <c r="AA29" s="181" t="s">
        <v>661</v>
      </c>
      <c r="AB29" s="182">
        <v>5</v>
      </c>
      <c r="AC29" s="182">
        <v>100</v>
      </c>
      <c r="AD29" s="182">
        <v>10</v>
      </c>
      <c r="AE29" s="159" t="s">
        <v>703</v>
      </c>
      <c r="AG29" s="161">
        <v>1</v>
      </c>
      <c r="AH29" s="161">
        <v>4</v>
      </c>
      <c r="AI29" s="161"/>
    </row>
    <row r="30" spans="3:35" x14ac:dyDescent="0.25">
      <c r="D30" s="177">
        <v>5</v>
      </c>
      <c r="E30" s="178" t="s">
        <v>3</v>
      </c>
      <c r="F30" s="180" t="s">
        <v>64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932</v>
      </c>
      <c r="O30" s="178" t="s">
        <v>941</v>
      </c>
      <c r="P30" s="178">
        <v>10</v>
      </c>
      <c r="Q30" s="179">
        <v>1</v>
      </c>
      <c r="R30" s="177" t="s">
        <v>9</v>
      </c>
      <c r="S30" s="178" t="s">
        <v>565</v>
      </c>
      <c r="T30" s="178">
        <v>10</v>
      </c>
      <c r="U30" s="179">
        <v>1</v>
      </c>
      <c r="V30" s="177" t="s">
        <v>739</v>
      </c>
      <c r="W30" s="178" t="s">
        <v>555</v>
      </c>
      <c r="X30" s="178">
        <v>10</v>
      </c>
      <c r="Y30" s="179">
        <v>1</v>
      </c>
      <c r="AG30" s="161">
        <v>2</v>
      </c>
      <c r="AH30" s="161">
        <v>3</v>
      </c>
      <c r="AI30" s="161"/>
    </row>
    <row r="31" spans="3:35" x14ac:dyDescent="0.25">
      <c r="D31" s="177">
        <v>6</v>
      </c>
      <c r="E31" s="178" t="s">
        <v>3</v>
      </c>
      <c r="F31" s="180" t="s">
        <v>264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760</v>
      </c>
      <c r="O31" s="178" t="s">
        <v>559</v>
      </c>
      <c r="P31" s="178">
        <v>10</v>
      </c>
      <c r="Q31" s="179">
        <v>1</v>
      </c>
      <c r="R31" s="177" t="s">
        <v>9</v>
      </c>
      <c r="S31" s="178" t="s">
        <v>565</v>
      </c>
      <c r="T31" s="178">
        <v>10</v>
      </c>
      <c r="U31" s="179">
        <v>1</v>
      </c>
      <c r="V31" s="177" t="s">
        <v>739</v>
      </c>
      <c r="W31" s="178" t="s">
        <v>548</v>
      </c>
      <c r="X31" s="178">
        <v>10</v>
      </c>
      <c r="Y31" s="179">
        <v>1</v>
      </c>
      <c r="AG31" s="161"/>
      <c r="AH31" s="161">
        <v>5</v>
      </c>
      <c r="AI31" s="161"/>
    </row>
    <row r="32" spans="3:35" x14ac:dyDescent="0.25">
      <c r="D32" s="177">
        <v>5</v>
      </c>
      <c r="E32" s="178" t="s">
        <v>3</v>
      </c>
      <c r="F32" s="180" t="s">
        <v>186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760</v>
      </c>
      <c r="O32" s="178" t="s">
        <v>559</v>
      </c>
      <c r="P32" s="178">
        <v>10</v>
      </c>
      <c r="Q32" s="179">
        <v>1</v>
      </c>
      <c r="R32" s="177" t="s">
        <v>9</v>
      </c>
      <c r="S32" s="178" t="s">
        <v>565</v>
      </c>
      <c r="T32" s="178">
        <v>10</v>
      </c>
      <c r="U32" s="179">
        <v>1</v>
      </c>
      <c r="V32" s="177" t="s">
        <v>739</v>
      </c>
      <c r="W32" s="178" t="s">
        <v>548</v>
      </c>
      <c r="X32" s="178">
        <v>10</v>
      </c>
      <c r="Y32" s="179">
        <v>1</v>
      </c>
    </row>
    <row r="33" spans="3:35" x14ac:dyDescent="0.25">
      <c r="D33" s="181">
        <v>5</v>
      </c>
      <c r="E33" s="182" t="s">
        <v>3</v>
      </c>
      <c r="F33" s="159" t="s">
        <v>197</v>
      </c>
      <c r="G33" s="182">
        <v>100</v>
      </c>
      <c r="H33" s="182">
        <v>5</v>
      </c>
      <c r="I33" s="182">
        <v>10</v>
      </c>
      <c r="J33" s="182">
        <v>0</v>
      </c>
      <c r="K33" s="182">
        <v>0</v>
      </c>
      <c r="L33" s="159">
        <v>100</v>
      </c>
      <c r="M33" s="176"/>
      <c r="N33" s="181" t="s">
        <v>760</v>
      </c>
      <c r="O33" s="182" t="s">
        <v>559</v>
      </c>
      <c r="P33" s="182">
        <v>10</v>
      </c>
      <c r="Q33" s="183">
        <v>1</v>
      </c>
      <c r="R33" s="181" t="s">
        <v>9</v>
      </c>
      <c r="S33" s="182" t="s">
        <v>565</v>
      </c>
      <c r="T33" s="182">
        <v>10</v>
      </c>
      <c r="U33" s="183">
        <v>1</v>
      </c>
      <c r="V33" s="181" t="s">
        <v>739</v>
      </c>
      <c r="W33" s="182" t="s">
        <v>548</v>
      </c>
      <c r="X33" s="182">
        <v>10</v>
      </c>
      <c r="Y33" s="183">
        <v>1</v>
      </c>
    </row>
    <row r="34" spans="3:35" x14ac:dyDescent="0.25">
      <c r="C34" t="s">
        <v>1004</v>
      </c>
      <c r="D34" s="173">
        <v>6</v>
      </c>
      <c r="E34" s="174" t="s">
        <v>2</v>
      </c>
      <c r="F34" s="175" t="s">
        <v>260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707</v>
      </c>
      <c r="O34" s="178" t="s">
        <v>223</v>
      </c>
      <c r="P34" s="178">
        <v>10</v>
      </c>
      <c r="Q34" s="179">
        <v>1</v>
      </c>
      <c r="R34" s="177" t="s">
        <v>734</v>
      </c>
      <c r="S34" s="178" t="s">
        <v>544</v>
      </c>
      <c r="T34" s="178">
        <v>10</v>
      </c>
      <c r="U34" s="179">
        <v>1</v>
      </c>
      <c r="V34" s="177" t="s">
        <v>707</v>
      </c>
      <c r="W34" s="178" t="s">
        <v>260</v>
      </c>
      <c r="X34" s="178">
        <v>10</v>
      </c>
      <c r="Y34" s="179">
        <v>1</v>
      </c>
      <c r="AA34" s="181" t="s">
        <v>646</v>
      </c>
      <c r="AB34" s="182">
        <v>5</v>
      </c>
      <c r="AC34" s="182">
        <v>100</v>
      </c>
      <c r="AD34" s="182">
        <v>10</v>
      </c>
      <c r="AE34" s="159" t="s">
        <v>703</v>
      </c>
      <c r="AG34" s="161">
        <v>1</v>
      </c>
      <c r="AH34" s="161"/>
      <c r="AI34" s="161"/>
    </row>
    <row r="35" spans="3:35" x14ac:dyDescent="0.25">
      <c r="D35" s="177">
        <v>5</v>
      </c>
      <c r="E35" s="178" t="s">
        <v>4</v>
      </c>
      <c r="F35" s="180" t="s">
        <v>212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718</v>
      </c>
      <c r="O35" s="178" t="s">
        <v>524</v>
      </c>
      <c r="P35" s="178">
        <v>10</v>
      </c>
      <c r="Q35" s="179">
        <v>1</v>
      </c>
      <c r="R35" s="177" t="s">
        <v>932</v>
      </c>
      <c r="S35" s="178" t="s">
        <v>929</v>
      </c>
      <c r="T35" s="178">
        <v>10</v>
      </c>
      <c r="U35" s="179">
        <v>1</v>
      </c>
      <c r="V35" s="177" t="s">
        <v>748</v>
      </c>
      <c r="W35" s="178" t="s">
        <v>561</v>
      </c>
      <c r="X35" s="178">
        <v>10</v>
      </c>
      <c r="Y35" s="179">
        <v>1</v>
      </c>
      <c r="AG35" s="161">
        <v>2</v>
      </c>
      <c r="AH35" s="161">
        <v>4</v>
      </c>
      <c r="AI35" s="161"/>
    </row>
    <row r="36" spans="3:35" x14ac:dyDescent="0.25">
      <c r="D36" s="177">
        <v>5</v>
      </c>
      <c r="E36" s="178" t="s">
        <v>6</v>
      </c>
      <c r="F36" s="180" t="s">
        <v>171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718</v>
      </c>
      <c r="O36" s="178" t="s">
        <v>524</v>
      </c>
      <c r="P36" s="178">
        <v>10</v>
      </c>
      <c r="Q36" s="179">
        <v>1</v>
      </c>
      <c r="R36" s="177" t="s">
        <v>932</v>
      </c>
      <c r="S36" s="178" t="s">
        <v>929</v>
      </c>
      <c r="T36" s="178">
        <v>10</v>
      </c>
      <c r="U36" s="179">
        <v>1</v>
      </c>
      <c r="V36" s="177" t="s">
        <v>749</v>
      </c>
      <c r="W36" s="178" t="s">
        <v>577</v>
      </c>
      <c r="X36" s="178">
        <v>10</v>
      </c>
      <c r="Y36" s="179">
        <v>1</v>
      </c>
      <c r="AG36" s="161">
        <v>3</v>
      </c>
      <c r="AH36" s="161">
        <v>5</v>
      </c>
      <c r="AI36" s="161"/>
    </row>
    <row r="37" spans="3:35" x14ac:dyDescent="0.25">
      <c r="D37" s="177">
        <v>4</v>
      </c>
      <c r="E37" s="178" t="s">
        <v>3</v>
      </c>
      <c r="F37" s="180" t="s">
        <v>1230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760</v>
      </c>
      <c r="O37" s="178" t="s">
        <v>559</v>
      </c>
      <c r="P37" s="178">
        <v>10</v>
      </c>
      <c r="Q37" s="179">
        <v>1</v>
      </c>
      <c r="R37" s="177" t="s">
        <v>9</v>
      </c>
      <c r="S37" s="178" t="s">
        <v>565</v>
      </c>
      <c r="T37" s="178">
        <v>10</v>
      </c>
      <c r="U37" s="179">
        <v>1</v>
      </c>
      <c r="V37" s="177" t="s">
        <v>739</v>
      </c>
      <c r="W37" s="178" t="s">
        <v>548</v>
      </c>
      <c r="X37" s="178">
        <v>10</v>
      </c>
      <c r="Y37" s="179">
        <v>1</v>
      </c>
    </row>
    <row r="38" spans="3:35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760</v>
      </c>
      <c r="O38" s="182" t="s">
        <v>559</v>
      </c>
      <c r="P38" s="182">
        <v>10</v>
      </c>
      <c r="Q38" s="183">
        <v>1</v>
      </c>
      <c r="R38" s="181" t="s">
        <v>9</v>
      </c>
      <c r="S38" s="182" t="s">
        <v>565</v>
      </c>
      <c r="T38" s="182">
        <v>10</v>
      </c>
      <c r="U38" s="183">
        <v>1</v>
      </c>
      <c r="V38" s="181" t="s">
        <v>739</v>
      </c>
      <c r="W38" s="182" t="s">
        <v>548</v>
      </c>
      <c r="X38" s="182">
        <v>10</v>
      </c>
      <c r="Y38" s="183">
        <v>1</v>
      </c>
    </row>
    <row r="39" spans="3:35" x14ac:dyDescent="0.25">
      <c r="C39" t="s">
        <v>1754</v>
      </c>
      <c r="D39" s="173">
        <v>5</v>
      </c>
      <c r="E39" s="174" t="s">
        <v>4</v>
      </c>
      <c r="F39" s="175" t="s">
        <v>212</v>
      </c>
      <c r="G39" s="174">
        <v>100</v>
      </c>
      <c r="H39" s="174">
        <v>5</v>
      </c>
      <c r="I39" s="174">
        <v>10</v>
      </c>
      <c r="J39" s="174">
        <v>0</v>
      </c>
      <c r="K39" s="174">
        <v>0</v>
      </c>
      <c r="L39" s="175">
        <v>100</v>
      </c>
      <c r="M39" s="176"/>
      <c r="N39" s="177" t="s">
        <v>718</v>
      </c>
      <c r="O39" s="178" t="s">
        <v>524</v>
      </c>
      <c r="P39" s="178">
        <v>10</v>
      </c>
      <c r="Q39" s="179">
        <v>1</v>
      </c>
      <c r="R39" s="177" t="s">
        <v>932</v>
      </c>
      <c r="S39" s="178" t="s">
        <v>929</v>
      </c>
      <c r="T39" s="178">
        <v>10</v>
      </c>
      <c r="U39" s="179">
        <v>1</v>
      </c>
      <c r="V39" s="177" t="s">
        <v>748</v>
      </c>
      <c r="W39" s="178" t="s">
        <v>561</v>
      </c>
      <c r="X39" s="178">
        <v>10</v>
      </c>
      <c r="Y39" s="179">
        <v>1</v>
      </c>
      <c r="AA39" s="181" t="s">
        <v>643</v>
      </c>
      <c r="AB39" s="182">
        <v>5</v>
      </c>
      <c r="AC39" s="182">
        <v>100</v>
      </c>
      <c r="AD39" s="182">
        <v>10</v>
      </c>
      <c r="AE39" s="159" t="s">
        <v>685</v>
      </c>
      <c r="AG39" s="161">
        <v>2</v>
      </c>
      <c r="AH39" s="161"/>
      <c r="AI39" s="161"/>
    </row>
    <row r="40" spans="3:35" x14ac:dyDescent="0.25">
      <c r="D40" s="177">
        <v>5</v>
      </c>
      <c r="E40" s="178" t="s">
        <v>4</v>
      </c>
      <c r="F40" s="180" t="s">
        <v>1715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100</v>
      </c>
      <c r="M40" s="176"/>
      <c r="N40" s="177" t="s">
        <v>718</v>
      </c>
      <c r="O40" s="178" t="s">
        <v>524</v>
      </c>
      <c r="P40" s="178">
        <v>10</v>
      </c>
      <c r="Q40" s="179">
        <v>1</v>
      </c>
      <c r="R40" s="177" t="s">
        <v>932</v>
      </c>
      <c r="S40" s="178" t="s">
        <v>929</v>
      </c>
      <c r="T40" s="178">
        <v>10</v>
      </c>
      <c r="U40" s="179">
        <v>1</v>
      </c>
      <c r="V40" s="177" t="s">
        <v>748</v>
      </c>
      <c r="W40" s="178" t="s">
        <v>561</v>
      </c>
      <c r="X40" s="178">
        <v>10</v>
      </c>
      <c r="Y40" s="179">
        <v>1</v>
      </c>
      <c r="AG40" s="161">
        <v>1</v>
      </c>
      <c r="AH40" s="161">
        <v>5</v>
      </c>
      <c r="AI40" s="161">
        <v>4</v>
      </c>
    </row>
    <row r="41" spans="3:35" x14ac:dyDescent="0.25">
      <c r="D41" s="177">
        <v>5</v>
      </c>
      <c r="E41" s="178" t="s">
        <v>4</v>
      </c>
      <c r="F41" s="180" t="s">
        <v>241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100</v>
      </c>
      <c r="M41" s="176"/>
      <c r="N41" s="177" t="s">
        <v>718</v>
      </c>
      <c r="O41" s="178" t="s">
        <v>524</v>
      </c>
      <c r="P41" s="178">
        <v>10</v>
      </c>
      <c r="Q41" s="179">
        <v>1</v>
      </c>
      <c r="R41" s="177" t="s">
        <v>932</v>
      </c>
      <c r="S41" s="178" t="s">
        <v>929</v>
      </c>
      <c r="T41" s="178">
        <v>10</v>
      </c>
      <c r="U41" s="179">
        <v>1</v>
      </c>
      <c r="V41" s="177" t="s">
        <v>748</v>
      </c>
      <c r="W41" s="178" t="s">
        <v>561</v>
      </c>
      <c r="X41" s="178">
        <v>10</v>
      </c>
      <c r="Y41" s="179">
        <v>1</v>
      </c>
      <c r="AG41" s="161">
        <v>3</v>
      </c>
      <c r="AH41" s="161"/>
      <c r="AI41" s="161"/>
    </row>
    <row r="42" spans="3:35" x14ac:dyDescent="0.25">
      <c r="D42" s="177">
        <v>5</v>
      </c>
      <c r="E42" s="178" t="s">
        <v>5</v>
      </c>
      <c r="F42" s="180" t="s">
        <v>5720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100</v>
      </c>
      <c r="M42" s="176"/>
      <c r="N42" s="177" t="s">
        <v>721</v>
      </c>
      <c r="O42" s="178" t="s">
        <v>532</v>
      </c>
      <c r="P42" s="178">
        <v>10</v>
      </c>
      <c r="Q42" s="179">
        <v>1</v>
      </c>
      <c r="R42" s="177" t="s">
        <v>932</v>
      </c>
      <c r="S42" s="178" t="s">
        <v>921</v>
      </c>
      <c r="T42" s="178">
        <v>10</v>
      </c>
      <c r="U42" s="179">
        <v>1</v>
      </c>
      <c r="V42" s="177" t="s">
        <v>643</v>
      </c>
      <c r="W42" s="178" t="s">
        <v>551</v>
      </c>
      <c r="X42" s="178">
        <v>10</v>
      </c>
      <c r="Y42" s="179">
        <v>1</v>
      </c>
    </row>
    <row r="43" spans="3:35" x14ac:dyDescent="0.25">
      <c r="D43" s="181">
        <v>5</v>
      </c>
      <c r="E43" s="182" t="s">
        <v>3</v>
      </c>
      <c r="F43" s="159" t="s">
        <v>1745</v>
      </c>
      <c r="G43" s="182">
        <v>100</v>
      </c>
      <c r="H43" s="182">
        <v>5</v>
      </c>
      <c r="I43" s="182">
        <v>10</v>
      </c>
      <c r="J43" s="182">
        <v>0</v>
      </c>
      <c r="K43" s="182">
        <v>0</v>
      </c>
      <c r="L43" s="159">
        <v>100</v>
      </c>
      <c r="M43" s="176"/>
      <c r="N43" s="181" t="s">
        <v>707</v>
      </c>
      <c r="O43" s="182" t="s">
        <v>761</v>
      </c>
      <c r="P43" s="182"/>
      <c r="Q43" s="183">
        <v>1</v>
      </c>
      <c r="R43" s="181" t="s">
        <v>707</v>
      </c>
      <c r="S43" s="182" t="s">
        <v>764</v>
      </c>
      <c r="T43" s="182"/>
      <c r="U43" s="183">
        <v>1</v>
      </c>
      <c r="V43" s="181" t="s">
        <v>707</v>
      </c>
      <c r="W43" s="182" t="s">
        <v>767</v>
      </c>
      <c r="X43" s="182"/>
      <c r="Y43" s="183">
        <v>1</v>
      </c>
    </row>
    <row r="44" spans="3:35" x14ac:dyDescent="0.25">
      <c r="C44" t="s">
        <v>5591</v>
      </c>
      <c r="D44" s="173">
        <v>4</v>
      </c>
      <c r="E44" s="174" t="s">
        <v>6</v>
      </c>
      <c r="F44" s="175" t="s">
        <v>847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707</v>
      </c>
      <c r="O44" s="178" t="s">
        <v>847</v>
      </c>
      <c r="P44" s="178">
        <v>10</v>
      </c>
      <c r="Q44" s="179">
        <v>1</v>
      </c>
      <c r="R44" s="177" t="s">
        <v>932</v>
      </c>
      <c r="S44" s="178" t="s">
        <v>929</v>
      </c>
      <c r="T44" s="178">
        <v>10</v>
      </c>
      <c r="U44" s="179">
        <v>1</v>
      </c>
      <c r="V44" s="177" t="s">
        <v>749</v>
      </c>
      <c r="W44" s="178" t="s">
        <v>577</v>
      </c>
      <c r="X44" s="178">
        <v>10</v>
      </c>
      <c r="Y44" s="179">
        <v>1</v>
      </c>
      <c r="AA44" s="181" t="s">
        <v>651</v>
      </c>
      <c r="AB44" s="182">
        <v>5</v>
      </c>
      <c r="AC44" s="182">
        <v>100</v>
      </c>
      <c r="AD44" s="182">
        <v>10</v>
      </c>
      <c r="AE44" s="159" t="s">
        <v>703</v>
      </c>
      <c r="AG44" s="161">
        <v>1</v>
      </c>
      <c r="AH44" s="161"/>
      <c r="AI44" s="161"/>
    </row>
    <row r="45" spans="3:35" x14ac:dyDescent="0.25">
      <c r="D45" s="177">
        <v>5</v>
      </c>
      <c r="E45" s="178" t="s">
        <v>6</v>
      </c>
      <c r="F45" s="180" t="s">
        <v>171</v>
      </c>
      <c r="G45" s="178">
        <v>100</v>
      </c>
      <c r="H45" s="178">
        <v>5</v>
      </c>
      <c r="I45" s="178">
        <v>10</v>
      </c>
      <c r="J45" s="178">
        <v>0</v>
      </c>
      <c r="K45" s="178">
        <v>0</v>
      </c>
      <c r="L45" s="180">
        <v>100</v>
      </c>
      <c r="M45" s="176"/>
      <c r="N45" s="177" t="s">
        <v>718</v>
      </c>
      <c r="O45" s="178" t="s">
        <v>524</v>
      </c>
      <c r="P45" s="178">
        <v>10</v>
      </c>
      <c r="Q45" s="179">
        <v>1</v>
      </c>
      <c r="R45" s="177" t="s">
        <v>932</v>
      </c>
      <c r="S45" s="178" t="s">
        <v>929</v>
      </c>
      <c r="T45" s="178">
        <v>10</v>
      </c>
      <c r="U45" s="179">
        <v>1</v>
      </c>
      <c r="V45" s="177" t="s">
        <v>749</v>
      </c>
      <c r="W45" s="178" t="s">
        <v>577</v>
      </c>
      <c r="X45" s="178">
        <v>10</v>
      </c>
      <c r="Y45" s="179">
        <v>1</v>
      </c>
      <c r="AG45" s="161">
        <v>4</v>
      </c>
      <c r="AH45" s="161">
        <v>3</v>
      </c>
      <c r="AI45" s="161"/>
    </row>
    <row r="46" spans="3:35" x14ac:dyDescent="0.25">
      <c r="D46" s="177">
        <v>5</v>
      </c>
      <c r="E46" s="178" t="s">
        <v>7</v>
      </c>
      <c r="F46" s="180" t="s">
        <v>1461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760</v>
      </c>
      <c r="O46" s="178" t="s">
        <v>559</v>
      </c>
      <c r="P46" s="178">
        <v>10</v>
      </c>
      <c r="Q46" s="179">
        <v>1</v>
      </c>
      <c r="R46" s="177" t="s">
        <v>932</v>
      </c>
      <c r="S46" s="178" t="s">
        <v>931</v>
      </c>
      <c r="T46" s="178">
        <v>10</v>
      </c>
      <c r="U46" s="179">
        <v>1</v>
      </c>
      <c r="V46" s="177" t="s">
        <v>707</v>
      </c>
      <c r="W46" s="178" t="s">
        <v>736</v>
      </c>
      <c r="X46" s="178">
        <v>10</v>
      </c>
      <c r="Y46" s="179">
        <v>1</v>
      </c>
      <c r="AG46" s="161">
        <v>2</v>
      </c>
      <c r="AH46" s="161">
        <v>5</v>
      </c>
      <c r="AI46" s="161"/>
    </row>
    <row r="47" spans="3:35" x14ac:dyDescent="0.25">
      <c r="D47" s="177">
        <v>5</v>
      </c>
      <c r="E47" s="178" t="s">
        <v>3</v>
      </c>
      <c r="F47" s="180" t="s">
        <v>746</v>
      </c>
      <c r="G47" s="178">
        <v>110</v>
      </c>
      <c r="H47" s="178">
        <v>5</v>
      </c>
      <c r="I47" s="178">
        <v>10</v>
      </c>
      <c r="J47" s="178">
        <v>10</v>
      </c>
      <c r="K47" s="178">
        <v>2</v>
      </c>
      <c r="L47" s="180">
        <v>100</v>
      </c>
      <c r="M47" s="176"/>
      <c r="N47" s="177" t="s">
        <v>707</v>
      </c>
      <c r="O47" s="178" t="s">
        <v>67</v>
      </c>
      <c r="P47" s="178">
        <v>10</v>
      </c>
      <c r="Q47" s="179">
        <v>1</v>
      </c>
      <c r="R47" s="177" t="s">
        <v>932</v>
      </c>
      <c r="S47" s="178" t="s">
        <v>931</v>
      </c>
      <c r="T47" s="178">
        <v>10</v>
      </c>
      <c r="U47" s="179">
        <v>1</v>
      </c>
      <c r="V47" s="177" t="s">
        <v>739</v>
      </c>
      <c r="W47" s="178" t="s">
        <v>548</v>
      </c>
      <c r="X47" s="178">
        <v>10</v>
      </c>
      <c r="Y47" s="179">
        <v>1</v>
      </c>
    </row>
    <row r="48" spans="3:35" x14ac:dyDescent="0.25">
      <c r="D48" s="181">
        <v>5</v>
      </c>
      <c r="E48" s="182" t="s">
        <v>3</v>
      </c>
      <c r="F48" s="159" t="s">
        <v>197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760</v>
      </c>
      <c r="O48" s="182" t="s">
        <v>559</v>
      </c>
      <c r="P48" s="182">
        <v>10</v>
      </c>
      <c r="Q48" s="183">
        <v>1</v>
      </c>
      <c r="R48" s="181" t="s">
        <v>932</v>
      </c>
      <c r="S48" s="182" t="s">
        <v>931</v>
      </c>
      <c r="T48" s="182">
        <v>10</v>
      </c>
      <c r="U48" s="183">
        <v>1</v>
      </c>
      <c r="V48" s="181" t="s">
        <v>739</v>
      </c>
      <c r="W48" s="182" t="s">
        <v>548</v>
      </c>
      <c r="X48" s="182">
        <v>10</v>
      </c>
      <c r="Y48" s="183">
        <v>1</v>
      </c>
    </row>
    <row r="49" spans="3:35" x14ac:dyDescent="0.25">
      <c r="C49" t="s">
        <v>5592</v>
      </c>
      <c r="D49" s="173">
        <v>5</v>
      </c>
      <c r="E49" s="174" t="s">
        <v>2</v>
      </c>
      <c r="F49" s="175" t="s">
        <v>257</v>
      </c>
      <c r="G49" s="174">
        <v>115</v>
      </c>
      <c r="H49" s="174">
        <v>5</v>
      </c>
      <c r="I49" s="174">
        <v>10</v>
      </c>
      <c r="J49" s="174">
        <v>10</v>
      </c>
      <c r="K49" s="174">
        <v>3</v>
      </c>
      <c r="L49" s="175">
        <v>100</v>
      </c>
      <c r="M49" s="176"/>
      <c r="N49" s="177" t="s">
        <v>718</v>
      </c>
      <c r="O49" s="178" t="s">
        <v>524</v>
      </c>
      <c r="P49" s="178">
        <v>10</v>
      </c>
      <c r="Q49" s="179">
        <v>1</v>
      </c>
      <c r="R49" s="177" t="s">
        <v>734</v>
      </c>
      <c r="S49" s="178" t="s">
        <v>544</v>
      </c>
      <c r="T49" s="178">
        <v>10</v>
      </c>
      <c r="U49" s="179">
        <v>1</v>
      </c>
      <c r="V49" s="177" t="s">
        <v>707</v>
      </c>
      <c r="W49" s="178" t="s">
        <v>257</v>
      </c>
      <c r="X49" s="178">
        <v>10</v>
      </c>
      <c r="Y49" s="179">
        <v>1</v>
      </c>
      <c r="AA49" s="181" t="s">
        <v>661</v>
      </c>
      <c r="AB49" s="182">
        <v>5</v>
      </c>
      <c r="AC49" s="182">
        <v>100</v>
      </c>
      <c r="AD49" s="182">
        <v>10</v>
      </c>
      <c r="AE49" s="159" t="s">
        <v>703</v>
      </c>
      <c r="AG49" s="161">
        <v>1</v>
      </c>
      <c r="AH49" s="161"/>
      <c r="AI49" s="161"/>
    </row>
    <row r="50" spans="3:35" x14ac:dyDescent="0.25">
      <c r="D50" s="177">
        <v>5</v>
      </c>
      <c r="E50" s="178" t="s">
        <v>6</v>
      </c>
      <c r="F50" s="180" t="s">
        <v>171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718</v>
      </c>
      <c r="O50" s="178" t="s">
        <v>524</v>
      </c>
      <c r="P50" s="178">
        <v>10</v>
      </c>
      <c r="Q50" s="179">
        <v>1</v>
      </c>
      <c r="R50" s="177" t="s">
        <v>932</v>
      </c>
      <c r="S50" s="178" t="s">
        <v>929</v>
      </c>
      <c r="T50" s="178">
        <v>10</v>
      </c>
      <c r="U50" s="179">
        <v>1</v>
      </c>
      <c r="V50" s="177" t="s">
        <v>749</v>
      </c>
      <c r="W50" s="178" t="s">
        <v>577</v>
      </c>
      <c r="X50" s="178">
        <v>10</v>
      </c>
      <c r="Y50" s="179">
        <v>1</v>
      </c>
      <c r="AG50" s="161">
        <v>5</v>
      </c>
      <c r="AH50" s="161">
        <v>3</v>
      </c>
      <c r="AI50" s="161"/>
    </row>
    <row r="51" spans="3:35" x14ac:dyDescent="0.25">
      <c r="D51" s="177">
        <v>6</v>
      </c>
      <c r="E51" s="178" t="s">
        <v>3</v>
      </c>
      <c r="F51" s="180" t="s">
        <v>264</v>
      </c>
      <c r="G51" s="178">
        <v>110</v>
      </c>
      <c r="H51" s="178">
        <v>5</v>
      </c>
      <c r="I51" s="178">
        <v>10</v>
      </c>
      <c r="J51" s="178">
        <v>10</v>
      </c>
      <c r="K51" s="178">
        <v>2</v>
      </c>
      <c r="L51" s="180">
        <v>100</v>
      </c>
      <c r="M51" s="176"/>
      <c r="N51" s="177" t="s">
        <v>760</v>
      </c>
      <c r="O51" s="178" t="s">
        <v>559</v>
      </c>
      <c r="P51" s="178">
        <v>10</v>
      </c>
      <c r="Q51" s="179">
        <v>1</v>
      </c>
      <c r="R51" s="177" t="s">
        <v>9</v>
      </c>
      <c r="S51" s="178" t="s">
        <v>565</v>
      </c>
      <c r="T51" s="178">
        <v>10</v>
      </c>
      <c r="U51" s="179">
        <v>1</v>
      </c>
      <c r="V51" s="177" t="s">
        <v>739</v>
      </c>
      <c r="W51" s="178" t="s">
        <v>548</v>
      </c>
      <c r="X51" s="178">
        <v>10</v>
      </c>
      <c r="Y51" s="179">
        <v>1</v>
      </c>
      <c r="AG51" s="161">
        <v>2</v>
      </c>
      <c r="AH51" s="161">
        <v>4</v>
      </c>
      <c r="AI51" s="161"/>
    </row>
    <row r="52" spans="3:35" x14ac:dyDescent="0.25">
      <c r="D52" s="177">
        <v>5</v>
      </c>
      <c r="E52" s="178" t="s">
        <v>3</v>
      </c>
      <c r="F52" s="180" t="s">
        <v>801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760</v>
      </c>
      <c r="O52" s="178" t="s">
        <v>559</v>
      </c>
      <c r="P52" s="178">
        <v>10</v>
      </c>
      <c r="Q52" s="179">
        <v>1</v>
      </c>
      <c r="R52" s="177" t="s">
        <v>9</v>
      </c>
      <c r="S52" s="178" t="s">
        <v>565</v>
      </c>
      <c r="T52" s="178">
        <v>10</v>
      </c>
      <c r="U52" s="179">
        <v>1</v>
      </c>
      <c r="V52" s="177" t="s">
        <v>739</v>
      </c>
      <c r="W52" s="178" t="s">
        <v>548</v>
      </c>
      <c r="X52" s="178">
        <v>10</v>
      </c>
      <c r="Y52" s="179">
        <v>1</v>
      </c>
    </row>
    <row r="53" spans="3:35" x14ac:dyDescent="0.25">
      <c r="D53" s="181">
        <v>5</v>
      </c>
      <c r="E53" s="182" t="s">
        <v>3</v>
      </c>
      <c r="F53" s="159" t="s">
        <v>746</v>
      </c>
      <c r="G53" s="182">
        <v>110</v>
      </c>
      <c r="H53" s="182">
        <v>5</v>
      </c>
      <c r="I53" s="182">
        <v>10</v>
      </c>
      <c r="J53" s="182">
        <v>10</v>
      </c>
      <c r="K53" s="182">
        <v>2</v>
      </c>
      <c r="L53" s="159">
        <v>100</v>
      </c>
      <c r="M53" s="176"/>
      <c r="N53" s="181" t="s">
        <v>707</v>
      </c>
      <c r="O53" s="182" t="s">
        <v>67</v>
      </c>
      <c r="P53" s="182">
        <v>10</v>
      </c>
      <c r="Q53" s="183">
        <v>1</v>
      </c>
      <c r="R53" s="181" t="s">
        <v>9</v>
      </c>
      <c r="S53" s="182" t="s">
        <v>565</v>
      </c>
      <c r="T53" s="182">
        <v>10</v>
      </c>
      <c r="U53" s="183">
        <v>1</v>
      </c>
      <c r="V53" s="181" t="s">
        <v>739</v>
      </c>
      <c r="W53" s="182" t="s">
        <v>548</v>
      </c>
      <c r="X53" s="182">
        <v>10</v>
      </c>
      <c r="Y53" s="183">
        <v>1</v>
      </c>
    </row>
    <row r="54" spans="3:35" x14ac:dyDescent="0.25">
      <c r="C54" t="s">
        <v>5593</v>
      </c>
      <c r="D54" s="173">
        <v>5</v>
      </c>
      <c r="E54" s="174" t="s">
        <v>2</v>
      </c>
      <c r="F54" s="175" t="s">
        <v>257</v>
      </c>
      <c r="G54" s="174">
        <v>115</v>
      </c>
      <c r="H54" s="174">
        <v>5</v>
      </c>
      <c r="I54" s="174">
        <v>10</v>
      </c>
      <c r="J54" s="174">
        <v>10</v>
      </c>
      <c r="K54" s="174">
        <v>3</v>
      </c>
      <c r="L54" s="175">
        <v>100</v>
      </c>
      <c r="M54" s="176"/>
      <c r="N54" s="177" t="s">
        <v>718</v>
      </c>
      <c r="O54" s="178" t="s">
        <v>524</v>
      </c>
      <c r="P54" s="178">
        <v>10</v>
      </c>
      <c r="Q54" s="179">
        <v>1</v>
      </c>
      <c r="R54" s="177" t="s">
        <v>734</v>
      </c>
      <c r="S54" s="178" t="s">
        <v>544</v>
      </c>
      <c r="T54" s="178">
        <v>10</v>
      </c>
      <c r="U54" s="179">
        <v>1</v>
      </c>
      <c r="V54" s="177" t="s">
        <v>707</v>
      </c>
      <c r="W54" s="178" t="s">
        <v>257</v>
      </c>
      <c r="X54" s="178">
        <v>10</v>
      </c>
      <c r="Y54" s="179">
        <v>1</v>
      </c>
      <c r="AA54" s="181" t="s">
        <v>661</v>
      </c>
      <c r="AB54" s="182">
        <v>5</v>
      </c>
      <c r="AC54" s="182">
        <v>100</v>
      </c>
      <c r="AD54" s="182">
        <v>10</v>
      </c>
      <c r="AE54" s="159" t="s">
        <v>703</v>
      </c>
      <c r="AG54" s="161">
        <v>2</v>
      </c>
      <c r="AH54" s="161"/>
      <c r="AI54" s="161"/>
    </row>
    <row r="55" spans="3:35" x14ac:dyDescent="0.25">
      <c r="D55" s="177">
        <v>5</v>
      </c>
      <c r="E55" s="178" t="s">
        <v>6</v>
      </c>
      <c r="F55" s="180" t="s">
        <v>250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718</v>
      </c>
      <c r="O55" s="178" t="s">
        <v>524</v>
      </c>
      <c r="P55" s="178">
        <v>10</v>
      </c>
      <c r="Q55" s="179">
        <v>1</v>
      </c>
      <c r="R55" s="177" t="s">
        <v>932</v>
      </c>
      <c r="S55" s="178" t="s">
        <v>929</v>
      </c>
      <c r="T55" s="178">
        <v>10</v>
      </c>
      <c r="U55" s="179">
        <v>1</v>
      </c>
      <c r="V55" s="177" t="s">
        <v>707</v>
      </c>
      <c r="W55" s="178" t="s">
        <v>250</v>
      </c>
      <c r="X55" s="178">
        <v>10</v>
      </c>
      <c r="Y55" s="179">
        <v>1</v>
      </c>
      <c r="AG55" s="161">
        <v>5</v>
      </c>
      <c r="AH55" s="161">
        <v>3</v>
      </c>
      <c r="AI55" s="161"/>
    </row>
    <row r="56" spans="3:35" x14ac:dyDescent="0.25">
      <c r="D56" s="177">
        <v>6</v>
      </c>
      <c r="E56" s="178" t="s">
        <v>3</v>
      </c>
      <c r="F56" s="180" t="s">
        <v>264</v>
      </c>
      <c r="G56" s="178">
        <v>110</v>
      </c>
      <c r="H56" s="178">
        <v>5</v>
      </c>
      <c r="I56" s="178">
        <v>10</v>
      </c>
      <c r="J56" s="178">
        <v>10</v>
      </c>
      <c r="K56" s="178">
        <v>2</v>
      </c>
      <c r="L56" s="180">
        <v>100</v>
      </c>
      <c r="M56" s="176"/>
      <c r="N56" s="177" t="s">
        <v>760</v>
      </c>
      <c r="O56" s="178" t="s">
        <v>559</v>
      </c>
      <c r="P56" s="178">
        <v>10</v>
      </c>
      <c r="Q56" s="179">
        <v>1</v>
      </c>
      <c r="R56" s="177" t="s">
        <v>9</v>
      </c>
      <c r="S56" s="178" t="s">
        <v>565</v>
      </c>
      <c r="T56" s="178">
        <v>10</v>
      </c>
      <c r="U56" s="179">
        <v>1</v>
      </c>
      <c r="V56" s="177" t="s">
        <v>739</v>
      </c>
      <c r="W56" s="178" t="s">
        <v>548</v>
      </c>
      <c r="X56" s="178">
        <v>10</v>
      </c>
      <c r="Y56" s="179">
        <v>1</v>
      </c>
      <c r="AG56" s="161">
        <v>1</v>
      </c>
      <c r="AH56" s="161">
        <v>4</v>
      </c>
      <c r="AI56" s="161"/>
    </row>
    <row r="57" spans="3:35" x14ac:dyDescent="0.25">
      <c r="D57" s="177">
        <v>5</v>
      </c>
      <c r="E57" s="178" t="s">
        <v>3</v>
      </c>
      <c r="F57" s="180" t="s">
        <v>801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760</v>
      </c>
      <c r="O57" s="178" t="s">
        <v>559</v>
      </c>
      <c r="P57" s="178">
        <v>10</v>
      </c>
      <c r="Q57" s="179">
        <v>1</v>
      </c>
      <c r="R57" s="177" t="s">
        <v>9</v>
      </c>
      <c r="S57" s="178" t="s">
        <v>565</v>
      </c>
      <c r="T57" s="178">
        <v>10</v>
      </c>
      <c r="U57" s="179">
        <v>1</v>
      </c>
      <c r="V57" s="177" t="s">
        <v>739</v>
      </c>
      <c r="W57" s="178" t="s">
        <v>548</v>
      </c>
      <c r="X57" s="178">
        <v>10</v>
      </c>
      <c r="Y57" s="179">
        <v>1</v>
      </c>
    </row>
    <row r="58" spans="3:35" x14ac:dyDescent="0.25">
      <c r="D58" s="181">
        <v>5</v>
      </c>
      <c r="E58" s="182" t="s">
        <v>3</v>
      </c>
      <c r="F58" s="159" t="s">
        <v>746</v>
      </c>
      <c r="G58" s="182">
        <v>110</v>
      </c>
      <c r="H58" s="182">
        <v>5</v>
      </c>
      <c r="I58" s="182">
        <v>10</v>
      </c>
      <c r="J58" s="182">
        <v>10</v>
      </c>
      <c r="K58" s="182">
        <v>2</v>
      </c>
      <c r="L58" s="159">
        <v>100</v>
      </c>
      <c r="M58" s="176"/>
      <c r="N58" s="181" t="s">
        <v>707</v>
      </c>
      <c r="O58" s="182" t="s">
        <v>67</v>
      </c>
      <c r="P58" s="182">
        <v>10</v>
      </c>
      <c r="Q58" s="183">
        <v>1</v>
      </c>
      <c r="R58" s="181" t="s">
        <v>9</v>
      </c>
      <c r="S58" s="182" t="s">
        <v>565</v>
      </c>
      <c r="T58" s="182">
        <v>10</v>
      </c>
      <c r="U58" s="183">
        <v>1</v>
      </c>
      <c r="V58" s="181" t="s">
        <v>739</v>
      </c>
      <c r="W58" s="182" t="s">
        <v>548</v>
      </c>
      <c r="X58" s="182">
        <v>10</v>
      </c>
      <c r="Y58" s="183">
        <v>1</v>
      </c>
    </row>
    <row r="59" spans="3:35" x14ac:dyDescent="0.25">
      <c r="C59" t="s">
        <v>5594</v>
      </c>
      <c r="D59" s="173">
        <v>6</v>
      </c>
      <c r="E59" s="174" t="s">
        <v>2</v>
      </c>
      <c r="F59" s="175" t="s">
        <v>1499</v>
      </c>
      <c r="G59" s="174">
        <v>115</v>
      </c>
      <c r="H59" s="174">
        <v>5</v>
      </c>
      <c r="I59" s="174">
        <v>10</v>
      </c>
      <c r="J59" s="174">
        <v>10</v>
      </c>
      <c r="K59" s="174">
        <v>3</v>
      </c>
      <c r="L59" s="175">
        <v>100</v>
      </c>
      <c r="M59" s="176"/>
      <c r="N59" s="177" t="s">
        <v>718</v>
      </c>
      <c r="O59" s="178" t="s">
        <v>524</v>
      </c>
      <c r="P59" s="178">
        <v>10</v>
      </c>
      <c r="Q59" s="179">
        <v>1</v>
      </c>
      <c r="R59" s="177" t="s">
        <v>734</v>
      </c>
      <c r="S59" s="178" t="s">
        <v>544</v>
      </c>
      <c r="T59" s="178">
        <v>10</v>
      </c>
      <c r="U59" s="179">
        <v>1</v>
      </c>
      <c r="V59" s="177" t="s">
        <v>707</v>
      </c>
      <c r="W59" s="178" t="s">
        <v>1499</v>
      </c>
      <c r="X59" s="178">
        <v>10</v>
      </c>
      <c r="Y59" s="179">
        <v>1</v>
      </c>
      <c r="AA59" s="181" t="s">
        <v>661</v>
      </c>
      <c r="AB59" s="182">
        <v>5</v>
      </c>
      <c r="AC59" s="182">
        <v>100</v>
      </c>
      <c r="AD59" s="182">
        <v>10</v>
      </c>
      <c r="AE59" s="159" t="s">
        <v>703</v>
      </c>
      <c r="AG59" s="161">
        <v>1</v>
      </c>
      <c r="AH59" s="161">
        <v>3</v>
      </c>
      <c r="AI59" s="161"/>
    </row>
    <row r="60" spans="3:35" x14ac:dyDescent="0.25">
      <c r="D60" s="177">
        <v>5</v>
      </c>
      <c r="E60" s="178" t="s">
        <v>6</v>
      </c>
      <c r="F60" s="180" t="s">
        <v>171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718</v>
      </c>
      <c r="O60" s="178" t="s">
        <v>524</v>
      </c>
      <c r="P60" s="178">
        <v>10</v>
      </c>
      <c r="Q60" s="179">
        <v>1</v>
      </c>
      <c r="R60" s="177" t="s">
        <v>932</v>
      </c>
      <c r="S60" s="178" t="s">
        <v>929</v>
      </c>
      <c r="T60" s="178">
        <v>10</v>
      </c>
      <c r="U60" s="179">
        <v>1</v>
      </c>
      <c r="V60" s="177" t="s">
        <v>749</v>
      </c>
      <c r="W60" s="178" t="s">
        <v>577</v>
      </c>
      <c r="X60" s="178">
        <v>10</v>
      </c>
      <c r="Y60" s="179">
        <v>1</v>
      </c>
      <c r="AG60" s="161"/>
      <c r="AH60" s="161">
        <v>4</v>
      </c>
      <c r="AI60" s="161"/>
    </row>
    <row r="61" spans="3:35" x14ac:dyDescent="0.25">
      <c r="D61" s="177">
        <v>5</v>
      </c>
      <c r="E61" s="178" t="s">
        <v>3</v>
      </c>
      <c r="F61" s="180" t="s">
        <v>186</v>
      </c>
      <c r="G61" s="178">
        <v>100</v>
      </c>
      <c r="H61" s="178">
        <v>5</v>
      </c>
      <c r="I61" s="178">
        <v>10</v>
      </c>
      <c r="J61" s="178">
        <v>0</v>
      </c>
      <c r="K61" s="178">
        <v>0</v>
      </c>
      <c r="L61" s="180">
        <v>100</v>
      </c>
      <c r="M61" s="176"/>
      <c r="N61" s="177" t="s">
        <v>760</v>
      </c>
      <c r="O61" s="178" t="s">
        <v>559</v>
      </c>
      <c r="P61" s="178">
        <v>10</v>
      </c>
      <c r="Q61" s="179">
        <v>1</v>
      </c>
      <c r="R61" s="177" t="s">
        <v>9</v>
      </c>
      <c r="S61" s="178" t="s">
        <v>565</v>
      </c>
      <c r="T61" s="178">
        <v>10</v>
      </c>
      <c r="U61" s="179">
        <v>1</v>
      </c>
      <c r="V61" s="177" t="s">
        <v>739</v>
      </c>
      <c r="W61" s="178" t="s">
        <v>548</v>
      </c>
      <c r="X61" s="178">
        <v>10</v>
      </c>
      <c r="Y61" s="179">
        <v>1</v>
      </c>
      <c r="AG61" s="161">
        <v>2</v>
      </c>
      <c r="AH61" s="161">
        <v>5</v>
      </c>
      <c r="AI61" s="161"/>
    </row>
    <row r="62" spans="3:35" x14ac:dyDescent="0.25">
      <c r="D62" s="177">
        <v>2</v>
      </c>
      <c r="E62" s="178" t="s">
        <v>3</v>
      </c>
      <c r="F62" s="180" t="s">
        <v>70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760</v>
      </c>
      <c r="O62" s="178" t="s">
        <v>559</v>
      </c>
      <c r="P62" s="178">
        <v>10</v>
      </c>
      <c r="Q62" s="179">
        <v>1</v>
      </c>
      <c r="R62" s="177" t="s">
        <v>9</v>
      </c>
      <c r="S62" s="178" t="s">
        <v>565</v>
      </c>
      <c r="T62" s="178">
        <v>10</v>
      </c>
      <c r="U62" s="179">
        <v>1</v>
      </c>
      <c r="V62" s="177" t="s">
        <v>739</v>
      </c>
      <c r="W62" s="178" t="s">
        <v>548</v>
      </c>
      <c r="X62" s="178">
        <v>10</v>
      </c>
      <c r="Y62" s="179">
        <v>1</v>
      </c>
    </row>
    <row r="63" spans="3:35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760</v>
      </c>
      <c r="O63" s="182" t="s">
        <v>559</v>
      </c>
      <c r="P63" s="182">
        <v>10</v>
      </c>
      <c r="Q63" s="183">
        <v>1</v>
      </c>
      <c r="R63" s="181" t="s">
        <v>9</v>
      </c>
      <c r="S63" s="182" t="s">
        <v>565</v>
      </c>
      <c r="T63" s="182">
        <v>10</v>
      </c>
      <c r="U63" s="183">
        <v>1</v>
      </c>
      <c r="V63" s="181" t="s">
        <v>739</v>
      </c>
      <c r="W63" s="182" t="s">
        <v>548</v>
      </c>
      <c r="X63" s="182">
        <v>10</v>
      </c>
      <c r="Y63" s="183">
        <v>1</v>
      </c>
    </row>
  </sheetData>
  <sortState ref="A4:A64">
    <sortCondition ref="A4"/>
  </sortState>
  <mergeCells count="4">
    <mergeCell ref="D2:L2"/>
    <mergeCell ref="N2:Q2"/>
    <mergeCell ref="R2:U2"/>
    <mergeCell ref="V2:Y2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IF(Main!$B21="","",Main!A21)</f>
        <v>1</v>
      </c>
      <c r="B2" s="1">
        <v>562858</v>
      </c>
      <c r="C2" s="1">
        <f>INDEX('Doll Data'!$A:$A,MATCH(Main!D21,'Doll Data'!$C:$C,0))</f>
        <v>20122</v>
      </c>
      <c r="D2" s="1">
        <f>VLOOKUP(Main!E21,'Exp Tables'!$A$3:$C$122,3,FALSE)</f>
        <v>10083300</v>
      </c>
      <c r="E2" s="1">
        <f>Main!E21</f>
        <v>115</v>
      </c>
      <c r="F2" s="1">
        <f>IF(EchType="SF",2,1)</f>
        <v>1</v>
      </c>
      <c r="G2" s="1">
        <f>Main!I21</f>
        <v>3</v>
      </c>
      <c r="H2" s="1">
        <f>Main!A21</f>
        <v>1</v>
      </c>
      <c r="I2" s="1">
        <f t="array" ref="I2">SUMPRODUCT((Main!$H$28:$J$30=H2)*'Misc Inputs'!$B$3:$D$5)</f>
        <v>9</v>
      </c>
      <c r="J2" s="1">
        <f>'G&amp;K Stat Calc'!AA3*Main!$F21</f>
        <v>620</v>
      </c>
      <c r="K2" s="1">
        <v>5</v>
      </c>
      <c r="L2" s="1">
        <v>10</v>
      </c>
      <c r="M2" s="39">
        <f>'G&amp;K Stat Calc'!AB17</f>
        <v>30</v>
      </c>
      <c r="N2" s="39">
        <f>'G&amp;K Stat Calc'!AD17</f>
        <v>41</v>
      </c>
      <c r="O2" s="39">
        <f>'G&amp;K Stat Calc'!AE17</f>
        <v>38</v>
      </c>
      <c r="P2" s="39">
        <f>'G&amp;K Stat Calc'!AC17</f>
        <v>31</v>
      </c>
      <c r="Q2" s="1">
        <f>Main!G21</f>
        <v>10</v>
      </c>
      <c r="R2" s="1">
        <f>Main!H21</f>
        <v>10</v>
      </c>
      <c r="S2" s="1">
        <v>0</v>
      </c>
      <c r="T2" s="1">
        <v>1</v>
      </c>
      <c r="U2" s="1">
        <f>Main!F21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Main!J21*10000</f>
        <v>1000000</v>
      </c>
      <c r="AA2" s="1">
        <f>IF(AND(Main!I21=0,Main!J21&lt;=100),1000000,IF(AND(Main!I21=0,Main!J21&gt;=100),1500000,2000000))</f>
        <v>2000000</v>
      </c>
      <c r="AB2" s="1">
        <f>AA2</f>
        <v>2000000</v>
      </c>
      <c r="AC2" s="1">
        <f>IF(Main!J21&gt;100,1,0)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IF(Main!$B22="","",Main!A22)</f>
        <v>2</v>
      </c>
      <c r="B3" s="1">
        <v>562858</v>
      </c>
      <c r="C3" s="1">
        <f>INDEX('Doll Data'!$A:$A,MATCH(Main!D22,'Doll Data'!$C:$C,0))</f>
        <v>198</v>
      </c>
      <c r="D3" s="1">
        <f>VLOOKUP(Main!E22,'Exp Tables'!$A$3:$C$122,3,FALSE)</f>
        <v>3263300</v>
      </c>
      <c r="E3" s="1">
        <f>Main!E22</f>
        <v>100</v>
      </c>
      <c r="F3" s="1">
        <f>IF(EchType="SF",2,1)</f>
        <v>1</v>
      </c>
      <c r="G3" s="1">
        <f>Main!I22</f>
        <v>0</v>
      </c>
      <c r="H3" s="1">
        <f>Main!A22</f>
        <v>2</v>
      </c>
      <c r="I3" s="1">
        <f t="array" ref="I3">SUMPRODUCT((Main!$H$28:$J$30=H3)*'Misc Inputs'!$B$3:$D$5)</f>
        <v>7</v>
      </c>
      <c r="J3" s="1">
        <f>'G&amp;K Stat Calc'!AA4*Main!$F22</f>
        <v>365</v>
      </c>
      <c r="K3" s="1">
        <v>5</v>
      </c>
      <c r="L3" s="1">
        <v>10</v>
      </c>
      <c r="M3" s="39">
        <f>'G&amp;K Stat Calc'!AB18</f>
        <v>99</v>
      </c>
      <c r="N3" s="39">
        <f>'G&amp;K Stat Calc'!AD18</f>
        <v>80</v>
      </c>
      <c r="O3" s="39">
        <f>'G&amp;K Stat Calc'!AE18</f>
        <v>39</v>
      </c>
      <c r="P3" s="39">
        <f>'G&amp;K Stat Calc'!AC18</f>
        <v>12</v>
      </c>
      <c r="Q3" s="1">
        <f>Main!G22</f>
        <v>10</v>
      </c>
      <c r="R3" s="1">
        <f>Main!H22</f>
        <v>0</v>
      </c>
      <c r="S3" s="1">
        <v>0</v>
      </c>
      <c r="T3" s="1">
        <v>1</v>
      </c>
      <c r="U3" s="1">
        <f>Main!F22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Main!J22*10000</f>
        <v>1000000</v>
      </c>
      <c r="AA3" s="1">
        <f>IF(AND(Main!I22=0,Main!J22&lt;=100),1000000,IF(AND(Main!I22=0,Main!J22&gt;=100),1500000,2000000))</f>
        <v>1000000</v>
      </c>
      <c r="AB3" s="1">
        <f>AA3</f>
        <v>1000000</v>
      </c>
      <c r="AC3" s="1">
        <f>IF(Main!J22&gt;100,1,0)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IF(Main!$B23="","",Main!A23)</f>
        <v>3</v>
      </c>
      <c r="B4" s="1">
        <v>562858</v>
      </c>
      <c r="C4" s="1">
        <f>INDEX('Doll Data'!$A:$A,MATCH(Main!D23,'Doll Data'!$C:$C,0))</f>
        <v>233</v>
      </c>
      <c r="D4" s="1">
        <f>VLOOKUP(Main!E23,'Exp Tables'!$A$3:$C$122,3,FALSE)</f>
        <v>3263300</v>
      </c>
      <c r="E4" s="1">
        <f>Main!E23</f>
        <v>100</v>
      </c>
      <c r="F4" s="1">
        <f>IF(EchType="SF",2,1)</f>
        <v>1</v>
      </c>
      <c r="G4" s="1">
        <f>Main!I23</f>
        <v>0</v>
      </c>
      <c r="H4" s="1">
        <f>Main!A23</f>
        <v>3</v>
      </c>
      <c r="I4" s="1">
        <f t="array" ref="I4">SUMPRODUCT((Main!$H$28:$J$30=H4)*'Misc Inputs'!$B$3:$D$5)</f>
        <v>14</v>
      </c>
      <c r="J4" s="1">
        <f>'G&amp;K Stat Calc'!AA5*Main!$F23</f>
        <v>340</v>
      </c>
      <c r="K4" s="1">
        <v>5</v>
      </c>
      <c r="L4" s="1">
        <v>10</v>
      </c>
      <c r="M4" s="39">
        <f>'G&amp;K Stat Calc'!AB19</f>
        <v>23</v>
      </c>
      <c r="N4" s="39">
        <f>'G&amp;K Stat Calc'!AD19</f>
        <v>61</v>
      </c>
      <c r="O4" s="39">
        <f>'G&amp;K Stat Calc'!AE19</f>
        <v>82</v>
      </c>
      <c r="P4" s="39">
        <f>'G&amp;K Stat Calc'!AC19</f>
        <v>20</v>
      </c>
      <c r="Q4" s="1">
        <f>Main!G23</f>
        <v>10</v>
      </c>
      <c r="R4" s="1">
        <f>Main!H23</f>
        <v>0</v>
      </c>
      <c r="S4" s="1">
        <v>0</v>
      </c>
      <c r="T4" s="1">
        <v>1</v>
      </c>
      <c r="U4" s="1">
        <f>Main!F23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Main!J23*10000</f>
        <v>1000000</v>
      </c>
      <c r="AA4" s="1">
        <f>IF(AND(Main!I23=0,Main!J23&lt;=100),1000000,IF(AND(Main!I23=0,Main!J23&gt;=100),1500000,2000000))</f>
        <v>1000000</v>
      </c>
      <c r="AB4" s="1">
        <f>AA4</f>
        <v>1000000</v>
      </c>
      <c r="AC4" s="1">
        <f>IF(Main!J23&gt;100,1,0)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IF(Main!$B24="","",Main!A24)</f>
        <v>4</v>
      </c>
      <c r="B5" s="1">
        <v>562858</v>
      </c>
      <c r="C5" s="1">
        <f>INDEX('Doll Data'!$A:$A,MATCH(Main!D24,'Doll Data'!$C:$C,0))</f>
        <v>10</v>
      </c>
      <c r="D5" s="1">
        <f>VLOOKUP(Main!E24,'Exp Tables'!$A$3:$C$122,3,FALSE)</f>
        <v>3263300</v>
      </c>
      <c r="E5" s="1">
        <f>Main!E24</f>
        <v>100</v>
      </c>
      <c r="F5" s="1">
        <f>IF(EchType="SF",2,1)</f>
        <v>1</v>
      </c>
      <c r="G5" s="1">
        <f>Main!I24</f>
        <v>0</v>
      </c>
      <c r="H5" s="1">
        <f>Main!A24</f>
        <v>4</v>
      </c>
      <c r="I5" s="1">
        <f t="array" ref="I5">SUMPRODUCT((Main!$H$28:$J$30=H5)*'Misc Inputs'!$B$3:$D$5)</f>
        <v>13</v>
      </c>
      <c r="J5" s="1">
        <f>'G&amp;K Stat Calc'!AA6*Main!$F24</f>
        <v>285</v>
      </c>
      <c r="K5" s="1">
        <v>5</v>
      </c>
      <c r="L5" s="1">
        <v>10</v>
      </c>
      <c r="M5" s="39">
        <f>'G&amp;K Stat Calc'!AB20</f>
        <v>16</v>
      </c>
      <c r="N5" s="39">
        <f>'G&amp;K Stat Calc'!AD20</f>
        <v>52</v>
      </c>
      <c r="O5" s="39">
        <f>'G&amp;K Stat Calc'!AE20</f>
        <v>88</v>
      </c>
      <c r="P5" s="39">
        <f>'G&amp;K Stat Calc'!AC20</f>
        <v>21</v>
      </c>
      <c r="Q5" s="1">
        <f>Main!G24</f>
        <v>10</v>
      </c>
      <c r="R5" s="1">
        <f>Main!H24</f>
        <v>0</v>
      </c>
      <c r="S5" s="1">
        <v>0</v>
      </c>
      <c r="T5" s="1">
        <v>1</v>
      </c>
      <c r="U5" s="1">
        <f>Main!F24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Main!J24*10000</f>
        <v>1000000</v>
      </c>
      <c r="AA5" s="1">
        <f>IF(AND(Main!I24=0,Main!J24&lt;=100),1000000,IF(AND(Main!I24=0,Main!J24&gt;=100),1500000,2000000))</f>
        <v>1000000</v>
      </c>
      <c r="AB5" s="1">
        <f>AA5</f>
        <v>1000000</v>
      </c>
      <c r="AC5" s="1">
        <f>IF(Main!J24&gt;100,1,0)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IF(Main!$B25="","",Main!A25)</f>
        <v>5</v>
      </c>
      <c r="B6" s="1">
        <v>562858</v>
      </c>
      <c r="C6" s="1">
        <f>INDEX('Doll Data'!$A:$A,MATCH(Main!D25,'Doll Data'!$C:$C,0))</f>
        <v>242</v>
      </c>
      <c r="D6" s="1">
        <f>VLOOKUP(Main!E25,'Exp Tables'!$A$3:$C$122,3,FALSE)</f>
        <v>3263300</v>
      </c>
      <c r="E6" s="1">
        <f>Main!E25</f>
        <v>100</v>
      </c>
      <c r="F6" s="1">
        <f>IF(EchType="SF",2,1)</f>
        <v>1</v>
      </c>
      <c r="G6" s="1">
        <f>Main!I25</f>
        <v>0</v>
      </c>
      <c r="H6" s="1">
        <f>Main!A25</f>
        <v>5</v>
      </c>
      <c r="I6" s="1">
        <f t="array" ref="I6">SUMPRODUCT((Main!$H$28:$J$30=H6)*'Misc Inputs'!$B$3:$D$5)</f>
        <v>12</v>
      </c>
      <c r="J6" s="1">
        <f>'G&amp;K Stat Calc'!AA7*Main!$F25</f>
        <v>350</v>
      </c>
      <c r="K6" s="1">
        <v>5</v>
      </c>
      <c r="L6" s="1">
        <v>10</v>
      </c>
      <c r="M6" s="39">
        <f>'G&amp;K Stat Calc'!AB21</f>
        <v>18</v>
      </c>
      <c r="N6" s="39">
        <f>'G&amp;K Stat Calc'!AD21</f>
        <v>58</v>
      </c>
      <c r="O6" s="39">
        <f>'G&amp;K Stat Calc'!AE21</f>
        <v>97</v>
      </c>
      <c r="P6" s="39">
        <f>'G&amp;K Stat Calc'!AC21</f>
        <v>21</v>
      </c>
      <c r="Q6" s="1">
        <f>Main!G25</f>
        <v>10</v>
      </c>
      <c r="R6" s="1">
        <f>Main!H25</f>
        <v>0</v>
      </c>
      <c r="S6" s="1">
        <v>0</v>
      </c>
      <c r="T6" s="1">
        <v>1</v>
      </c>
      <c r="U6" s="1">
        <f>Main!F25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Main!J25*10000</f>
        <v>1000000</v>
      </c>
      <c r="AA6" s="1">
        <f>IF(AND(Main!I25=0,Main!J25&lt;=100),1000000,IF(AND(Main!I25=0,Main!J25&gt;=100),1500000,2000000))</f>
        <v>1000000</v>
      </c>
      <c r="AB6" s="1">
        <f>AA6</f>
        <v>1000000</v>
      </c>
      <c r="AC6" s="1">
        <f>IF(Main!J25&gt;100,1,0)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579</v>
      </c>
      <c r="D1" s="96" t="s">
        <v>580</v>
      </c>
      <c r="E1" s="96" t="s">
        <v>581</v>
      </c>
      <c r="F1" s="96" t="s">
        <v>582</v>
      </c>
      <c r="G1" s="96" t="s">
        <v>37</v>
      </c>
      <c r="H1" s="96" t="s">
        <v>38</v>
      </c>
      <c r="I1" s="96" t="s">
        <v>39</v>
      </c>
      <c r="J1" s="96" t="s">
        <v>314</v>
      </c>
      <c r="K1" s="96" t="s">
        <v>40</v>
      </c>
      <c r="L1" s="96" t="s">
        <v>315</v>
      </c>
      <c r="M1" s="96" t="s">
        <v>316</v>
      </c>
      <c r="N1" s="96" t="s">
        <v>221</v>
      </c>
      <c r="O1" s="96" t="s">
        <v>279</v>
      </c>
      <c r="P1" s="96" t="s">
        <v>317</v>
      </c>
      <c r="Q1" s="96" t="s">
        <v>318</v>
      </c>
      <c r="R1" s="96" t="s">
        <v>319</v>
      </c>
      <c r="S1" s="96" t="s">
        <v>320</v>
      </c>
      <c r="T1" s="96" t="s">
        <v>321</v>
      </c>
      <c r="U1" s="96" t="s">
        <v>583</v>
      </c>
      <c r="V1" s="96" t="s">
        <v>44</v>
      </c>
      <c r="W1" s="96" t="s">
        <v>584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IF(Main!M21="","",ROW()-1)</f>
        <v>1</v>
      </c>
      <c r="B2" s="50">
        <v>562858</v>
      </c>
      <c r="C2" s="50">
        <f>Doll!C2</f>
        <v>20122</v>
      </c>
      <c r="D2" s="50">
        <f>INDEX('Equip Data'!$A:$A,MATCH(Main!M21,'Equip Data'!$AG:$AG,0))</f>
        <v>4</v>
      </c>
      <c r="E2" s="50">
        <f>INDEX('Exp Tables'!$R$3:$V$13,MATCH(F2,'Exp Tables'!$Q$3:$Q$13,0),MATCH(INDEX('Equip Data'!$D:$D,MATCH(Main!M21,'Equip Data'!$AG:$AG,0)),'Exp Tables'!$R$2:$V$2,0))</f>
        <v>10000</v>
      </c>
      <c r="F2" s="50">
        <f>Main!N21</f>
        <v>10</v>
      </c>
      <c r="G2" s="50">
        <f>IF(INDEX('Equip Data'!G:G,MATCH($D2,'Equip Data'!$A:$A,0))="",0,Main!$O21*10000)</f>
        <v>0</v>
      </c>
      <c r="H2" s="50">
        <f>IF(INDEX('Equip Data'!H:H,MATCH($D2,'Equip Data'!$A:$A,0))="",0,Main!$O21*10000)</f>
        <v>0</v>
      </c>
      <c r="I2" s="50">
        <f>IF(INDEX('Equip Data'!I:I,MATCH($D2,'Equip Data'!$A:$A,0))="",0,Main!$O21*10000)</f>
        <v>0</v>
      </c>
      <c r="J2" s="50">
        <f>IF(INDEX('Equip Data'!J:J,MATCH($D2,'Equip Data'!$A:$A,0))="",0,Main!$O21*10000)</f>
        <v>0</v>
      </c>
      <c r="K2" s="50">
        <f>IF(INDEX('Equip Data'!K:K,MATCH($D2,'Equip Data'!$A:$A,0))="",0,Main!$O21*10000)</f>
        <v>0</v>
      </c>
      <c r="L2" s="50">
        <f>IF(INDEX('Equip Data'!L:L,MATCH($D2,'Equip Data'!$A:$A,0))="",0,Main!$O21*10000)</f>
        <v>0</v>
      </c>
      <c r="M2" s="50">
        <f>IF(INDEX('Equip Data'!M:M,MATCH($D2,'Equip Data'!$A:$A,0))="",0,Main!$O21*10000)</f>
        <v>10000</v>
      </c>
      <c r="N2" s="50">
        <f>IF(INDEX('Equip Data'!N:N,MATCH($D2,'Equip Data'!$A:$A,0))="",0,Main!$O21*10000)</f>
        <v>0</v>
      </c>
      <c r="O2" s="50">
        <f>IF(INDEX('Equip Data'!O:O,MATCH($D2,'Equip Data'!$A:$A,0))="",0,Main!$O21*10000)</f>
        <v>0</v>
      </c>
      <c r="P2" s="50">
        <f>IF(INDEX('Equip Data'!P:P,MATCH($D2,'Equip Data'!$A:$A,0))="",0,Main!$O21*10000)</f>
        <v>0</v>
      </c>
      <c r="Q2" s="50">
        <f>IF(INDEX('Equip Data'!Q:Q,MATCH($D2,'Equip Data'!$A:$A,0))="",0,Main!$O21*10000)</f>
        <v>0</v>
      </c>
      <c r="R2" s="50">
        <f>IF(INDEX('Equip Data'!R:R,MATCH($D2,'Equip Data'!$A:$A,0))="",0,Main!$O21*10000)</f>
        <v>0</v>
      </c>
      <c r="S2" s="50">
        <f>IF(INDEX('Equip Data'!S:S,MATCH($D2,'Equip Data'!$A:$A,0))="",0,Main!$O21*10000)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IF(Main!M22="","",ROW()-1)</f>
        <v>2</v>
      </c>
      <c r="B3" s="50">
        <v>562858</v>
      </c>
      <c r="C3" s="50">
        <f>Doll!C3</f>
        <v>198</v>
      </c>
      <c r="D3" s="50">
        <f>INDEX('Equip Data'!$A:$A,MATCH(Main!M22,'Equip Data'!$AG:$AG,0))</f>
        <v>4</v>
      </c>
      <c r="E3" s="50">
        <f>INDEX('Exp Tables'!$R$3:$V$13,MATCH(F3,'Exp Tables'!$Q$3:$Q$13,0),MATCH(INDEX('Equip Data'!$D:$D,MATCH(Main!M22,'Equip Data'!$AG:$AG,0)),'Exp Tables'!$R$2:$V$2,0))</f>
        <v>10000</v>
      </c>
      <c r="F3" s="50">
        <f>Main!N22</f>
        <v>10</v>
      </c>
      <c r="G3" s="50">
        <f>IF(INDEX('Equip Data'!G:G,MATCH($D3,'Equip Data'!$A:$A,0))="",0,Main!$O22*10000)</f>
        <v>0</v>
      </c>
      <c r="H3" s="50">
        <f>IF(INDEX('Equip Data'!H:H,MATCH($D3,'Equip Data'!$A:$A,0))="",0,Main!$O22*10000)</f>
        <v>0</v>
      </c>
      <c r="I3" s="50">
        <f>IF(INDEX('Equip Data'!I:I,MATCH($D3,'Equip Data'!$A:$A,0))="",0,Main!$O22*10000)</f>
        <v>0</v>
      </c>
      <c r="J3" s="50">
        <f>IF(INDEX('Equip Data'!J:J,MATCH($D3,'Equip Data'!$A:$A,0))="",0,Main!$O22*10000)</f>
        <v>0</v>
      </c>
      <c r="K3" s="50">
        <f>IF(INDEX('Equip Data'!K:K,MATCH($D3,'Equip Data'!$A:$A,0))="",0,Main!$O22*10000)</f>
        <v>0</v>
      </c>
      <c r="L3" s="50">
        <f>IF(INDEX('Equip Data'!L:L,MATCH($D3,'Equip Data'!$A:$A,0))="",0,Main!$O22*10000)</f>
        <v>0</v>
      </c>
      <c r="M3" s="50">
        <f>IF(INDEX('Equip Data'!M:M,MATCH($D3,'Equip Data'!$A:$A,0))="",0,Main!$O22*10000)</f>
        <v>10000</v>
      </c>
      <c r="N3" s="50">
        <f>IF(INDEX('Equip Data'!N:N,MATCH($D3,'Equip Data'!$A:$A,0))="",0,Main!$O22*10000)</f>
        <v>0</v>
      </c>
      <c r="O3" s="50">
        <f>IF(INDEX('Equip Data'!O:O,MATCH($D3,'Equip Data'!$A:$A,0))="",0,Main!$O22*10000)</f>
        <v>0</v>
      </c>
      <c r="P3" s="50">
        <f>IF(INDEX('Equip Data'!P:P,MATCH($D3,'Equip Data'!$A:$A,0))="",0,Main!$O22*10000)</f>
        <v>0</v>
      </c>
      <c r="Q3" s="50">
        <f>IF(INDEX('Equip Data'!Q:Q,MATCH($D3,'Equip Data'!$A:$A,0))="",0,Main!$O22*10000)</f>
        <v>0</v>
      </c>
      <c r="R3" s="50">
        <f>IF(INDEX('Equip Data'!R:R,MATCH($D3,'Equip Data'!$A:$A,0))="",0,Main!$O22*10000)</f>
        <v>0</v>
      </c>
      <c r="S3" s="50">
        <f>IF(INDEX('Equip Data'!S:S,MATCH($D3,'Equip Data'!$A:$A,0))="",0,Main!$O22*10000)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IF(Main!M23="","",ROW()-1)</f>
        <v>3</v>
      </c>
      <c r="B4" s="50">
        <v>562858</v>
      </c>
      <c r="C4" s="50">
        <f>Doll!C4</f>
        <v>233</v>
      </c>
      <c r="D4" s="50">
        <f>INDEX('Equip Data'!$A:$A,MATCH(Main!M23,'Equip Data'!$AG:$AG,0))</f>
        <v>66</v>
      </c>
      <c r="E4" s="50">
        <f>INDEX('Exp Tables'!$R$3:$V$13,MATCH(F4,'Exp Tables'!$Q$3:$Q$13,0),MATCH(INDEX('Equip Data'!$D:$D,MATCH(Main!M23,'Equip Data'!$AG:$AG,0)),'Exp Tables'!$R$2:$V$2,0))</f>
        <v>10000</v>
      </c>
      <c r="F4" s="50">
        <f>Main!N23</f>
        <v>10</v>
      </c>
      <c r="G4" s="50">
        <f>IF(INDEX('Equip Data'!G:G,MATCH($D4,'Equip Data'!$A:$A,0))="",0,Main!$O23*10000)</f>
        <v>0</v>
      </c>
      <c r="H4" s="50">
        <f>IF(INDEX('Equip Data'!H:H,MATCH($D4,'Equip Data'!$A:$A,0))="",0,Main!$O23*10000)</f>
        <v>0</v>
      </c>
      <c r="I4" s="50">
        <f>IF(INDEX('Equip Data'!I:I,MATCH($D4,'Equip Data'!$A:$A,0))="",0,Main!$O23*10000)</f>
        <v>10000</v>
      </c>
      <c r="J4" s="50">
        <f>IF(INDEX('Equip Data'!J:J,MATCH($D4,'Equip Data'!$A:$A,0))="",0,Main!$O23*10000)</f>
        <v>0</v>
      </c>
      <c r="K4" s="50">
        <f>IF(INDEX('Equip Data'!K:K,MATCH($D4,'Equip Data'!$A:$A,0))="",0,Main!$O23*10000)</f>
        <v>0</v>
      </c>
      <c r="L4" s="50">
        <f>IF(INDEX('Equip Data'!L:L,MATCH($D4,'Equip Data'!$A:$A,0))="",0,Main!$O23*10000)</f>
        <v>0</v>
      </c>
      <c r="M4" s="50">
        <f>IF(INDEX('Equip Data'!M:M,MATCH($D4,'Equip Data'!$A:$A,0))="",0,Main!$O23*10000)</f>
        <v>10000</v>
      </c>
      <c r="N4" s="50">
        <f>IF(INDEX('Equip Data'!N:N,MATCH($D4,'Equip Data'!$A:$A,0))="",0,Main!$O23*10000)</f>
        <v>0</v>
      </c>
      <c r="O4" s="50">
        <f>IF(INDEX('Equip Data'!O:O,MATCH($D4,'Equip Data'!$A:$A,0))="",0,Main!$O23*10000)</f>
        <v>0</v>
      </c>
      <c r="P4" s="50">
        <f>IF(INDEX('Equip Data'!P:P,MATCH($D4,'Equip Data'!$A:$A,0))="",0,Main!$O23*10000)</f>
        <v>0</v>
      </c>
      <c r="Q4" s="50">
        <f>IF(INDEX('Equip Data'!Q:Q,MATCH($D4,'Equip Data'!$A:$A,0))="",0,Main!$O23*10000)</f>
        <v>0</v>
      </c>
      <c r="R4" s="50">
        <f>IF(INDEX('Equip Data'!R:R,MATCH($D4,'Equip Data'!$A:$A,0))="",0,Main!$O23*10000)</f>
        <v>0</v>
      </c>
      <c r="S4" s="50">
        <f>IF(INDEX('Equip Data'!S:S,MATCH($D4,'Equip Data'!$A:$A,0))="",0,Main!$O23*10000)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IF(Main!M24="","",ROW()-1)</f>
        <v>4</v>
      </c>
      <c r="B5" s="50">
        <v>562858</v>
      </c>
      <c r="C5" s="50">
        <f>Doll!C5</f>
        <v>10</v>
      </c>
      <c r="D5" s="50">
        <f>INDEX('Equip Data'!$A:$A,MATCH(Main!M24,'Equip Data'!$AG:$AG,0))</f>
        <v>66</v>
      </c>
      <c r="E5" s="50">
        <f>INDEX('Exp Tables'!$R$3:$V$13,MATCH(F5,'Exp Tables'!$Q$3:$Q$13,0),MATCH(INDEX('Equip Data'!$D:$D,MATCH(Main!M24,'Equip Data'!$AG:$AG,0)),'Exp Tables'!$R$2:$V$2,0))</f>
        <v>10000</v>
      </c>
      <c r="F5" s="50">
        <f>Main!N24</f>
        <v>10</v>
      </c>
      <c r="G5" s="50">
        <f>IF(INDEX('Equip Data'!G:G,MATCH($D5,'Equip Data'!$A:$A,0))="",0,Main!$O24*10000)</f>
        <v>0</v>
      </c>
      <c r="H5" s="50">
        <f>IF(INDEX('Equip Data'!H:H,MATCH($D5,'Equip Data'!$A:$A,0))="",0,Main!$O24*10000)</f>
        <v>0</v>
      </c>
      <c r="I5" s="50">
        <f>IF(INDEX('Equip Data'!I:I,MATCH($D5,'Equip Data'!$A:$A,0))="",0,Main!$O24*10000)</f>
        <v>10000</v>
      </c>
      <c r="J5" s="50">
        <f>IF(INDEX('Equip Data'!J:J,MATCH($D5,'Equip Data'!$A:$A,0))="",0,Main!$O24*10000)</f>
        <v>0</v>
      </c>
      <c r="K5" s="50">
        <f>IF(INDEX('Equip Data'!K:K,MATCH($D5,'Equip Data'!$A:$A,0))="",0,Main!$O24*10000)</f>
        <v>0</v>
      </c>
      <c r="L5" s="50">
        <f>IF(INDEX('Equip Data'!L:L,MATCH($D5,'Equip Data'!$A:$A,0))="",0,Main!$O24*10000)</f>
        <v>0</v>
      </c>
      <c r="M5" s="50">
        <f>IF(INDEX('Equip Data'!M:M,MATCH($D5,'Equip Data'!$A:$A,0))="",0,Main!$O24*10000)</f>
        <v>10000</v>
      </c>
      <c r="N5" s="50">
        <f>IF(INDEX('Equip Data'!N:N,MATCH($D5,'Equip Data'!$A:$A,0))="",0,Main!$O24*10000)</f>
        <v>0</v>
      </c>
      <c r="O5" s="50">
        <f>IF(INDEX('Equip Data'!O:O,MATCH($D5,'Equip Data'!$A:$A,0))="",0,Main!$O24*10000)</f>
        <v>0</v>
      </c>
      <c r="P5" s="50">
        <f>IF(INDEX('Equip Data'!P:P,MATCH($D5,'Equip Data'!$A:$A,0))="",0,Main!$O24*10000)</f>
        <v>0</v>
      </c>
      <c r="Q5" s="50">
        <f>IF(INDEX('Equip Data'!Q:Q,MATCH($D5,'Equip Data'!$A:$A,0))="",0,Main!$O24*10000)</f>
        <v>0</v>
      </c>
      <c r="R5" s="50">
        <f>IF(INDEX('Equip Data'!R:R,MATCH($D5,'Equip Data'!$A:$A,0))="",0,Main!$O24*10000)</f>
        <v>0</v>
      </c>
      <c r="S5" s="50">
        <f>IF(INDEX('Equip Data'!S:S,MATCH($D5,'Equip Data'!$A:$A,0))="",0,Main!$O24*10000)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IF(Main!M25="","",ROW()-1)</f>
        <v>5</v>
      </c>
      <c r="B6" s="51">
        <v>562858</v>
      </c>
      <c r="C6" s="51">
        <f>Doll!C6</f>
        <v>242</v>
      </c>
      <c r="D6" s="51">
        <f>INDEX('Equip Data'!$A:$A,MATCH(Main!M25,'Equip Data'!$AG:$AG,0))</f>
        <v>66</v>
      </c>
      <c r="E6" s="51">
        <f>INDEX('Exp Tables'!$R$3:$V$13,MATCH(F6,'Exp Tables'!$Q$3:$Q$13,0),MATCH(INDEX('Equip Data'!$D:$D,MATCH(Main!M25,'Equip Data'!$AG:$AG,0)),'Exp Tables'!$R$2:$V$2,0))</f>
        <v>10000</v>
      </c>
      <c r="F6" s="51">
        <f>Main!N25</f>
        <v>10</v>
      </c>
      <c r="G6" s="51">
        <f>IF(INDEX('Equip Data'!G:G,MATCH($D6,'Equip Data'!$A:$A,0))="",0,Main!$O25*10000)</f>
        <v>0</v>
      </c>
      <c r="H6" s="51">
        <f>IF(INDEX('Equip Data'!H:H,MATCH($D6,'Equip Data'!$A:$A,0))="",0,Main!$O25*10000)</f>
        <v>0</v>
      </c>
      <c r="I6" s="51">
        <f>IF(INDEX('Equip Data'!I:I,MATCH($D6,'Equip Data'!$A:$A,0))="",0,Main!$O25*10000)</f>
        <v>10000</v>
      </c>
      <c r="J6" s="51">
        <f>IF(INDEX('Equip Data'!J:J,MATCH($D6,'Equip Data'!$A:$A,0))="",0,Main!$O25*10000)</f>
        <v>0</v>
      </c>
      <c r="K6" s="51">
        <f>IF(INDEX('Equip Data'!K:K,MATCH($D6,'Equip Data'!$A:$A,0))="",0,Main!$O25*10000)</f>
        <v>0</v>
      </c>
      <c r="L6" s="51">
        <f>IF(INDEX('Equip Data'!L:L,MATCH($D6,'Equip Data'!$A:$A,0))="",0,Main!$O25*10000)</f>
        <v>0</v>
      </c>
      <c r="M6" s="51">
        <f>IF(INDEX('Equip Data'!M:M,MATCH($D6,'Equip Data'!$A:$A,0))="",0,Main!$O25*10000)</f>
        <v>10000</v>
      </c>
      <c r="N6" s="51">
        <f>IF(INDEX('Equip Data'!N:N,MATCH($D6,'Equip Data'!$A:$A,0))="",0,Main!$O25*10000)</f>
        <v>0</v>
      </c>
      <c r="O6" s="51">
        <f>IF(INDEX('Equip Data'!O:O,MATCH($D6,'Equip Data'!$A:$A,0))="",0,Main!$O25*10000)</f>
        <v>0</v>
      </c>
      <c r="P6" s="51">
        <f>IF(INDEX('Equip Data'!P:P,MATCH($D6,'Equip Data'!$A:$A,0))="",0,Main!$O25*10000)</f>
        <v>0</v>
      </c>
      <c r="Q6" s="51">
        <f>IF(INDEX('Equip Data'!Q:Q,MATCH($D6,'Equip Data'!$A:$A,0))="",0,Main!$O25*10000)</f>
        <v>0</v>
      </c>
      <c r="R6" s="51">
        <f>IF(INDEX('Equip Data'!R:R,MATCH($D6,'Equip Data'!$A:$A,0))="",0,Main!$O25*10000)</f>
        <v>0</v>
      </c>
      <c r="S6" s="51">
        <f>IF(INDEX('Equip Data'!S:S,MATCH($D6,'Equip Data'!$A:$A,0))="",0,Main!$O25*10000)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IF(Main!Q21="","",ROW()-1)</f>
        <v>6</v>
      </c>
      <c r="B7" s="50">
        <v>562858</v>
      </c>
      <c r="C7" s="52">
        <f>C2</f>
        <v>20122</v>
      </c>
      <c r="D7" s="50">
        <f>INDEX('Equip Data'!$A:$A,MATCH(Main!Q21,'Equip Data'!$AG:$AG,0))</f>
        <v>32</v>
      </c>
      <c r="E7" s="50">
        <f>INDEX('Exp Tables'!$R$3:$V$13,MATCH(F7,'Exp Tables'!$Q$3:$Q$13,0),MATCH(INDEX('Equip Data'!$D:$D,MATCH(Main!Q21,'Equip Data'!$AG:$AG,0)),'Exp Tables'!$R$2:$V$2,0))</f>
        <v>10000</v>
      </c>
      <c r="F7" s="50">
        <f>Main!R21</f>
        <v>10</v>
      </c>
      <c r="G7" s="50">
        <f>IF(INDEX('Equip Data'!G:G,MATCH($D7,'Equip Data'!$A:$A,0))="",0,Main!$S21*10000)</f>
        <v>10000</v>
      </c>
      <c r="H7" s="50">
        <f>IF(INDEX('Equip Data'!H:H,MATCH($D7,'Equip Data'!$A:$A,0))="",0,Main!$S21*10000)</f>
        <v>0</v>
      </c>
      <c r="I7" s="50">
        <f>IF(INDEX('Equip Data'!I:I,MATCH($D7,'Equip Data'!$A:$A,0))="",0,Main!$S21*10000)</f>
        <v>0</v>
      </c>
      <c r="J7" s="50">
        <f>IF(INDEX('Equip Data'!J:J,MATCH($D7,'Equip Data'!$A:$A,0))="",0,Main!$S21*10000)</f>
        <v>0</v>
      </c>
      <c r="K7" s="50">
        <f>IF(INDEX('Equip Data'!K:K,MATCH($D7,'Equip Data'!$A:$A,0))="",0,Main!$S21*10000)</f>
        <v>0</v>
      </c>
      <c r="L7" s="50">
        <f>IF(INDEX('Equip Data'!L:L,MATCH($D7,'Equip Data'!$A:$A,0))="",0,Main!$S21*10000)</f>
        <v>0</v>
      </c>
      <c r="M7" s="50">
        <f>IF(INDEX('Equip Data'!M:M,MATCH($D7,'Equip Data'!$A:$A,0))="",0,Main!$S21*10000)</f>
        <v>0</v>
      </c>
      <c r="N7" s="50">
        <f>IF(INDEX('Equip Data'!N:N,MATCH($D7,'Equip Data'!$A:$A,0))="",0,Main!$S21*10000)</f>
        <v>0</v>
      </c>
      <c r="O7" s="50">
        <f>IF(INDEX('Equip Data'!O:O,MATCH($D7,'Equip Data'!$A:$A,0))="",0,Main!$S21*10000)</f>
        <v>0</v>
      </c>
      <c r="P7" s="50">
        <f>IF(INDEX('Equip Data'!P:P,MATCH($D7,'Equip Data'!$A:$A,0))="",0,Main!$S21*10000)</f>
        <v>0</v>
      </c>
      <c r="Q7" s="50">
        <f>IF(INDEX('Equip Data'!Q:Q,MATCH($D7,'Equip Data'!$A:$A,0))="",0,Main!$S21*10000)</f>
        <v>0</v>
      </c>
      <c r="R7" s="50">
        <f>IF(INDEX('Equip Data'!R:R,MATCH($D7,'Equip Data'!$A:$A,0))="",0,Main!$S21*10000)</f>
        <v>0</v>
      </c>
      <c r="S7" s="50">
        <f>IF(INDEX('Equip Data'!S:S,MATCH($D7,'Equip Data'!$A:$A,0))="",0,Main!$S21*10000)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IF(Main!Q22="","",ROW()-1)</f>
        <v>7</v>
      </c>
      <c r="B8" s="50">
        <v>562858</v>
      </c>
      <c r="C8" s="52">
        <f t="shared" ref="C8:C16" si="0">C3</f>
        <v>198</v>
      </c>
      <c r="D8" s="50">
        <f>INDEX('Equip Data'!$A:$A,MATCH(Main!Q22,'Equip Data'!$AG:$AG,0))</f>
        <v>227</v>
      </c>
      <c r="E8" s="50">
        <f>INDEX('Exp Tables'!$R$3:$V$13,MATCH(F8,'Exp Tables'!$Q$3:$Q$13,0),MATCH(INDEX('Equip Data'!$D:$D,MATCH(Main!Q22,'Equip Data'!$AG:$AG,0)),'Exp Tables'!$R$2:$V$2,0))</f>
        <v>10000</v>
      </c>
      <c r="F8" s="50">
        <f>Main!R22</f>
        <v>10</v>
      </c>
      <c r="G8" s="50">
        <f>IF(INDEX('Equip Data'!G:G,MATCH($D8,'Equip Data'!$A:$A,0))="",0,Main!$S22*10000)</f>
        <v>10000</v>
      </c>
      <c r="H8" s="50">
        <f>IF(INDEX('Equip Data'!H:H,MATCH($D8,'Equip Data'!$A:$A,0))="",0,Main!$S22*10000)</f>
        <v>0</v>
      </c>
      <c r="I8" s="50">
        <f>IF(INDEX('Equip Data'!I:I,MATCH($D8,'Equip Data'!$A:$A,0))="",0,Main!$S22*10000)</f>
        <v>0</v>
      </c>
      <c r="J8" s="50">
        <f>IF(INDEX('Equip Data'!J:J,MATCH($D8,'Equip Data'!$A:$A,0))="",0,Main!$S22*10000)</f>
        <v>0</v>
      </c>
      <c r="K8" s="50">
        <f>IF(INDEX('Equip Data'!K:K,MATCH($D8,'Equip Data'!$A:$A,0))="",0,Main!$S22*10000)</f>
        <v>0</v>
      </c>
      <c r="L8" s="50">
        <f>IF(INDEX('Equip Data'!L:L,MATCH($D8,'Equip Data'!$A:$A,0))="",0,Main!$S22*10000)</f>
        <v>0</v>
      </c>
      <c r="M8" s="50">
        <f>IF(INDEX('Equip Data'!M:M,MATCH($D8,'Equip Data'!$A:$A,0))="",0,Main!$S22*10000)</f>
        <v>0</v>
      </c>
      <c r="N8" s="50">
        <f>IF(INDEX('Equip Data'!N:N,MATCH($D8,'Equip Data'!$A:$A,0))="",0,Main!$S22*10000)</f>
        <v>10000</v>
      </c>
      <c r="O8" s="50">
        <f>IF(INDEX('Equip Data'!O:O,MATCH($D8,'Equip Data'!$A:$A,0))="",0,Main!$S22*10000)</f>
        <v>0</v>
      </c>
      <c r="P8" s="50">
        <f>IF(INDEX('Equip Data'!P:P,MATCH($D8,'Equip Data'!$A:$A,0))="",0,Main!$S22*10000)</f>
        <v>0</v>
      </c>
      <c r="Q8" s="50">
        <f>IF(INDEX('Equip Data'!Q:Q,MATCH($D8,'Equip Data'!$A:$A,0))="",0,Main!$S22*10000)</f>
        <v>0</v>
      </c>
      <c r="R8" s="50">
        <f>IF(INDEX('Equip Data'!R:R,MATCH($D8,'Equip Data'!$A:$A,0))="",0,Main!$S22*10000)</f>
        <v>0</v>
      </c>
      <c r="S8" s="50">
        <f>IF(INDEX('Equip Data'!S:S,MATCH($D8,'Equip Data'!$A:$A,0))="",0,Main!$S22*10000)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IF(Main!Q23="","",ROW()-1)</f>
        <v>8</v>
      </c>
      <c r="B9" s="50">
        <v>562858</v>
      </c>
      <c r="C9" s="52">
        <f t="shared" si="0"/>
        <v>233</v>
      </c>
      <c r="D9" s="50">
        <f>INDEX('Equip Data'!$A:$A,MATCH(Main!Q23,'Equip Data'!$AG:$AG,0))</f>
        <v>72</v>
      </c>
      <c r="E9" s="50">
        <f>INDEX('Exp Tables'!$R$3:$V$13,MATCH(F9,'Exp Tables'!$Q$3:$Q$13,0),MATCH(INDEX('Equip Data'!$D:$D,MATCH(Main!Q23,'Equip Data'!$AG:$AG,0)),'Exp Tables'!$R$2:$V$2,0))</f>
        <v>10000</v>
      </c>
      <c r="F9" s="50">
        <f>Main!R23</f>
        <v>10</v>
      </c>
      <c r="G9" s="50">
        <f>IF(INDEX('Equip Data'!G:G,MATCH($D9,'Equip Data'!$A:$A,0))="",0,Main!$S23*10000)</f>
        <v>10000</v>
      </c>
      <c r="H9" s="50">
        <f>IF(INDEX('Equip Data'!H:H,MATCH($D9,'Equip Data'!$A:$A,0))="",0,Main!$S23*10000)</f>
        <v>0</v>
      </c>
      <c r="I9" s="50">
        <f>IF(INDEX('Equip Data'!I:I,MATCH($D9,'Equip Data'!$A:$A,0))="",0,Main!$S23*10000)</f>
        <v>0</v>
      </c>
      <c r="J9" s="50">
        <f>IF(INDEX('Equip Data'!J:J,MATCH($D9,'Equip Data'!$A:$A,0))="",0,Main!$S23*10000)</f>
        <v>0</v>
      </c>
      <c r="K9" s="50">
        <f>IF(INDEX('Equip Data'!K:K,MATCH($D9,'Equip Data'!$A:$A,0))="",0,Main!$S23*10000)</f>
        <v>0</v>
      </c>
      <c r="L9" s="50">
        <f>IF(INDEX('Equip Data'!L:L,MATCH($D9,'Equip Data'!$A:$A,0))="",0,Main!$S23*10000)</f>
        <v>0</v>
      </c>
      <c r="M9" s="50">
        <f>IF(INDEX('Equip Data'!M:M,MATCH($D9,'Equip Data'!$A:$A,0))="",0,Main!$S23*10000)</f>
        <v>0</v>
      </c>
      <c r="N9" s="50">
        <f>IF(INDEX('Equip Data'!N:N,MATCH($D9,'Equip Data'!$A:$A,0))="",0,Main!$S23*10000)</f>
        <v>10000</v>
      </c>
      <c r="O9" s="50">
        <f>IF(INDEX('Equip Data'!O:O,MATCH($D9,'Equip Data'!$A:$A,0))="",0,Main!$S23*10000)</f>
        <v>0</v>
      </c>
      <c r="P9" s="50">
        <f>IF(INDEX('Equip Data'!P:P,MATCH($D9,'Equip Data'!$A:$A,0))="",0,Main!$S23*10000)</f>
        <v>0</v>
      </c>
      <c r="Q9" s="50">
        <f>IF(INDEX('Equip Data'!Q:Q,MATCH($D9,'Equip Data'!$A:$A,0))="",0,Main!$S23*10000)</f>
        <v>0</v>
      </c>
      <c r="R9" s="50">
        <f>IF(INDEX('Equip Data'!R:R,MATCH($D9,'Equip Data'!$A:$A,0))="",0,Main!$S23*10000)</f>
        <v>0</v>
      </c>
      <c r="S9" s="50">
        <f>IF(INDEX('Equip Data'!S:S,MATCH($D9,'Equip Data'!$A:$A,0))="",0,Main!$S23*10000)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IF(Main!Q24="","",ROW()-1)</f>
        <v>9</v>
      </c>
      <c r="B10" s="50">
        <v>562858</v>
      </c>
      <c r="C10" s="52">
        <f t="shared" si="0"/>
        <v>10</v>
      </c>
      <c r="D10" s="50">
        <f>INDEX('Equip Data'!$A:$A,MATCH(Main!Q24,'Equip Data'!$AG:$AG,0))</f>
        <v>72</v>
      </c>
      <c r="E10" s="50">
        <f>INDEX('Exp Tables'!$R$3:$V$13,MATCH(F10,'Exp Tables'!$Q$3:$Q$13,0),MATCH(INDEX('Equip Data'!$D:$D,MATCH(Main!Q24,'Equip Data'!$AG:$AG,0)),'Exp Tables'!$R$2:$V$2,0))</f>
        <v>10000</v>
      </c>
      <c r="F10" s="50">
        <f>Main!R24</f>
        <v>10</v>
      </c>
      <c r="G10" s="50">
        <f>IF(INDEX('Equip Data'!G:G,MATCH($D10,'Equip Data'!$A:$A,0))="",0,Main!$S24*10000)</f>
        <v>10000</v>
      </c>
      <c r="H10" s="50">
        <f>IF(INDEX('Equip Data'!H:H,MATCH($D10,'Equip Data'!$A:$A,0))="",0,Main!$S24*10000)</f>
        <v>0</v>
      </c>
      <c r="I10" s="50">
        <f>IF(INDEX('Equip Data'!I:I,MATCH($D10,'Equip Data'!$A:$A,0))="",0,Main!$S24*10000)</f>
        <v>0</v>
      </c>
      <c r="J10" s="50">
        <f>IF(INDEX('Equip Data'!J:J,MATCH($D10,'Equip Data'!$A:$A,0))="",0,Main!$S24*10000)</f>
        <v>0</v>
      </c>
      <c r="K10" s="50">
        <f>IF(INDEX('Equip Data'!K:K,MATCH($D10,'Equip Data'!$A:$A,0))="",0,Main!$S24*10000)</f>
        <v>0</v>
      </c>
      <c r="L10" s="50">
        <f>IF(INDEX('Equip Data'!L:L,MATCH($D10,'Equip Data'!$A:$A,0))="",0,Main!$S24*10000)</f>
        <v>0</v>
      </c>
      <c r="M10" s="50">
        <f>IF(INDEX('Equip Data'!M:M,MATCH($D10,'Equip Data'!$A:$A,0))="",0,Main!$S24*10000)</f>
        <v>0</v>
      </c>
      <c r="N10" s="50">
        <f>IF(INDEX('Equip Data'!N:N,MATCH($D10,'Equip Data'!$A:$A,0))="",0,Main!$S24*10000)</f>
        <v>10000</v>
      </c>
      <c r="O10" s="50">
        <f>IF(INDEX('Equip Data'!O:O,MATCH($D10,'Equip Data'!$A:$A,0))="",0,Main!$S24*10000)</f>
        <v>0</v>
      </c>
      <c r="P10" s="50">
        <f>IF(INDEX('Equip Data'!P:P,MATCH($D10,'Equip Data'!$A:$A,0))="",0,Main!$S24*10000)</f>
        <v>0</v>
      </c>
      <c r="Q10" s="50">
        <f>IF(INDEX('Equip Data'!Q:Q,MATCH($D10,'Equip Data'!$A:$A,0))="",0,Main!$S24*10000)</f>
        <v>0</v>
      </c>
      <c r="R10" s="50">
        <f>IF(INDEX('Equip Data'!R:R,MATCH($D10,'Equip Data'!$A:$A,0))="",0,Main!$S24*10000)</f>
        <v>0</v>
      </c>
      <c r="S10" s="50">
        <f>IF(INDEX('Equip Data'!S:S,MATCH($D10,'Equip Data'!$A:$A,0))="",0,Main!$S24*10000)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IF(Main!Q25="","",ROW()-1)</f>
        <v>10</v>
      </c>
      <c r="B11" s="51">
        <v>562858</v>
      </c>
      <c r="C11" s="53">
        <f t="shared" si="0"/>
        <v>242</v>
      </c>
      <c r="D11" s="51">
        <f>INDEX('Equip Data'!$A:$A,MATCH(Main!Q25,'Equip Data'!$AG:$AG,0))</f>
        <v>72</v>
      </c>
      <c r="E11" s="51">
        <f>INDEX('Exp Tables'!$R$3:$V$13,MATCH(F11,'Exp Tables'!$Q$3:$Q$13,0),MATCH(INDEX('Equip Data'!$D:$D,MATCH(Main!Q25,'Equip Data'!$AG:$AG,0)),'Exp Tables'!$R$2:$V$2,0))</f>
        <v>10000</v>
      </c>
      <c r="F11" s="51">
        <f>Main!R25</f>
        <v>10</v>
      </c>
      <c r="G11" s="51">
        <f>IF(INDEX('Equip Data'!G:G,MATCH($D11,'Equip Data'!$A:$A,0))="",0,Main!$S25*10000)</f>
        <v>10000</v>
      </c>
      <c r="H11" s="51">
        <f>IF(INDEX('Equip Data'!H:H,MATCH($D11,'Equip Data'!$A:$A,0))="",0,Main!$S25*10000)</f>
        <v>0</v>
      </c>
      <c r="I11" s="51">
        <f>IF(INDEX('Equip Data'!I:I,MATCH($D11,'Equip Data'!$A:$A,0))="",0,Main!$S25*10000)</f>
        <v>0</v>
      </c>
      <c r="J11" s="51">
        <f>IF(INDEX('Equip Data'!J:J,MATCH($D11,'Equip Data'!$A:$A,0))="",0,Main!$S25*10000)</f>
        <v>0</v>
      </c>
      <c r="K11" s="51">
        <f>IF(INDEX('Equip Data'!K:K,MATCH($D11,'Equip Data'!$A:$A,0))="",0,Main!$S25*10000)</f>
        <v>0</v>
      </c>
      <c r="L11" s="51">
        <f>IF(INDEX('Equip Data'!L:L,MATCH($D11,'Equip Data'!$A:$A,0))="",0,Main!$S25*10000)</f>
        <v>0</v>
      </c>
      <c r="M11" s="51">
        <f>IF(INDEX('Equip Data'!M:M,MATCH($D11,'Equip Data'!$A:$A,0))="",0,Main!$S25*10000)</f>
        <v>0</v>
      </c>
      <c r="N11" s="51">
        <f>IF(INDEX('Equip Data'!N:N,MATCH($D11,'Equip Data'!$A:$A,0))="",0,Main!$S25*10000)</f>
        <v>10000</v>
      </c>
      <c r="O11" s="51">
        <f>IF(INDEX('Equip Data'!O:O,MATCH($D11,'Equip Data'!$A:$A,0))="",0,Main!$S25*10000)</f>
        <v>0</v>
      </c>
      <c r="P11" s="51">
        <f>IF(INDEX('Equip Data'!P:P,MATCH($D11,'Equip Data'!$A:$A,0))="",0,Main!$S25*10000)</f>
        <v>0</v>
      </c>
      <c r="Q11" s="51">
        <f>IF(INDEX('Equip Data'!Q:Q,MATCH($D11,'Equip Data'!$A:$A,0))="",0,Main!$S25*10000)</f>
        <v>0</v>
      </c>
      <c r="R11" s="51">
        <f>IF(INDEX('Equip Data'!R:R,MATCH($D11,'Equip Data'!$A:$A,0))="",0,Main!$S25*10000)</f>
        <v>0</v>
      </c>
      <c r="S11" s="51">
        <f>IF(INDEX('Equip Data'!S:S,MATCH($D11,'Equip Data'!$A:$A,0))="",0,Main!$S25*10000)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IF(Main!U21="","",ROW()-1)</f>
        <v>11</v>
      </c>
      <c r="B12" s="50">
        <v>562858</v>
      </c>
      <c r="C12" s="52">
        <f t="shared" si="0"/>
        <v>20122</v>
      </c>
      <c r="D12" s="50">
        <f>INDEX('Equip Data'!$A:$A,MATCH(Main!U21,'Equip Data'!$AG:$AG,0))</f>
        <v>190</v>
      </c>
      <c r="E12" s="50">
        <f>INDEX('Exp Tables'!$R$3:$V$13,MATCH(F12,'Exp Tables'!$Q$3:$Q$13,0),MATCH(INDEX('Equip Data'!$D:$D,MATCH(Main!U21,'Equip Data'!$AG:$AG,0)),'Exp Tables'!$R$2:$V$2,0))</f>
        <v>10000</v>
      </c>
      <c r="F12" s="50">
        <f>Main!V21</f>
        <v>10</v>
      </c>
      <c r="G12" s="50">
        <f>IF(INDEX('Equip Data'!G:G,MATCH($D12,'Equip Data'!$A:$A,0))="",0,Main!$W21*10000)</f>
        <v>10000</v>
      </c>
      <c r="H12" s="50">
        <f>IF(INDEX('Equip Data'!H:H,MATCH($D12,'Equip Data'!$A:$A,0))="",0,Main!$W21*10000)</f>
        <v>10000</v>
      </c>
      <c r="I12" s="50">
        <f>IF(INDEX('Equip Data'!I:I,MATCH($D12,'Equip Data'!$A:$A,0))="",0,Main!$W21*10000)</f>
        <v>0</v>
      </c>
      <c r="J12" s="50">
        <f>IF(INDEX('Equip Data'!J:J,MATCH($D12,'Equip Data'!$A:$A,0))="",0,Main!$W21*10000)</f>
        <v>0</v>
      </c>
      <c r="K12" s="50">
        <f>IF(INDEX('Equip Data'!K:K,MATCH($D12,'Equip Data'!$A:$A,0))="",0,Main!$W21*10000)</f>
        <v>0</v>
      </c>
      <c r="L12" s="50">
        <f>IF(INDEX('Equip Data'!L:L,MATCH($D12,'Equip Data'!$A:$A,0))="",0,Main!$W21*10000)</f>
        <v>10000</v>
      </c>
      <c r="M12" s="50">
        <f>IF(INDEX('Equip Data'!M:M,MATCH($D12,'Equip Data'!$A:$A,0))="",0,Main!$W21*10000)</f>
        <v>0</v>
      </c>
      <c r="N12" s="50">
        <f>IF(INDEX('Equip Data'!N:N,MATCH($D12,'Equip Data'!$A:$A,0))="",0,Main!$W21*10000)</f>
        <v>0</v>
      </c>
      <c r="O12" s="50">
        <f>IF(INDEX('Equip Data'!O:O,MATCH($D12,'Equip Data'!$A:$A,0))="",0,Main!$W21*10000)</f>
        <v>0</v>
      </c>
      <c r="P12" s="50">
        <f>IF(INDEX('Equip Data'!P:P,MATCH($D12,'Equip Data'!$A:$A,0))="",0,Main!$W21*10000)</f>
        <v>0</v>
      </c>
      <c r="Q12" s="50">
        <f>IF(INDEX('Equip Data'!Q:Q,MATCH($D12,'Equip Data'!$A:$A,0))="",0,Main!$W21*10000)</f>
        <v>0</v>
      </c>
      <c r="R12" s="50">
        <f>IF(INDEX('Equip Data'!R:R,MATCH($D12,'Equip Data'!$A:$A,0))="",0,Main!$W21*10000)</f>
        <v>0</v>
      </c>
      <c r="S12" s="50">
        <f>IF(INDEX('Equip Data'!S:S,MATCH($D12,'Equip Data'!$A:$A,0))="",0,Main!$W21*10000)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IF(Main!U22="","",ROW()-1)</f>
        <v>12</v>
      </c>
      <c r="B13" s="50">
        <v>562858</v>
      </c>
      <c r="C13" s="52">
        <f t="shared" si="0"/>
        <v>198</v>
      </c>
      <c r="D13" s="50">
        <f>INDEX('Equip Data'!$A:$A,MATCH(Main!U22,'Equip Data'!$AG:$AG,0))</f>
        <v>90</v>
      </c>
      <c r="E13" s="50">
        <f>INDEX('Exp Tables'!$R$3:$V$13,MATCH(F13,'Exp Tables'!$Q$3:$Q$13,0),MATCH(INDEX('Equip Data'!$D:$D,MATCH(Main!U22,'Equip Data'!$AG:$AG,0)),'Exp Tables'!$R$2:$V$2,0))</f>
        <v>10000</v>
      </c>
      <c r="F13" s="50">
        <f>Main!V22</f>
        <v>10</v>
      </c>
      <c r="G13" s="50">
        <f>IF(INDEX('Equip Data'!G:G,MATCH($D13,'Equip Data'!$A:$A,0))="",0,Main!$W22*10000)</f>
        <v>0</v>
      </c>
      <c r="H13" s="50">
        <f>IF(INDEX('Equip Data'!H:H,MATCH($D13,'Equip Data'!$A:$A,0))="",0,Main!$W22*10000)</f>
        <v>0</v>
      </c>
      <c r="I13" s="50">
        <f>IF(INDEX('Equip Data'!I:I,MATCH($D13,'Equip Data'!$A:$A,0))="",0,Main!$W22*10000)</f>
        <v>0</v>
      </c>
      <c r="J13" s="50">
        <f>IF(INDEX('Equip Data'!J:J,MATCH($D13,'Equip Data'!$A:$A,0))="",0,Main!$W22*10000)</f>
        <v>10000</v>
      </c>
      <c r="K13" s="50">
        <f>IF(INDEX('Equip Data'!K:K,MATCH($D13,'Equip Data'!$A:$A,0))="",0,Main!$W22*10000)</f>
        <v>0</v>
      </c>
      <c r="L13" s="50">
        <f>IF(INDEX('Equip Data'!L:L,MATCH($D13,'Equip Data'!$A:$A,0))="",0,Main!$W22*10000)</f>
        <v>10000</v>
      </c>
      <c r="M13" s="50">
        <f>IF(INDEX('Equip Data'!M:M,MATCH($D13,'Equip Data'!$A:$A,0))="",0,Main!$W22*10000)</f>
        <v>0</v>
      </c>
      <c r="N13" s="50">
        <f>IF(INDEX('Equip Data'!N:N,MATCH($D13,'Equip Data'!$A:$A,0))="",0,Main!$W22*10000)</f>
        <v>0</v>
      </c>
      <c r="O13" s="50">
        <f>IF(INDEX('Equip Data'!O:O,MATCH($D13,'Equip Data'!$A:$A,0))="",0,Main!$W22*10000)</f>
        <v>0</v>
      </c>
      <c r="P13" s="50">
        <f>IF(INDEX('Equip Data'!P:P,MATCH($D13,'Equip Data'!$A:$A,0))="",0,Main!$W22*10000)</f>
        <v>0</v>
      </c>
      <c r="Q13" s="50">
        <f>IF(INDEX('Equip Data'!Q:Q,MATCH($D13,'Equip Data'!$A:$A,0))="",0,Main!$W22*10000)</f>
        <v>0</v>
      </c>
      <c r="R13" s="50">
        <f>IF(INDEX('Equip Data'!R:R,MATCH($D13,'Equip Data'!$A:$A,0))="",0,Main!$W22*10000)</f>
        <v>0</v>
      </c>
      <c r="S13" s="50">
        <f>IF(INDEX('Equip Data'!S:S,MATCH($D13,'Equip Data'!$A:$A,0))="",0,Main!$W22*10000)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IF(Main!U23="","",ROW()-1)</f>
        <v>13</v>
      </c>
      <c r="B14" s="50">
        <v>562858</v>
      </c>
      <c r="C14" s="52">
        <f t="shared" si="0"/>
        <v>233</v>
      </c>
      <c r="D14" s="50">
        <f>INDEX('Equip Data'!$A:$A,MATCH(Main!U23,'Equip Data'!$AG:$AG,0))</f>
        <v>40</v>
      </c>
      <c r="E14" s="50">
        <f>INDEX('Exp Tables'!$R$3:$V$13,MATCH(F14,'Exp Tables'!$Q$3:$Q$13,0),MATCH(INDEX('Equip Data'!$D:$D,MATCH(Main!U23,'Equip Data'!$AG:$AG,0)),'Exp Tables'!$R$2:$V$2,0))</f>
        <v>10000</v>
      </c>
      <c r="F14" s="50">
        <f>Main!V23</f>
        <v>10</v>
      </c>
      <c r="G14" s="50">
        <f>IF(INDEX('Equip Data'!G:G,MATCH($D14,'Equip Data'!$A:$A,0))="",0,Main!$W23*10000)</f>
        <v>10000</v>
      </c>
      <c r="H14" s="50">
        <f>IF(INDEX('Equip Data'!H:H,MATCH($D14,'Equip Data'!$A:$A,0))="",0,Main!$W23*10000)</f>
        <v>0</v>
      </c>
      <c r="I14" s="50">
        <f>IF(INDEX('Equip Data'!I:I,MATCH($D14,'Equip Data'!$A:$A,0))="",0,Main!$W23*10000)</f>
        <v>10000</v>
      </c>
      <c r="J14" s="50">
        <f>IF(INDEX('Equip Data'!J:J,MATCH($D14,'Equip Data'!$A:$A,0))="",0,Main!$W23*10000)</f>
        <v>0</v>
      </c>
      <c r="K14" s="50">
        <f>IF(INDEX('Equip Data'!K:K,MATCH($D14,'Equip Data'!$A:$A,0))="",0,Main!$W23*10000)</f>
        <v>0</v>
      </c>
      <c r="L14" s="50">
        <f>IF(INDEX('Equip Data'!L:L,MATCH($D14,'Equip Data'!$A:$A,0))="",0,Main!$W23*10000)</f>
        <v>0</v>
      </c>
      <c r="M14" s="50">
        <f>IF(INDEX('Equip Data'!M:M,MATCH($D14,'Equip Data'!$A:$A,0))="",0,Main!$W23*10000)</f>
        <v>0</v>
      </c>
      <c r="N14" s="50">
        <f>IF(INDEX('Equip Data'!N:N,MATCH($D14,'Equip Data'!$A:$A,0))="",0,Main!$W23*10000)</f>
        <v>0</v>
      </c>
      <c r="O14" s="50">
        <f>IF(INDEX('Equip Data'!O:O,MATCH($D14,'Equip Data'!$A:$A,0))="",0,Main!$W23*10000)</f>
        <v>0</v>
      </c>
      <c r="P14" s="50">
        <f>IF(INDEX('Equip Data'!P:P,MATCH($D14,'Equip Data'!$A:$A,0))="",0,Main!$W23*10000)</f>
        <v>0</v>
      </c>
      <c r="Q14" s="50">
        <f>IF(INDEX('Equip Data'!Q:Q,MATCH($D14,'Equip Data'!$A:$A,0))="",0,Main!$W23*10000)</f>
        <v>0</v>
      </c>
      <c r="R14" s="50">
        <f>IF(INDEX('Equip Data'!R:R,MATCH($D14,'Equip Data'!$A:$A,0))="",0,Main!$W23*10000)</f>
        <v>0</v>
      </c>
      <c r="S14" s="50">
        <f>IF(INDEX('Equip Data'!S:S,MATCH($D14,'Equip Data'!$A:$A,0))="",0,Main!$W23*10000)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IF(Main!U24="","",ROW()-1)</f>
        <v>14</v>
      </c>
      <c r="B15" s="50">
        <v>562858</v>
      </c>
      <c r="C15" s="52">
        <f t="shared" si="0"/>
        <v>10</v>
      </c>
      <c r="D15" s="50">
        <f>INDEX('Equip Data'!$A:$A,MATCH(Main!U24,'Equip Data'!$AG:$AG,0))</f>
        <v>40</v>
      </c>
      <c r="E15" s="50">
        <f>INDEX('Exp Tables'!$R$3:$V$13,MATCH(F15,'Exp Tables'!$Q$3:$Q$13,0),MATCH(INDEX('Equip Data'!$D:$D,MATCH(Main!U24,'Equip Data'!$AG:$AG,0)),'Exp Tables'!$R$2:$V$2,0))</f>
        <v>10000</v>
      </c>
      <c r="F15" s="50">
        <f>Main!V24</f>
        <v>10</v>
      </c>
      <c r="G15" s="50">
        <f>IF(INDEX('Equip Data'!G:G,MATCH($D15,'Equip Data'!$A:$A,0))="",0,Main!$W24*10000)</f>
        <v>10000</v>
      </c>
      <c r="H15" s="50">
        <f>IF(INDEX('Equip Data'!H:H,MATCH($D15,'Equip Data'!$A:$A,0))="",0,Main!$W24*10000)</f>
        <v>0</v>
      </c>
      <c r="I15" s="50">
        <f>IF(INDEX('Equip Data'!I:I,MATCH($D15,'Equip Data'!$A:$A,0))="",0,Main!$W24*10000)</f>
        <v>10000</v>
      </c>
      <c r="J15" s="50">
        <f>IF(INDEX('Equip Data'!J:J,MATCH($D15,'Equip Data'!$A:$A,0))="",0,Main!$W24*10000)</f>
        <v>0</v>
      </c>
      <c r="K15" s="50">
        <f>IF(INDEX('Equip Data'!K:K,MATCH($D15,'Equip Data'!$A:$A,0))="",0,Main!$W24*10000)</f>
        <v>0</v>
      </c>
      <c r="L15" s="50">
        <f>IF(INDEX('Equip Data'!L:L,MATCH($D15,'Equip Data'!$A:$A,0))="",0,Main!$W24*10000)</f>
        <v>0</v>
      </c>
      <c r="M15" s="50">
        <f>IF(INDEX('Equip Data'!M:M,MATCH($D15,'Equip Data'!$A:$A,0))="",0,Main!$W24*10000)</f>
        <v>0</v>
      </c>
      <c r="N15" s="50">
        <f>IF(INDEX('Equip Data'!N:N,MATCH($D15,'Equip Data'!$A:$A,0))="",0,Main!$W24*10000)</f>
        <v>0</v>
      </c>
      <c r="O15" s="50">
        <f>IF(INDEX('Equip Data'!O:O,MATCH($D15,'Equip Data'!$A:$A,0))="",0,Main!$W24*10000)</f>
        <v>0</v>
      </c>
      <c r="P15" s="50">
        <f>IF(INDEX('Equip Data'!P:P,MATCH($D15,'Equip Data'!$A:$A,0))="",0,Main!$W24*10000)</f>
        <v>0</v>
      </c>
      <c r="Q15" s="50">
        <f>IF(INDEX('Equip Data'!Q:Q,MATCH($D15,'Equip Data'!$A:$A,0))="",0,Main!$W24*10000)</f>
        <v>0</v>
      </c>
      <c r="R15" s="50">
        <f>IF(INDEX('Equip Data'!R:R,MATCH($D15,'Equip Data'!$A:$A,0))="",0,Main!$W24*10000)</f>
        <v>0</v>
      </c>
      <c r="S15" s="50">
        <f>IF(INDEX('Equip Data'!S:S,MATCH($D15,'Equip Data'!$A:$A,0))="",0,Main!$W24*10000)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IF(Main!U25="","",ROW()-1)</f>
        <v>15</v>
      </c>
      <c r="B16" s="51">
        <v>562858</v>
      </c>
      <c r="C16" s="53">
        <f t="shared" si="0"/>
        <v>242</v>
      </c>
      <c r="D16" s="51">
        <f>INDEX('Equip Data'!$A:$A,MATCH(Main!U25,'Equip Data'!$AG:$AG,0))</f>
        <v>40</v>
      </c>
      <c r="E16" s="51">
        <f>INDEX('Exp Tables'!$R$3:$V$13,MATCH(F16,'Exp Tables'!$Q$3:$Q$13,0),MATCH(INDEX('Equip Data'!$D:$D,MATCH(Main!U25,'Equip Data'!$AG:$AG,0)),'Exp Tables'!$R$2:$V$2,0))</f>
        <v>10000</v>
      </c>
      <c r="F16" s="51">
        <f>Main!V25</f>
        <v>10</v>
      </c>
      <c r="G16" s="51">
        <f>IF(INDEX('Equip Data'!G:G,MATCH($D16,'Equip Data'!$A:$A,0))="",0,Main!$W25*10000)</f>
        <v>10000</v>
      </c>
      <c r="H16" s="51">
        <f>IF(INDEX('Equip Data'!H:H,MATCH($D16,'Equip Data'!$A:$A,0))="",0,Main!$W25*10000)</f>
        <v>0</v>
      </c>
      <c r="I16" s="51">
        <f>IF(INDEX('Equip Data'!I:I,MATCH($D16,'Equip Data'!$A:$A,0))="",0,Main!$W25*10000)</f>
        <v>10000</v>
      </c>
      <c r="J16" s="51">
        <f>IF(INDEX('Equip Data'!J:J,MATCH($D16,'Equip Data'!$A:$A,0))="",0,Main!$W25*10000)</f>
        <v>0</v>
      </c>
      <c r="K16" s="51">
        <f>IF(INDEX('Equip Data'!K:K,MATCH($D16,'Equip Data'!$A:$A,0))="",0,Main!$W25*10000)</f>
        <v>0</v>
      </c>
      <c r="L16" s="51">
        <f>IF(INDEX('Equip Data'!L:L,MATCH($D16,'Equip Data'!$A:$A,0))="",0,Main!$W25*10000)</f>
        <v>0</v>
      </c>
      <c r="M16" s="51">
        <f>IF(INDEX('Equip Data'!M:M,MATCH($D16,'Equip Data'!$A:$A,0))="",0,Main!$W25*10000)</f>
        <v>0</v>
      </c>
      <c r="N16" s="51">
        <f>IF(INDEX('Equip Data'!N:N,MATCH($D16,'Equip Data'!$A:$A,0))="",0,Main!$W25*10000)</f>
        <v>0</v>
      </c>
      <c r="O16" s="51">
        <f>IF(INDEX('Equip Data'!O:O,MATCH($D16,'Equip Data'!$A:$A,0))="",0,Main!$W25*10000)</f>
        <v>0</v>
      </c>
      <c r="P16" s="51">
        <f>IF(INDEX('Equip Data'!P:P,MATCH($D16,'Equip Data'!$A:$A,0))="",0,Main!$W25*10000)</f>
        <v>0</v>
      </c>
      <c r="Q16" s="51">
        <f>IF(INDEX('Equip Data'!Q:Q,MATCH($D16,'Equip Data'!$A:$A,0))="",0,Main!$W25*10000)</f>
        <v>0</v>
      </c>
      <c r="R16" s="51">
        <f>IF(INDEX('Equip Data'!R:R,MATCH($D16,'Equip Data'!$A:$A,0))="",0,Main!$W25*10000)</f>
        <v>0</v>
      </c>
      <c r="S16" s="51">
        <f>IF(INDEX('Equip Data'!S:S,MATCH($D16,'Equip Data'!$A:$A,0))="",0,Main!$W25*10000)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630</v>
      </c>
      <c r="D1" s="96" t="s">
        <v>30</v>
      </c>
      <c r="E1" s="96" t="s">
        <v>631</v>
      </c>
      <c r="F1" s="96" t="s">
        <v>632</v>
      </c>
      <c r="G1" s="96" t="s">
        <v>633</v>
      </c>
      <c r="H1" s="96" t="s">
        <v>587</v>
      </c>
      <c r="I1" s="96" t="s">
        <v>634</v>
      </c>
      <c r="J1" s="96" t="s">
        <v>635</v>
      </c>
      <c r="K1" s="96" t="s">
        <v>44</v>
      </c>
      <c r="L1" s="96" t="s">
        <v>580</v>
      </c>
      <c r="M1" s="96" t="s">
        <v>583</v>
      </c>
      <c r="N1" s="96" t="s">
        <v>584</v>
      </c>
      <c r="O1" s="96" t="s">
        <v>636</v>
      </c>
      <c r="P1" s="96" t="s">
        <v>54</v>
      </c>
    </row>
    <row r="2" spans="1:16" x14ac:dyDescent="0.25">
      <c r="A2" s="1">
        <f>IF(Main!B30="","",1)</f>
        <v>1</v>
      </c>
      <c r="B2" s="1">
        <v>562858</v>
      </c>
      <c r="C2" s="1">
        <f>INDEX('Fairy Data'!$A:$A,MATCH(Main!B30,'Fairy Data'!$B:$B,0))</f>
        <v>22</v>
      </c>
      <c r="D2" s="1">
        <f>IF(EchType="SF",0,1)</f>
        <v>1</v>
      </c>
      <c r="E2" s="1">
        <f>Main!D30</f>
        <v>100</v>
      </c>
      <c r="F2" s="1">
        <f>VLOOKUP(E2,'Exp Tables'!$E$3:$G$102,3,FALSE)</f>
        <v>9999000</v>
      </c>
      <c r="G2" s="1">
        <f>Main!C30</f>
        <v>5</v>
      </c>
      <c r="H2" s="1">
        <f>INDEX('Fairy Data'!$E$2:$I$101,MATCH(A2,'Fairy Data'!$A$2:$A$101,0),MATCH("exp"&amp;G2,'Fairy Data'!$E$1:$I$1,0))</f>
        <v>3000</v>
      </c>
      <c r="I2" s="1">
        <f>Main!E30</f>
        <v>10</v>
      </c>
      <c r="J2" s="1">
        <f>VLOOKUP(Main!F30,'Talent Data'!$A$2:$C$18,2,FALSE)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882</v>
      </c>
      <c r="C1" s="96" t="s">
        <v>883</v>
      </c>
      <c r="D1" s="96" t="s">
        <v>884</v>
      </c>
      <c r="E1" s="96" t="s">
        <v>220</v>
      </c>
      <c r="F1" s="96" t="s">
        <v>885</v>
      </c>
      <c r="G1" s="96" t="s">
        <v>34</v>
      </c>
      <c r="H1" s="96" t="s">
        <v>886</v>
      </c>
      <c r="I1" s="96" t="s">
        <v>35</v>
      </c>
      <c r="J1" s="96" t="s">
        <v>36</v>
      </c>
      <c r="K1" s="96" t="s">
        <v>887</v>
      </c>
      <c r="L1" s="96" t="s">
        <v>888</v>
      </c>
      <c r="M1" s="96" t="s">
        <v>889</v>
      </c>
      <c r="N1" s="96" t="s">
        <v>890</v>
      </c>
      <c r="O1" s="96" t="s">
        <v>891</v>
      </c>
      <c r="P1" s="96" t="s">
        <v>892</v>
      </c>
      <c r="Q1" s="96" t="s">
        <v>38</v>
      </c>
      <c r="R1" s="96" t="s">
        <v>893</v>
      </c>
      <c r="S1" s="96" t="s">
        <v>41</v>
      </c>
      <c r="T1" s="96" t="s">
        <v>42</v>
      </c>
      <c r="U1" s="96" t="s">
        <v>894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IF(Main!A52="","",1000&amp;Main!B52)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Main!D52-'G&amp;K Stat Calc'!AI3</f>
        <v>461</v>
      </c>
      <c r="L2" s="39">
        <f>Main!G52-'G&amp;K Stat Calc'!AJ3</f>
        <v>125</v>
      </c>
      <c r="M2" s="39">
        <f>Main!F52-'G&amp;K Stat Calc'!AK3</f>
        <v>529</v>
      </c>
      <c r="N2" s="39">
        <f>Main!E52-'G&amp;K Stat Calc'!AL3</f>
        <v>755</v>
      </c>
      <c r="O2" s="39">
        <v>0</v>
      </c>
      <c r="P2" s="39">
        <v>0</v>
      </c>
      <c r="Q2" s="39">
        <v>0</v>
      </c>
      <c r="R2" s="39">
        <v>0</v>
      </c>
      <c r="S2" s="1">
        <f>Main!H52</f>
        <v>10</v>
      </c>
      <c r="T2" s="1">
        <f>Main!I52</f>
        <v>10</v>
      </c>
      <c r="U2" s="1">
        <f>Main!J52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IF(Main!A53="","",1000&amp;Main!B53)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Main!D53-'G&amp;K Stat Calc'!AI4</f>
        <v>265</v>
      </c>
      <c r="L3" s="39">
        <f>Main!G53-'G&amp;K Stat Calc'!AJ4</f>
        <v>614</v>
      </c>
      <c r="M3" s="39">
        <f>Main!F53-'G&amp;K Stat Calc'!AK4</f>
        <v>314</v>
      </c>
      <c r="N3" s="39">
        <f>Main!E53-'G&amp;K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Main!H53</f>
        <v>10</v>
      </c>
      <c r="T3" s="1">
        <f>Main!I53</f>
        <v>10</v>
      </c>
      <c r="U3" s="1">
        <f>Main!J53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IF(Main!A54="","",1000&amp;Main!B54)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Main!D54-'G&amp;K Stat Calc'!AI5</f>
        <v>569</v>
      </c>
      <c r="L4" s="39">
        <f>Main!G54-'G&amp;K Stat Calc'!AJ5</f>
        <v>252</v>
      </c>
      <c r="M4" s="39">
        <f>Main!F54-'G&amp;K Stat Calc'!AK5</f>
        <v>230</v>
      </c>
      <c r="N4" s="39">
        <f>Main!E54-'G&amp;K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Main!H54</f>
        <v>10</v>
      </c>
      <c r="T4" s="1">
        <f>Main!I54</f>
        <v>10</v>
      </c>
      <c r="U4" s="1">
        <f>Main!J54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IF(Main!A55="","",1000&amp;Main!B55)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Main!D55-'G&amp;K Stat Calc'!AI6</f>
        <v>481</v>
      </c>
      <c r="L5" s="39">
        <f>Main!G55-'G&amp;K Stat Calc'!AJ6</f>
        <v>340</v>
      </c>
      <c r="M5" s="39">
        <f>Main!F55-'G&amp;K Stat Calc'!AK6</f>
        <v>226</v>
      </c>
      <c r="N5" s="39">
        <f>Main!E55-'G&amp;K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Main!H55</f>
        <v>10</v>
      </c>
      <c r="T5" s="1">
        <f>Main!I55</f>
        <v>10</v>
      </c>
      <c r="U5" s="1">
        <f>Main!J55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IF(Main!A56="","",1000&amp;Main!B56)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Main!D56-'G&amp;K Stat Calc'!AI7</f>
        <v>394</v>
      </c>
      <c r="L6" s="39">
        <f>Main!G56-'G&amp;K Stat Calc'!AJ7</f>
        <v>204</v>
      </c>
      <c r="M6" s="39">
        <f>Main!F56-'G&amp;K Stat Calc'!AK7</f>
        <v>452</v>
      </c>
      <c r="N6" s="39">
        <f>Main!E56-'G&amp;K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Main!H56</f>
        <v>10</v>
      </c>
      <c r="T6" s="1">
        <f>Main!I56</f>
        <v>10</v>
      </c>
      <c r="U6" s="1">
        <f>Main!J56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IF(Main!A57="","",1000&amp;Main!B57)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Main!D57-'G&amp;K Stat Calc'!AI8</f>
        <v>273</v>
      </c>
      <c r="L7" s="39">
        <f>Main!G57-'G&amp;K Stat Calc'!AJ8</f>
        <v>491</v>
      </c>
      <c r="M7" s="39">
        <f>Main!F57-'G&amp;K Stat Calc'!AK8</f>
        <v>281</v>
      </c>
      <c r="N7" s="39">
        <f>Main!E57-'G&amp;K Stat Calc'!AL8</f>
        <v>263</v>
      </c>
      <c r="O7" s="39">
        <v>0</v>
      </c>
      <c r="P7" s="39">
        <v>0</v>
      </c>
      <c r="Q7" s="39">
        <v>0</v>
      </c>
      <c r="R7" s="39">
        <v>0</v>
      </c>
      <c r="S7" s="1">
        <f>Main!H57</f>
        <v>10</v>
      </c>
      <c r="T7" s="1">
        <f>Main!I57</f>
        <v>10</v>
      </c>
      <c r="U7" s="1">
        <f>Main!J57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IF(Main!A58="","",1000&amp;Main!B58)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Main!D58-'G&amp;K Stat Calc'!AI9</f>
        <v>430</v>
      </c>
      <c r="L8" s="39">
        <f>Main!G58-'G&amp;K Stat Calc'!AJ9</f>
        <v>198</v>
      </c>
      <c r="M8" s="39">
        <f>Main!F58-'G&amp;K Stat Calc'!AK9</f>
        <v>430</v>
      </c>
      <c r="N8" s="39">
        <f>Main!E58-'G&amp;K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Main!H58</f>
        <v>10</v>
      </c>
      <c r="T8" s="1">
        <f>Main!I58</f>
        <v>10</v>
      </c>
      <c r="U8" s="1">
        <f>Main!J58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IF(Main!A59="","",1000&amp;Main!B59)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Main!D59-'G&amp;K Stat Calc'!AI10</f>
        <v>551</v>
      </c>
      <c r="L9" s="39">
        <f>Main!G59-'G&amp;K Stat Calc'!AJ10</f>
        <v>399</v>
      </c>
      <c r="M9" s="39">
        <f>Main!F59-'G&amp;K Stat Calc'!AK10</f>
        <v>427</v>
      </c>
      <c r="N9" s="39">
        <f>Main!E59-'G&amp;K Stat Calc'!AL10</f>
        <v>240</v>
      </c>
      <c r="O9" s="39">
        <v>0</v>
      </c>
      <c r="P9" s="39">
        <v>0</v>
      </c>
      <c r="Q9" s="39">
        <v>0</v>
      </c>
      <c r="R9" s="39">
        <v>0</v>
      </c>
      <c r="S9" s="1">
        <f>Main!H59</f>
        <v>10</v>
      </c>
      <c r="T9" s="1">
        <f>Main!I59</f>
        <v>10</v>
      </c>
      <c r="U9" s="1">
        <f>Main!J59</f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1061</v>
      </c>
      <c r="D1" s="96" t="s">
        <v>1062</v>
      </c>
      <c r="E1" s="96" t="s">
        <v>1063</v>
      </c>
      <c r="F1" s="96" t="s">
        <v>1064</v>
      </c>
      <c r="G1" s="96" t="s">
        <v>1065</v>
      </c>
      <c r="H1" s="96" t="s">
        <v>1066</v>
      </c>
      <c r="I1" s="96" t="s">
        <v>1067</v>
      </c>
      <c r="J1" s="96" t="s">
        <v>1068</v>
      </c>
      <c r="K1" s="96" t="s">
        <v>41</v>
      </c>
      <c r="L1" s="96" t="s">
        <v>42</v>
      </c>
      <c r="M1" s="96" t="s">
        <v>894</v>
      </c>
      <c r="N1" s="96" t="s">
        <v>1010</v>
      </c>
      <c r="O1" s="96" t="s">
        <v>1069</v>
      </c>
      <c r="P1" s="96" t="s">
        <v>1070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1071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IF(Main!C37="","",1&amp;ROW()-1)</f>
        <v>11</v>
      </c>
      <c r="B2" s="1">
        <v>562858</v>
      </c>
      <c r="C2" s="1">
        <f>INDEX('SF Data'!$A:$A,MATCH(Main!C37,'SF Data'!$C:$C,0))</f>
        <v>1006</v>
      </c>
      <c r="D2" s="1">
        <f>VLOOKUP(E2,'Exp Tables'!$M$3:$O$102,3,FALSE)</f>
        <v>3255500</v>
      </c>
      <c r="E2" s="1">
        <f>Main!D37</f>
        <v>100</v>
      </c>
      <c r="F2" s="1">
        <f>MAX(Main!B37,Main!E37)</f>
        <v>5</v>
      </c>
      <c r="G2" s="1">
        <f>Main!F37</f>
        <v>4</v>
      </c>
      <c r="H2" s="1">
        <v>100</v>
      </c>
      <c r="I2" s="1">
        <f>IF(Main!G37="XL",5,IF(Main!G37="L",4,IF(Main!G37="M",3,IF(Main!G37="S",2,IF(Main!G37="XS",1,0)))))</f>
        <v>0</v>
      </c>
      <c r="J2" s="1">
        <f>IF(I2=0,0,1)</f>
        <v>0</v>
      </c>
      <c r="K2" s="1">
        <f>IF(Main!B37=3,Main!I37,0)</f>
        <v>10</v>
      </c>
      <c r="L2" s="1">
        <f>IF(Main!B37=3,Main!J37,0)</f>
        <v>10</v>
      </c>
      <c r="M2" s="1">
        <f>IF(Main!B37=2,Main!I37,IF(Main!B37=3,Main!K37,0))</f>
        <v>5</v>
      </c>
      <c r="N2" s="1">
        <f>IF(AND(Main!B37=1,Main!E37&gt;=4),Main!I37,IF(AND(Main!B37=2,Main!E37&gt;=4),Main!J37,IF(AND(Main!B37=3,Main!E37&gt;=4),Main!L37,0)))</f>
        <v>5</v>
      </c>
      <c r="O2" s="1">
        <f>IF(OR(Main!M37="",Main!B37&lt;3),0,INDEX('SF Chip Data'!$A:$A,MATCH(Main!M37,'SF Chip Data'!$B:$B,0)))</f>
        <v>1001</v>
      </c>
      <c r="P2" s="1">
        <f>IF(AND(Main!B37=3,Main!F37&gt;=4,Main!N37&lt;&gt;""),INDEX('SF Chip Data'!$A:$A,MATCH(Main!N37,'SF Chip Data'!$B:$B,0)),0)</f>
        <v>1002</v>
      </c>
      <c r="Q2" s="1">
        <v>0</v>
      </c>
      <c r="R2" s="1">
        <f>Main!H37*10000</f>
        <v>1000000</v>
      </c>
      <c r="S2" s="1">
        <f>IF(Main!H37&lt;=100,1000000,1500000)</f>
        <v>1000000</v>
      </c>
      <c r="T2" s="1">
        <f>S2</f>
        <v>1000000</v>
      </c>
      <c r="U2" s="1">
        <f>IF(AND(UseSFCustomHP=TRUE,Main!P37&lt;&gt;0),Main!P37,'SF Stat Calc'!X3)</f>
        <v>1263</v>
      </c>
      <c r="V2" s="1">
        <v>0</v>
      </c>
      <c r="W2" s="1">
        <f>IF(Main!H37&gt;100,1,0)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IF(Main!C38="","",1&amp;ROW()-1)</f>
        <v>12</v>
      </c>
      <c r="B3" s="1">
        <v>562858</v>
      </c>
      <c r="C3" s="1">
        <f>INDEX('SF Data'!$A:$A,MATCH(Main!C38,'SF Data'!$C:$C,0))</f>
        <v>2006</v>
      </c>
      <c r="D3" s="1">
        <f>VLOOKUP(E3,'Exp Tables'!$M$3:$O$102,3,FALSE)</f>
        <v>3255500</v>
      </c>
      <c r="E3" s="1">
        <f>Main!D38</f>
        <v>100</v>
      </c>
      <c r="F3" s="1">
        <f>MAX(Main!B38,Main!E38)</f>
        <v>5</v>
      </c>
      <c r="G3" s="1">
        <f>Main!F38</f>
        <v>4</v>
      </c>
      <c r="H3" s="1">
        <v>100</v>
      </c>
      <c r="I3" s="1">
        <f>IF(Main!G38="XL",5,IF(Main!G38="L",4,IF(Main!G38="M",3,IF(Main!G38="S",2,IF(Main!G38="XS",1,0)))))</f>
        <v>5</v>
      </c>
      <c r="J3" s="1">
        <f t="shared" ref="J3:J10" si="0">IF(I3=0,0,1)</f>
        <v>1</v>
      </c>
      <c r="K3" s="1">
        <f>IF(Main!B38=3,Main!I38,0)</f>
        <v>0</v>
      </c>
      <c r="L3" s="1">
        <f>IF(Main!B38=3,Main!J38,0)</f>
        <v>0</v>
      </c>
      <c r="M3" s="1">
        <f>IF(Main!B38=2,Main!I38,IF(Main!B38=3,Main!K38,0))</f>
        <v>5</v>
      </c>
      <c r="N3" s="1">
        <f>IF(AND(Main!B38=1,Main!E38&gt;=4),Main!I38,IF(AND(Main!B38=2,Main!E38&gt;=4),Main!J38,IF(AND(Main!B38=3,Main!E38&gt;=4),Main!L38,0)))</f>
        <v>5</v>
      </c>
      <c r="O3" s="1">
        <f>IF(OR(Main!M38="",Main!B38&lt;3),0,INDEX('SF Chip Data'!$A:$A,MATCH(Main!M38,'SF Chip Data'!$B:$B,0)))</f>
        <v>0</v>
      </c>
      <c r="P3" s="1">
        <f>IF(AND(Main!B38=3,Main!F38&gt;=4,Main!N38&lt;&gt;""),INDEX('SF Chip Data'!$A:$A,MATCH(Main!N38,'SF Chip Data'!$B:$B,0)),0)</f>
        <v>0</v>
      </c>
      <c r="Q3" s="1">
        <v>0</v>
      </c>
      <c r="R3" s="1">
        <f>Main!H38*10000</f>
        <v>1000000</v>
      </c>
      <c r="S3" s="1">
        <f>IF(Main!H38&lt;=100,1000000,1500000)</f>
        <v>1000000</v>
      </c>
      <c r="T3" s="1">
        <f t="shared" ref="T3:T10" si="1">S3</f>
        <v>1000000</v>
      </c>
      <c r="U3" s="1">
        <f>IF(AND(UseSFCustomHP=TRUE,Main!P38&lt;&gt;0),Main!P38,'SF Stat Calc'!X4)</f>
        <v>1604</v>
      </c>
      <c r="V3" s="1">
        <v>0</v>
      </c>
      <c r="W3" s="1">
        <f>IF(Main!H38&gt;100,1,0)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IF(Main!C39="","",1&amp;ROW()-1)</f>
        <v>13</v>
      </c>
      <c r="B4" s="1">
        <v>562858</v>
      </c>
      <c r="C4" s="1">
        <f>INDEX('SF Data'!$A:$A,MATCH(Main!C39,'SF Data'!$C:$C,0))</f>
        <v>2006</v>
      </c>
      <c r="D4" s="1">
        <f>VLOOKUP(E4,'Exp Tables'!$M$3:$O$102,3,FALSE)</f>
        <v>3255500</v>
      </c>
      <c r="E4" s="1">
        <f>Main!D39</f>
        <v>100</v>
      </c>
      <c r="F4" s="1">
        <f>MAX(Main!B39,Main!E39)</f>
        <v>5</v>
      </c>
      <c r="G4" s="1">
        <f>Main!F39</f>
        <v>4</v>
      </c>
      <c r="H4" s="1">
        <v>100</v>
      </c>
      <c r="I4" s="1">
        <f>IF(Main!G39="XL",5,IF(Main!G39="L",4,IF(Main!G39="M",3,IF(Main!G39="S",2,IF(Main!G39="XS",1,0)))))</f>
        <v>5</v>
      </c>
      <c r="J4" s="1">
        <f t="shared" si="0"/>
        <v>1</v>
      </c>
      <c r="K4" s="1">
        <f>IF(Main!B39=3,Main!I39,0)</f>
        <v>0</v>
      </c>
      <c r="L4" s="1">
        <f>IF(Main!B39=3,Main!J39,0)</f>
        <v>0</v>
      </c>
      <c r="M4" s="1">
        <f>IF(Main!B39=2,Main!I39,IF(Main!B39=3,Main!K39,0))</f>
        <v>5</v>
      </c>
      <c r="N4" s="1">
        <f>IF(AND(Main!B39=1,Main!E39&gt;=4),Main!I39,IF(AND(Main!B39=2,Main!E39&gt;=4),Main!J39,IF(AND(Main!B39=3,Main!E39&gt;=4),Main!L39,0)))</f>
        <v>5</v>
      </c>
      <c r="O4" s="1">
        <f>IF(OR(Main!M39="",Main!B39&lt;3),0,INDEX('SF Chip Data'!$A:$A,MATCH(Main!M39,'SF Chip Data'!$B:$B,0)))</f>
        <v>0</v>
      </c>
      <c r="P4" s="1">
        <f>IF(AND(Main!B39=3,Main!F39&gt;=4,Main!N39&lt;&gt;""),INDEX('SF Chip Data'!$A:$A,MATCH(Main!N39,'SF Chip Data'!$B:$B,0)),0)</f>
        <v>0</v>
      </c>
      <c r="Q4" s="1">
        <v>0</v>
      </c>
      <c r="R4" s="1">
        <f>Main!H39*10000</f>
        <v>1000000</v>
      </c>
      <c r="S4" s="1">
        <f>IF(Main!H39&lt;=100,1000000,1500000)</f>
        <v>1000000</v>
      </c>
      <c r="T4" s="1">
        <f t="shared" si="1"/>
        <v>1000000</v>
      </c>
      <c r="U4" s="1">
        <f>IF(AND(UseSFCustomHP=TRUE,Main!P39&lt;&gt;0),Main!P39,'SF Stat Calc'!X5)</f>
        <v>1604</v>
      </c>
      <c r="V4" s="1">
        <v>0</v>
      </c>
      <c r="W4" s="1">
        <f>IF(Main!H39&gt;100,1,0)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IF(Main!C40="","",1&amp;ROW()-1)</f>
        <v>14</v>
      </c>
      <c r="B5" s="1">
        <v>562858</v>
      </c>
      <c r="C5" s="1">
        <f>INDEX('SF Data'!$A:$A,MATCH(Main!C40,'SF Data'!$C:$C,0))</f>
        <v>3004</v>
      </c>
      <c r="D5" s="1">
        <f>VLOOKUP(E5,'Exp Tables'!$M$3:$O$102,3,FALSE)</f>
        <v>3255500</v>
      </c>
      <c r="E5" s="1">
        <f>Main!D40</f>
        <v>100</v>
      </c>
      <c r="F5" s="1">
        <f>MAX(Main!B40,Main!E40)</f>
        <v>5</v>
      </c>
      <c r="G5" s="1">
        <f>Main!F40</f>
        <v>4</v>
      </c>
      <c r="H5" s="1">
        <v>100</v>
      </c>
      <c r="I5" s="1">
        <f>IF(Main!G40="XL",5,IF(Main!G40="L",4,IF(Main!G40="M",3,IF(Main!G40="S",2,IF(Main!G40="XS",1,0)))))</f>
        <v>5</v>
      </c>
      <c r="J5" s="1">
        <f t="shared" si="0"/>
        <v>1</v>
      </c>
      <c r="K5" s="1">
        <f>IF(Main!B40=3,Main!I40,0)</f>
        <v>0</v>
      </c>
      <c r="L5" s="1">
        <f>IF(Main!B40=3,Main!J40,0)</f>
        <v>0</v>
      </c>
      <c r="M5" s="1">
        <f>IF(Main!B40=2,Main!I40,IF(Main!B40=3,Main!K40,0))</f>
        <v>0</v>
      </c>
      <c r="N5" s="1">
        <f>IF(AND(Main!B40=1,Main!E40&gt;=4),Main!I40,IF(AND(Main!B40=2,Main!E40&gt;=4),Main!J40,IF(AND(Main!B40=3,Main!E40&gt;=4),Main!L40,0)))</f>
        <v>5</v>
      </c>
      <c r="O5" s="1">
        <f>IF(OR(Main!M40="",Main!B40&lt;3),0,INDEX('SF Chip Data'!$A:$A,MATCH(Main!M40,'SF Chip Data'!$B:$B,0)))</f>
        <v>0</v>
      </c>
      <c r="P5" s="1">
        <f>IF(AND(Main!B40=3,Main!F40&gt;=4,Main!N40&lt;&gt;""),INDEX('SF Chip Data'!$A:$A,MATCH(Main!N40,'SF Chip Data'!$B:$B,0)),0)</f>
        <v>0</v>
      </c>
      <c r="Q5" s="1">
        <v>0</v>
      </c>
      <c r="R5" s="1">
        <f>Main!H40*10000</f>
        <v>1000000</v>
      </c>
      <c r="S5" s="1">
        <f>IF(Main!H40&lt;=100,1000000,1500000)</f>
        <v>1000000</v>
      </c>
      <c r="T5" s="1">
        <f t="shared" si="1"/>
        <v>1000000</v>
      </c>
      <c r="U5" s="1">
        <f>IF(AND(UseSFCustomHP=TRUE,Main!P40&lt;&gt;0),Main!P40,'SF Stat Calc'!X6)</f>
        <v>598</v>
      </c>
      <c r="V5" s="1">
        <v>0</v>
      </c>
      <c r="W5" s="1">
        <f>IF(Main!H40&gt;100,1,0)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IF(Main!C41="","",1&amp;ROW()-1)</f>
        <v/>
      </c>
      <c r="B6" s="1">
        <v>562858</v>
      </c>
      <c r="C6" s="1" t="e">
        <f>INDEX('SF Data'!$A:$A,MATCH(Main!C41,'SF Data'!$C:$C,0))</f>
        <v>#N/A</v>
      </c>
      <c r="D6" s="1" t="e">
        <f>VLOOKUP(E6,'Exp Tables'!$M$3:$O$102,3,FALSE)</f>
        <v>#N/A</v>
      </c>
      <c r="E6" s="1">
        <f>Main!D41</f>
        <v>0</v>
      </c>
      <c r="F6" s="1">
        <f>MAX(Main!B41,Main!E41)</f>
        <v>0</v>
      </c>
      <c r="G6" s="1">
        <f>Main!F41</f>
        <v>0</v>
      </c>
      <c r="H6" s="1">
        <v>100</v>
      </c>
      <c r="I6" s="1">
        <f>IF(Main!G41="XL",5,IF(Main!G41="L",4,IF(Main!G41="M",3,IF(Main!G41="S",2,IF(Main!G41="XS",1,0)))))</f>
        <v>0</v>
      </c>
      <c r="J6" s="1">
        <f t="shared" si="0"/>
        <v>0</v>
      </c>
      <c r="K6" s="1">
        <f>IF(Main!B41=3,Main!I41,0)</f>
        <v>0</v>
      </c>
      <c r="L6" s="1">
        <f>IF(Main!B41=3,Main!J41,0)</f>
        <v>0</v>
      </c>
      <c r="M6" s="1">
        <f>IF(Main!B41=2,Main!I41,IF(Main!B41=3,Main!K41,0))</f>
        <v>0</v>
      </c>
      <c r="N6" s="1">
        <f>IF(AND(Main!B41=1,Main!E41&gt;=4),Main!I41,IF(AND(Main!B41=2,Main!E41&gt;=4),Main!J41,IF(AND(Main!B41=3,Main!E41&gt;=4),Main!L41,0)))</f>
        <v>0</v>
      </c>
      <c r="O6" s="1">
        <f>IF(OR(Main!M41="",Main!B41&lt;3),0,INDEX('SF Chip Data'!$A:$A,MATCH(Main!M41,'SF Chip Data'!$B:$B,0)))</f>
        <v>0</v>
      </c>
      <c r="P6" s="1">
        <f>IF(AND(Main!B41=3,Main!F41&gt;=4,Main!N41&lt;&gt;""),INDEX('SF Chip Data'!$A:$A,MATCH(Main!N41,'SF Chip Data'!$B:$B,0)),0)</f>
        <v>0</v>
      </c>
      <c r="Q6" s="1">
        <v>0</v>
      </c>
      <c r="R6" s="1">
        <f>Main!H41*10000</f>
        <v>0</v>
      </c>
      <c r="S6" s="1">
        <f>IF(Main!H41&lt;=100,1000000,1500000)</f>
        <v>1000000</v>
      </c>
      <c r="T6" s="1">
        <f t="shared" si="1"/>
        <v>1000000</v>
      </c>
      <c r="U6" s="1" t="e">
        <f>IF(AND(UseSFCustomHP=TRUE,Main!P41&lt;&gt;0),Main!P41,'SF Stat Calc'!X7)</f>
        <v>#N/A</v>
      </c>
      <c r="V6" s="1">
        <v>0</v>
      </c>
      <c r="W6" s="1">
        <f>IF(Main!H41&gt;100,1,0)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IF(Main!C42="","",1&amp;ROW()-1)</f>
        <v/>
      </c>
      <c r="B7" s="1">
        <v>562858</v>
      </c>
      <c r="C7" s="1" t="e">
        <f>INDEX('SF Data'!$A:$A,MATCH(Main!C42,'SF Data'!$C:$C,0))</f>
        <v>#N/A</v>
      </c>
      <c r="D7" s="1" t="e">
        <f>VLOOKUP(E7,'Exp Tables'!$M$3:$O$102,3,FALSE)</f>
        <v>#N/A</v>
      </c>
      <c r="E7" s="1">
        <f>Main!D42</f>
        <v>0</v>
      </c>
      <c r="F7" s="1">
        <f>MAX(Main!B42,Main!E42)</f>
        <v>0</v>
      </c>
      <c r="G7" s="1">
        <f>Main!F42</f>
        <v>0</v>
      </c>
      <c r="H7" s="1">
        <v>100</v>
      </c>
      <c r="I7" s="1">
        <f>IF(Main!G42="XL",5,IF(Main!G42="L",4,IF(Main!G42="M",3,IF(Main!G42="S",2,IF(Main!G42="XS",1,0)))))</f>
        <v>0</v>
      </c>
      <c r="J7" s="1">
        <f t="shared" si="0"/>
        <v>0</v>
      </c>
      <c r="K7" s="1">
        <f>IF(Main!B42=3,Main!I42,0)</f>
        <v>0</v>
      </c>
      <c r="L7" s="1">
        <f>IF(Main!B42=3,Main!J42,0)</f>
        <v>0</v>
      </c>
      <c r="M7" s="1">
        <f>IF(Main!B42=2,Main!I42,IF(Main!B42=3,Main!K42,0))</f>
        <v>0</v>
      </c>
      <c r="N7" s="1">
        <f>IF(AND(Main!B42=1,Main!E42&gt;=4),Main!I42,IF(AND(Main!B42=2,Main!E42&gt;=4),Main!J42,IF(AND(Main!B42=3,Main!E42&gt;=4),Main!L42,0)))</f>
        <v>0</v>
      </c>
      <c r="O7" s="1">
        <f>IF(OR(Main!M42="",Main!B42&lt;3),0,INDEX('SF Chip Data'!$A:$A,MATCH(Main!M42,'SF Chip Data'!$B:$B,0)))</f>
        <v>0</v>
      </c>
      <c r="P7" s="1">
        <f>IF(AND(Main!B42=3,Main!F42&gt;=4,Main!N42&lt;&gt;""),INDEX('SF Chip Data'!$A:$A,MATCH(Main!N42,'SF Chip Data'!$B:$B,0)),0)</f>
        <v>0</v>
      </c>
      <c r="Q7" s="1">
        <v>0</v>
      </c>
      <c r="R7" s="1">
        <f>Main!H42*10000</f>
        <v>0</v>
      </c>
      <c r="S7" s="1">
        <f>IF(Main!H42&lt;=100,1000000,1500000)</f>
        <v>1000000</v>
      </c>
      <c r="T7" s="1">
        <f t="shared" si="1"/>
        <v>1000000</v>
      </c>
      <c r="U7" s="1" t="e">
        <f>IF(AND(UseSFCustomHP=TRUE,Main!P42&lt;&gt;0),Main!P42,'SF Stat Calc'!X8)</f>
        <v>#N/A</v>
      </c>
      <c r="V7" s="1">
        <v>0</v>
      </c>
      <c r="W7" s="1">
        <f>IF(Main!H42&gt;100,1,0)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IF(Main!C43="","",1&amp;ROW()-1)</f>
        <v/>
      </c>
      <c r="B8" s="1">
        <v>562858</v>
      </c>
      <c r="C8" s="1" t="e">
        <f>INDEX('SF Data'!$A:$A,MATCH(Main!C43,'SF Data'!$C:$C,0))</f>
        <v>#N/A</v>
      </c>
      <c r="D8" s="1" t="e">
        <f>VLOOKUP(E8,'Exp Tables'!$M$3:$O$102,3,FALSE)</f>
        <v>#N/A</v>
      </c>
      <c r="E8" s="1">
        <f>Main!D43</f>
        <v>0</v>
      </c>
      <c r="F8" s="1">
        <f>MAX(Main!B43,Main!E43)</f>
        <v>0</v>
      </c>
      <c r="G8" s="1">
        <f>Main!F43</f>
        <v>0</v>
      </c>
      <c r="H8" s="1">
        <v>100</v>
      </c>
      <c r="I8" s="1">
        <f>IF(Main!G43="XL",5,IF(Main!G43="L",4,IF(Main!G43="M",3,IF(Main!G43="S",2,IF(Main!G43="XS",1,0)))))</f>
        <v>0</v>
      </c>
      <c r="J8" s="1">
        <f t="shared" si="0"/>
        <v>0</v>
      </c>
      <c r="K8" s="1">
        <f>IF(Main!B43=3,Main!I43,0)</f>
        <v>0</v>
      </c>
      <c r="L8" s="1">
        <f>IF(Main!B43=3,Main!J43,0)</f>
        <v>0</v>
      </c>
      <c r="M8" s="1">
        <f>IF(Main!B43=2,Main!I43,IF(Main!B43=3,Main!K43,0))</f>
        <v>0</v>
      </c>
      <c r="N8" s="1">
        <f>IF(AND(Main!B43=1,Main!E43&gt;=4),Main!I43,IF(AND(Main!B43=2,Main!E43&gt;=4),Main!J43,IF(AND(Main!B43=3,Main!E43&gt;=4),Main!L43,0)))</f>
        <v>0</v>
      </c>
      <c r="O8" s="1">
        <f>IF(OR(Main!M43="",Main!B43&lt;3),0,INDEX('SF Chip Data'!$A:$A,MATCH(Main!M43,'SF Chip Data'!$B:$B,0)))</f>
        <v>0</v>
      </c>
      <c r="P8" s="1">
        <f>IF(AND(Main!B43=3,Main!F43&gt;=4,Main!N43&lt;&gt;""),INDEX('SF Chip Data'!$A:$A,MATCH(Main!N43,'SF Chip Data'!$B:$B,0)),0)</f>
        <v>0</v>
      </c>
      <c r="Q8" s="1">
        <v>0</v>
      </c>
      <c r="R8" s="1">
        <f>Main!H43*10000</f>
        <v>0</v>
      </c>
      <c r="S8" s="1">
        <f>IF(Main!H43&lt;=100,1000000,1500000)</f>
        <v>1000000</v>
      </c>
      <c r="T8" s="1">
        <f t="shared" si="1"/>
        <v>1000000</v>
      </c>
      <c r="U8" s="1" t="e">
        <f>IF(AND(UseSFCustomHP=TRUE,Main!P43&lt;&gt;0),Main!P43,'SF Stat Calc'!X9)</f>
        <v>#N/A</v>
      </c>
      <c r="V8" s="1">
        <v>0</v>
      </c>
      <c r="W8" s="1">
        <f>IF(Main!H43&gt;100,1,0)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IF(Main!C44="","",1&amp;ROW()-1)</f>
        <v/>
      </c>
      <c r="B9" s="1">
        <v>562858</v>
      </c>
      <c r="C9" s="1" t="e">
        <f>INDEX('SF Data'!$A:$A,MATCH(Main!C44,'SF Data'!$C:$C,0))</f>
        <v>#N/A</v>
      </c>
      <c r="D9" s="1" t="e">
        <f>VLOOKUP(E9,'Exp Tables'!$M$3:$O$102,3,FALSE)</f>
        <v>#N/A</v>
      </c>
      <c r="E9" s="1">
        <f>Main!D44</f>
        <v>0</v>
      </c>
      <c r="F9" s="1">
        <f>MAX(Main!B44,Main!E44)</f>
        <v>0</v>
      </c>
      <c r="G9" s="1">
        <f>Main!F44</f>
        <v>0</v>
      </c>
      <c r="H9" s="1">
        <v>100</v>
      </c>
      <c r="I9" s="1">
        <f>IF(Main!G44="XL",5,IF(Main!G44="L",4,IF(Main!G44="M",3,IF(Main!G44="S",2,IF(Main!G44="XS",1,0)))))</f>
        <v>0</v>
      </c>
      <c r="J9" s="1">
        <f t="shared" si="0"/>
        <v>0</v>
      </c>
      <c r="K9" s="1">
        <f>IF(Main!B44=3,Main!I44,0)</f>
        <v>0</v>
      </c>
      <c r="L9" s="1">
        <f>IF(Main!B44=3,Main!J44,0)</f>
        <v>0</v>
      </c>
      <c r="M9" s="1">
        <f>IF(Main!B44=2,Main!I44,IF(Main!B44=3,Main!K44,0))</f>
        <v>0</v>
      </c>
      <c r="N9" s="1">
        <f>IF(AND(Main!B44=1,Main!E44&gt;=4),Main!I44,IF(AND(Main!B44=2,Main!E44&gt;=4),Main!J44,IF(AND(Main!B44=3,Main!E44&gt;=4),Main!L44,0)))</f>
        <v>0</v>
      </c>
      <c r="O9" s="1">
        <f>IF(OR(Main!M44="",Main!B44&lt;3),0,INDEX('SF Chip Data'!$A:$A,MATCH(Main!M44,'SF Chip Data'!$B:$B,0)))</f>
        <v>0</v>
      </c>
      <c r="P9" s="1">
        <f>IF(AND(Main!B44=3,Main!F44&gt;=4,Main!N44&lt;&gt;""),INDEX('SF Chip Data'!$A:$A,MATCH(Main!N44,'SF Chip Data'!$B:$B,0)),0)</f>
        <v>0</v>
      </c>
      <c r="Q9" s="1">
        <v>0</v>
      </c>
      <c r="R9" s="1">
        <f>Main!H44*10000</f>
        <v>0</v>
      </c>
      <c r="S9" s="1">
        <f>IF(Main!H44&lt;=100,1000000,1500000)</f>
        <v>1000000</v>
      </c>
      <c r="T9" s="1">
        <f t="shared" si="1"/>
        <v>1000000</v>
      </c>
      <c r="U9" s="1" t="e">
        <f>IF(AND(UseSFCustomHP=TRUE,Main!P44&lt;&gt;0),Main!P44,'SF Stat Calc'!X10)</f>
        <v>#N/A</v>
      </c>
      <c r="V9" s="1">
        <v>0</v>
      </c>
      <c r="W9" s="1">
        <f>IF(Main!H44&gt;100,1,0)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IF(Main!C45="","",1&amp;ROW()-1)</f>
        <v/>
      </c>
      <c r="B10" s="51">
        <v>562858</v>
      </c>
      <c r="C10" s="51" t="e">
        <f>INDEX('SF Data'!$A:$A,MATCH(Main!C45,'SF Data'!$C:$C,0))</f>
        <v>#N/A</v>
      </c>
      <c r="D10" s="51" t="e">
        <f>VLOOKUP(E10,'Exp Tables'!$M$3:$O$102,3,FALSE)</f>
        <v>#N/A</v>
      </c>
      <c r="E10" s="51">
        <f>Main!D45</f>
        <v>0</v>
      </c>
      <c r="F10" s="51">
        <f>MAX(Main!B45,Main!E45)</f>
        <v>0</v>
      </c>
      <c r="G10" s="51">
        <f>Main!F45</f>
        <v>0</v>
      </c>
      <c r="H10" s="51">
        <v>100</v>
      </c>
      <c r="I10" s="51">
        <f>IF(Main!G45="XL",5,IF(Main!G45="L",4,IF(Main!G45="M",3,IF(Main!G45="S",2,IF(Main!G45="XS",1,0)))))</f>
        <v>0</v>
      </c>
      <c r="J10" s="51">
        <f t="shared" si="0"/>
        <v>0</v>
      </c>
      <c r="K10" s="51">
        <f>IF(Main!B45=3,Main!I45,0)</f>
        <v>0</v>
      </c>
      <c r="L10" s="51">
        <f>IF(Main!B45=3,Main!J45,0)</f>
        <v>0</v>
      </c>
      <c r="M10" s="51">
        <f>IF(Main!B45=2,Main!I45,IF(Main!B45=3,Main!K45,0))</f>
        <v>0</v>
      </c>
      <c r="N10" s="51">
        <f>IF(AND(Main!B45=1,Main!E45&gt;=4),Main!I45,IF(AND(Main!B45=2,Main!E45&gt;=4),Main!J45,IF(AND(Main!B45=3,Main!E45&gt;=4),Main!L45,0)))</f>
        <v>0</v>
      </c>
      <c r="O10" s="51">
        <f>IF(OR(Main!M45="",Main!B45&lt;3),0,INDEX('SF Chip Data'!$A:$A,MATCH(Main!M45,'SF Chip Data'!$B:$B,0)))</f>
        <v>0</v>
      </c>
      <c r="P10" s="51">
        <f>IF(AND(Main!B45=3,Main!F45&gt;=4,Main!N45&lt;&gt;""),INDEX('SF Chip Data'!$A:$A,MATCH(Main!N45,'SF Chip Data'!$B:$B,0)),0)</f>
        <v>0</v>
      </c>
      <c r="Q10" s="51">
        <v>0</v>
      </c>
      <c r="R10" s="51">
        <f>Main!H45*10000</f>
        <v>0</v>
      </c>
      <c r="S10" s="51">
        <f>IF(Main!H45&lt;=100,1000000,1500000)</f>
        <v>1000000</v>
      </c>
      <c r="T10" s="51">
        <f t="shared" si="1"/>
        <v>1000000</v>
      </c>
      <c r="U10" s="51" t="e">
        <f>IF(AND(UseSFCustomHP=TRUE,Main!P45&lt;&gt;0),Main!P45,'SF Stat Calc'!X11)</f>
        <v>#N/A</v>
      </c>
      <c r="V10" s="51">
        <v>0</v>
      </c>
      <c r="W10" s="51">
        <f>IF(Main!H45&gt;100,1,0)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IF(Main!A64="X",2&amp;Main!B64,"")</f>
        <v/>
      </c>
      <c r="B11" s="50">
        <v>562858</v>
      </c>
      <c r="C11" s="50">
        <f>INDEX('SF Data'!$A:$A,MATCH(Main!C64,'SF Data'!$C:$C,0))</f>
        <v>1006</v>
      </c>
      <c r="D11" s="50">
        <f>VLOOKUP(E11,'Exp Tables'!$M$3:$O$102,3,FALSE)</f>
        <v>3255500</v>
      </c>
      <c r="E11" s="50">
        <f>Main!D64</f>
        <v>100</v>
      </c>
      <c r="F11" s="50">
        <f>Main!E64</f>
        <v>5</v>
      </c>
      <c r="G11" s="50">
        <f>Main!F64</f>
        <v>4</v>
      </c>
      <c r="H11" s="50">
        <v>100</v>
      </c>
      <c r="I11" s="50">
        <v>0</v>
      </c>
      <c r="J11" s="50">
        <v>0</v>
      </c>
      <c r="K11" s="50">
        <f>Main!H64</f>
        <v>10</v>
      </c>
      <c r="L11" s="50">
        <f>Main!I64</f>
        <v>10</v>
      </c>
      <c r="M11" s="50">
        <f>Main!J64</f>
        <v>5</v>
      </c>
      <c r="N11" s="50">
        <f>IF(Main!E64&gt;=4,Main!K64,0)</f>
        <v>5</v>
      </c>
      <c r="O11" s="50">
        <f>IF(Main!L64="",0,INDEX('SF Chip Data'!$A:$A,MATCH(Main!L64,'SF Chip Data'!$B:$B,0)))</f>
        <v>0</v>
      </c>
      <c r="P11" s="50">
        <f>IF(AND(Main!E64&gt;=4,Main!M64&lt;&gt;""),INDEX('SF Chip Data'!$A:$A,MATCH(Main!M64,'SF Chip Data'!$B:$B,0)),0)</f>
        <v>0</v>
      </c>
      <c r="Q11" s="50">
        <v>0</v>
      </c>
      <c r="R11" s="50">
        <f>Main!G64*10000</f>
        <v>1000000</v>
      </c>
      <c r="S11" s="50">
        <f>IF(Main!G64&lt;=100,1000000,1500000)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IF(Main!G64&gt;100,1,0)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IF(Main!A65="X",2&amp;Main!B65,"")</f>
        <v/>
      </c>
      <c r="B12" s="50">
        <v>562858</v>
      </c>
      <c r="C12" s="50">
        <f>INDEX('SF Data'!$A:$A,MATCH(Main!C65,'SF Data'!$C:$C,0))</f>
        <v>1005</v>
      </c>
      <c r="D12" s="50">
        <f>VLOOKUP(E12,'Exp Tables'!$M$3:$O$102,3,FALSE)</f>
        <v>3255500</v>
      </c>
      <c r="E12" s="50">
        <f>Main!D65</f>
        <v>100</v>
      </c>
      <c r="F12" s="50">
        <f>Main!E65</f>
        <v>5</v>
      </c>
      <c r="G12" s="50">
        <f>Main!F65</f>
        <v>4</v>
      </c>
      <c r="H12" s="50">
        <v>100</v>
      </c>
      <c r="I12" s="50">
        <v>0</v>
      </c>
      <c r="J12" s="50">
        <v>0</v>
      </c>
      <c r="K12" s="50">
        <f>Main!H65</f>
        <v>10</v>
      </c>
      <c r="L12" s="50">
        <f>Main!I65</f>
        <v>10</v>
      </c>
      <c r="M12" s="50">
        <f>Main!J65</f>
        <v>5</v>
      </c>
      <c r="N12" s="50">
        <f>IF(Main!E65&gt;=4,Main!K65,0)</f>
        <v>5</v>
      </c>
      <c r="O12" s="50">
        <f>IF(Main!L65="",0,INDEX('SF Chip Data'!$A:$A,MATCH(Main!L65,'SF Chip Data'!$B:$B,0)))</f>
        <v>0</v>
      </c>
      <c r="P12" s="50">
        <f>IF(AND(Main!E65&gt;=4,Main!M65&lt;&gt;""),INDEX('SF Chip Data'!$A:$A,MATCH(Main!M65,'SF Chip Data'!$B:$B,0)),0)</f>
        <v>0</v>
      </c>
      <c r="Q12" s="50">
        <v>0</v>
      </c>
      <c r="R12" s="50">
        <f>Main!G65*10000</f>
        <v>1000000</v>
      </c>
      <c r="S12" s="50">
        <f>IF(Main!G65&lt;=100,1000000,1500000)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IF(Main!G65&gt;100,1,0)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IF(Main!A66="X",2&amp;Main!B66,"")</f>
        <v/>
      </c>
      <c r="B13" s="50">
        <v>562858</v>
      </c>
      <c r="C13" s="50">
        <f>INDEX('SF Data'!$A:$A,MATCH(Main!C66,'SF Data'!$C:$C,0))</f>
        <v>1009</v>
      </c>
      <c r="D13" s="50">
        <f>VLOOKUP(E13,'Exp Tables'!$M$3:$O$102,3,FALSE)</f>
        <v>3255500</v>
      </c>
      <c r="E13" s="50">
        <f>Main!D66</f>
        <v>100</v>
      </c>
      <c r="F13" s="50">
        <f>Main!E66</f>
        <v>5</v>
      </c>
      <c r="G13" s="50">
        <f>Main!F66</f>
        <v>4</v>
      </c>
      <c r="H13" s="50">
        <v>100</v>
      </c>
      <c r="I13" s="50">
        <v>0</v>
      </c>
      <c r="J13" s="50">
        <v>0</v>
      </c>
      <c r="K13" s="50">
        <f>Main!H66</f>
        <v>10</v>
      </c>
      <c r="L13" s="50">
        <f>Main!I66</f>
        <v>10</v>
      </c>
      <c r="M13" s="50">
        <f>Main!J66</f>
        <v>5</v>
      </c>
      <c r="N13" s="50">
        <f>IF(Main!E66&gt;=4,Main!K66,0)</f>
        <v>5</v>
      </c>
      <c r="O13" s="50">
        <f>IF(Main!L66="",0,INDEX('SF Chip Data'!$A:$A,MATCH(Main!L66,'SF Chip Data'!$B:$B,0)))</f>
        <v>0</v>
      </c>
      <c r="P13" s="50">
        <f>IF(AND(Main!E66&gt;=4,Main!M66&lt;&gt;""),INDEX('SF Chip Data'!$A:$A,MATCH(Main!M66,'SF Chip Data'!$B:$B,0)),0)</f>
        <v>0</v>
      </c>
      <c r="Q13" s="50">
        <v>0</v>
      </c>
      <c r="R13" s="50">
        <f>Main!G66*10000</f>
        <v>1000000</v>
      </c>
      <c r="S13" s="50">
        <f>IF(Main!G66&lt;=100,1000000,1500000)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IF(Main!G66&gt;100,1,0)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IF(Main!A67="X",2&amp;Main!B67,"")</f>
        <v/>
      </c>
      <c r="B14" s="50">
        <v>562858</v>
      </c>
      <c r="C14" s="50">
        <f>INDEX('SF Data'!$A:$A,MATCH(Main!C67,'SF Data'!$C:$C,0))</f>
        <v>1014</v>
      </c>
      <c r="D14" s="50">
        <f>VLOOKUP(E14,'Exp Tables'!$M$3:$O$102,3,FALSE)</f>
        <v>3255500</v>
      </c>
      <c r="E14" s="50">
        <f>Main!D67</f>
        <v>100</v>
      </c>
      <c r="F14" s="50">
        <f>Main!E67</f>
        <v>5</v>
      </c>
      <c r="G14" s="50">
        <f>Main!F67</f>
        <v>4</v>
      </c>
      <c r="H14" s="50">
        <v>100</v>
      </c>
      <c r="I14" s="50">
        <v>0</v>
      </c>
      <c r="J14" s="50">
        <v>0</v>
      </c>
      <c r="K14" s="50">
        <f>Main!H67</f>
        <v>10</v>
      </c>
      <c r="L14" s="50">
        <f>Main!I67</f>
        <v>10</v>
      </c>
      <c r="M14" s="50">
        <f>Main!J67</f>
        <v>5</v>
      </c>
      <c r="N14" s="50">
        <f>IF(Main!E67&gt;=4,Main!K67,0)</f>
        <v>5</v>
      </c>
      <c r="O14" s="50">
        <f>IF(Main!L67="",0,INDEX('SF Chip Data'!$A:$A,MATCH(Main!L67,'SF Chip Data'!$B:$B,0)))</f>
        <v>0</v>
      </c>
      <c r="P14" s="50">
        <f>IF(AND(Main!E67&gt;=4,Main!M67&lt;&gt;""),INDEX('SF Chip Data'!$A:$A,MATCH(Main!M67,'SF Chip Data'!$B:$B,0)),0)</f>
        <v>0</v>
      </c>
      <c r="Q14" s="50">
        <v>0</v>
      </c>
      <c r="R14" s="50">
        <f>Main!G67*10000</f>
        <v>1000000</v>
      </c>
      <c r="S14" s="50">
        <f>IF(Main!G67&lt;=100,1000000,1500000)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IF(Main!G67&gt;100,1,0)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IF(Main!A68="X",2&amp;Main!B68,"")</f>
        <v/>
      </c>
      <c r="B15" s="50">
        <v>562858</v>
      </c>
      <c r="C15" s="50">
        <f>INDEX('SF Data'!$A:$A,MATCH(Main!C68,'SF Data'!$C:$C,0))</f>
        <v>1013</v>
      </c>
      <c r="D15" s="50">
        <f>VLOOKUP(E15,'Exp Tables'!$M$3:$O$102,3,FALSE)</f>
        <v>3255500</v>
      </c>
      <c r="E15" s="50">
        <f>Main!D68</f>
        <v>100</v>
      </c>
      <c r="F15" s="50">
        <f>Main!E68</f>
        <v>5</v>
      </c>
      <c r="G15" s="50">
        <f>Main!F68</f>
        <v>4</v>
      </c>
      <c r="H15" s="50">
        <v>100</v>
      </c>
      <c r="I15" s="50">
        <v>0</v>
      </c>
      <c r="J15" s="50">
        <v>0</v>
      </c>
      <c r="K15" s="50">
        <f>Main!H68</f>
        <v>10</v>
      </c>
      <c r="L15" s="50">
        <f>Main!I68</f>
        <v>10</v>
      </c>
      <c r="M15" s="50">
        <f>Main!J68</f>
        <v>5</v>
      </c>
      <c r="N15" s="50">
        <f>IF(Main!E68&gt;=4,Main!K68,0)</f>
        <v>5</v>
      </c>
      <c r="O15" s="50">
        <f>IF(Main!L68="",0,INDEX('SF Chip Data'!$A:$A,MATCH(Main!L68,'SF Chip Data'!$B:$B,0)))</f>
        <v>0</v>
      </c>
      <c r="P15" s="50">
        <f>IF(AND(Main!E68&gt;=4,Main!M68&lt;&gt;""),INDEX('SF Chip Data'!$A:$A,MATCH(Main!M68,'SF Chip Data'!$B:$B,0)),0)</f>
        <v>0</v>
      </c>
      <c r="Q15" s="50">
        <v>0</v>
      </c>
      <c r="R15" s="50">
        <f>Main!G68*10000</f>
        <v>1000000</v>
      </c>
      <c r="S15" s="50">
        <f>IF(Main!G68&lt;=100,1000000,1500000)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IF(Main!G68&gt;100,1,0)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1150</v>
      </c>
      <c r="C1" s="96" t="s">
        <v>1056</v>
      </c>
      <c r="D1" s="96" t="s">
        <v>1151</v>
      </c>
      <c r="E1" s="96" t="s">
        <v>1152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Data'!A:A,MATCH(Main!M37,'SF Chip Data'!B:B,0)),"")</f>
        <v>1001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Data'!A:A,MATCH(Main!M38,'SF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Data'!A:A,MATCH(Main!M39,'SF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Data'!A:A,MATCH(Main!M40,'SF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Data'!A:A,MATCH(Main!M41,'SF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Data'!A:A,MATCH(Main!M42,'SF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Data'!A:A,MATCH(Main!M43,'SF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Data'!A:A,MATCH(Main!M44,'SF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Data'!A:A,MATCH(Main!M45,'SF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Data'!A:A,MATCH(Main!N37,'SF Chip Data'!B:B,0)),"")</f>
        <v>1002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Data'!A:A,MATCH(Main!N38,'SF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Data'!A:A,MATCH(Main!N39,'SF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Data'!A:A,MATCH(Main!N40,'SF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Data'!A:A,MATCH(Main!N41,'SF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Data'!A:A,MATCH(Main!N42,'SF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Data'!A:A,MATCH(Main!N43,'SF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Data'!A:A,MATCH(Main!N44,'SF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Data'!A:A,MATCH(Main!N45,'SF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23" t="str">
        <f>IFERROR(INDEX('SF Chip Data'!A:A,MATCH(Main!L64,'SF Chip Data'!B:B,0)),"")</f>
        <v/>
      </c>
      <c r="C20" s="1">
        <v>0</v>
      </c>
      <c r="D20" s="22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Data'!A:A,MATCH(Main!L65,'SF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Data'!A:A,MATCH(Main!L66,'SF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Data'!A:A,MATCH(Main!L67,'SF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Data'!A:A,MATCH(Main!L68,'SF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23" t="str">
        <f t="shared" si="0"/>
        <v/>
      </c>
      <c r="B25" s="223" t="str">
        <f>IFERROR(INDEX('SF Chip Data'!A:A,MATCH(Main!M64,'SF Chip Data'!B:B,0)),"")</f>
        <v/>
      </c>
      <c r="C25" s="223">
        <v>0</v>
      </c>
      <c r="D25" s="223" t="str">
        <f>D20</f>
        <v/>
      </c>
      <c r="E25" s="223">
        <v>2</v>
      </c>
    </row>
    <row r="26" spans="1:5" x14ac:dyDescent="0.25">
      <c r="A26" s="50" t="str">
        <f t="shared" si="0"/>
        <v/>
      </c>
      <c r="B26" s="50" t="str">
        <f>IFERROR(INDEX('SF Chip Data'!A:A,MATCH(Main!M65,'SF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Data'!A:A,MATCH(Main!M66,'SF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Data'!A:A,MATCH(Main!M67,'SF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Data'!A:A,MATCH(Main!M68,'SF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1072</v>
      </c>
      <c r="D1" s="96" t="s">
        <v>30</v>
      </c>
      <c r="E1" s="96" t="s">
        <v>35</v>
      </c>
      <c r="F1" s="96" t="s">
        <v>36</v>
      </c>
      <c r="G1" s="96" t="s">
        <v>1073</v>
      </c>
      <c r="J1" s="148" t="s">
        <v>1151</v>
      </c>
      <c r="K1" s="148" t="s">
        <v>33</v>
      </c>
    </row>
    <row r="2" spans="1:11" x14ac:dyDescent="0.25">
      <c r="A2" s="224">
        <v>2</v>
      </c>
      <c r="B2" s="224">
        <v>562858</v>
      </c>
      <c r="C2" s="224">
        <f>A2</f>
        <v>2</v>
      </c>
      <c r="D2" s="224">
        <f>IF(EchType="SF",1,2)</f>
        <v>2</v>
      </c>
      <c r="E2" s="224">
        <v>10</v>
      </c>
      <c r="F2" s="224">
        <v>10</v>
      </c>
      <c r="G2" s="224" t="s">
        <v>1153</v>
      </c>
      <c r="J2" s="1" t="str">
        <f>IF(SF!A2="",0,1&amp;ROW()-1)</f>
        <v>11</v>
      </c>
      <c r="K2" s="1">
        <f t="array" ref="K2">IF(J2=0,0,SUMPRODUCT((Main!$R$38:$T$40=RIGHT(J2,1)*1)*'Misc Inputs'!$B$3:$D$5))</f>
        <v>13</v>
      </c>
    </row>
    <row r="3" spans="1:11" x14ac:dyDescent="0.25">
      <c r="A3" s="50" t="str">
        <f>IF(Main!A64="X",ROW(),"")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1153</v>
      </c>
      <c r="J3" s="1" t="str">
        <f>IF(SF!A3="",0,1&amp;ROW()-1)</f>
        <v>12</v>
      </c>
      <c r="K3" s="1">
        <f t="array" ref="K3">IF(J3=0,0,SUMPRODUCT((Main!$R$38:$T$40=RIGHT(J3,1)*1)*'Misc Inputs'!$B$3:$D$5))</f>
        <v>9</v>
      </c>
    </row>
    <row r="4" spans="1:11" x14ac:dyDescent="0.25">
      <c r="A4" s="50" t="str">
        <f>IF(Main!A65="X",ROW(),"")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1153</v>
      </c>
      <c r="J4" s="1" t="str">
        <f>IF(SF!A4="",0,1&amp;ROW()-1)</f>
        <v>13</v>
      </c>
      <c r="K4" s="1">
        <f t="array" ref="K4">IF(J4=0,0,SUMPRODUCT((Main!$R$38:$T$40=RIGHT(J4,1)*1)*'Misc Inputs'!$B$3:$D$5))</f>
        <v>7</v>
      </c>
    </row>
    <row r="5" spans="1:11" x14ac:dyDescent="0.25">
      <c r="A5" s="50" t="str">
        <f>IF(Main!A66="X",ROW(),"")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1153</v>
      </c>
      <c r="J5" s="1" t="str">
        <f>IF(SF!A5="",0,1&amp;ROW()-1)</f>
        <v>14</v>
      </c>
      <c r="K5" s="1">
        <f t="array" ref="K5">IF(J5=0,0,SUMPRODUCT((Main!$R$38:$T$40=RIGHT(J5,1)*1)*'Misc Inputs'!$B$3:$D$5))</f>
        <v>8</v>
      </c>
    </row>
    <row r="6" spans="1:11" x14ac:dyDescent="0.25">
      <c r="A6" s="50" t="str">
        <f>IF(Main!A67="X",ROW(),"")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1153</v>
      </c>
      <c r="J6" s="1">
        <f>IF(SF!A6="",0,1&amp;ROW()-1)</f>
        <v>0</v>
      </c>
      <c r="K6" s="1">
        <f t="array" ref="K6">IF(J6=0,0,SUMPRODUCT((Main!$R$38:$T$40=RIGHT(J6,1)*1)*'Misc Inputs'!$B$3:$D$5))</f>
        <v>0</v>
      </c>
    </row>
    <row r="7" spans="1:11" x14ac:dyDescent="0.25">
      <c r="A7" s="50" t="str">
        <f>IF(Main!A68="X",ROW(),"")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1153</v>
      </c>
      <c r="J7" s="1">
        <f>IF(SF!A7="",0,1&amp;ROW()-1)</f>
        <v>0</v>
      </c>
      <c r="K7" s="1">
        <f t="array" ref="K7">IF(J7=0,0,SUMPRODUCT((Main!$R$38:$T$40=RIGHT(J7,1)*1)*'Misc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IF(J8=0,0,SUMPRODUCT((Main!$R$38:$T$40=RIGHT(J8,1)*1)*'Misc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IF(J9=0,0,SUMPRODUCT((Main!$R$38:$T$40=RIGHT(J9,1)*1)*'Misc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IF(J10=0,0,SUMPRODUCT((Main!$R$38:$T$40=RIGHT(J10,1)*1)*'Misc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23">
        <f>IF(SF!A11="",0,SF!A11)</f>
        <v>0</v>
      </c>
      <c r="K11" s="22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B2" sqref="B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784</v>
      </c>
      <c r="B2" s="1">
        <f>IF(DayNight="Day",25,25)</f>
        <v>25</v>
      </c>
      <c r="C2" s="9" t="str">
        <f>IF(Main!A78="X",'Misc Inputs'!$C$22,IF(Main!A79="X",'Misc Inputs'!$C$28,'Misc Inputs'!$C$20))</f>
        <v>"fairy_skill_on_enemy": "[]",</v>
      </c>
    </row>
    <row r="3" spans="1:3" x14ac:dyDescent="0.25">
      <c r="A3" t="s">
        <v>783</v>
      </c>
      <c r="B3" s="1">
        <f>IF(DayNight="Day",29,33)</f>
        <v>33</v>
      </c>
      <c r="C3" s="9" t="str">
        <f>'Misc Inputs'!C17</f>
        <v>"fairy_skill_on_team": "[]",</v>
      </c>
    </row>
    <row r="4" spans="1:3" x14ac:dyDescent="0.25">
      <c r="A4" t="s">
        <v>785</v>
      </c>
      <c r="B4" s="1">
        <f>IF(DayNight="Day",64,77)</f>
        <v>77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1821</v>
      </c>
      <c r="B1" s="43" t="s">
        <v>782</v>
      </c>
      <c r="C1" s="95" t="s">
        <v>1854</v>
      </c>
      <c r="D1" s="43" t="s">
        <v>786</v>
      </c>
      <c r="E1" s="43" t="s">
        <v>1853</v>
      </c>
      <c r="F1" s="98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1822</v>
      </c>
      <c r="E2" s="1">
        <f>SUMPRODUCT('SF Team'!$D$3:$D$7,--(Main!$A$64:$A$68="X"),--(Main!$N$64:$N$68=A2))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1822</v>
      </c>
      <c r="E3" s="1">
        <f>SUMPRODUCT('SF Team'!$D$3:$D$7,--(Main!$A$64:$A$68="X"),--(Main!$N$64:$N$68=A3))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1822</v>
      </c>
      <c r="E4" s="1">
        <f>SUMPRODUCT('SF Team'!$D$3:$D$7,--(Main!$A$64:$A$68="X"),--(Main!$N$64:$N$68=A4))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1822</v>
      </c>
      <c r="E5" s="1">
        <f>SUMPRODUCT('SF Team'!$D$3:$D$7,--(Main!$A$64:$A$68="X"),--(Main!$N$64:$N$68=A5))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1822</v>
      </c>
      <c r="E6" s="1">
        <f>SUMPRODUCT('SF Team'!$D$3:$D$7,--(Main!$A$64:$A$68="X"),--(Main!$N$64:$N$68=A6))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1822</v>
      </c>
      <c r="E7" s="1">
        <f>SUMPRODUCT('SF Team'!$D$3:$D$7,--(Main!$A$64:$A$68="X"),--(Main!$N$64:$N$68=A7))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1822</v>
      </c>
      <c r="E8" s="1">
        <f>SUMPRODUCT('SF Team'!$D$3:$D$7,--(Main!$A$64:$A$68="X"),--(Main!$N$64:$N$68=A8))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1822</v>
      </c>
      <c r="E9" s="1">
        <f>SUMPRODUCT('SF Team'!$D$3:$D$7,--(Main!$A$64:$A$68="X"),--(Main!$N$64:$N$68=A9))</f>
        <v>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1821</v>
      </c>
      <c r="B1" s="43" t="s">
        <v>782</v>
      </c>
      <c r="C1" s="95" t="s">
        <v>1854</v>
      </c>
      <c r="D1" s="43" t="s">
        <v>786</v>
      </c>
      <c r="E1" s="43" t="s">
        <v>1853</v>
      </c>
      <c r="F1" s="98"/>
      <c r="M1" s="1"/>
      <c r="T1" s="98"/>
    </row>
    <row r="2" spans="1:20" x14ac:dyDescent="0.25">
      <c r="A2" s="1" t="s">
        <v>1823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1822</v>
      </c>
      <c r="E2" s="1">
        <f>SUMPRODUCT('SF Team'!$D$3:$D$7,--(Main!$A$64:$A$68="X"),--(Main!$N$64:$N$68=A2))</f>
        <v>0</v>
      </c>
      <c r="F2" s="1"/>
      <c r="M2" s="1"/>
    </row>
    <row r="3" spans="1:20" x14ac:dyDescent="0.25">
      <c r="A3" s="1" t="s">
        <v>1824</v>
      </c>
      <c r="B3" s="1">
        <v>31</v>
      </c>
      <c r="C3" s="9" t="str">
        <f t="shared" si="0"/>
        <v>"sangvis_team_id": "0",</v>
      </c>
      <c r="D3" s="1" t="s">
        <v>1822</v>
      </c>
      <c r="E3" s="1">
        <f>SUMPRODUCT('SF Team'!$D$3:$D$7,--(Main!$A$64:$A$68="X"),--(Main!$N$64:$N$68=A3))</f>
        <v>0</v>
      </c>
      <c r="F3" s="1"/>
      <c r="M3" s="1"/>
    </row>
    <row r="4" spans="1:20" x14ac:dyDescent="0.25">
      <c r="A4" s="1" t="s">
        <v>1825</v>
      </c>
      <c r="B4" s="1">
        <v>53</v>
      </c>
      <c r="C4" s="9" t="str">
        <f t="shared" si="0"/>
        <v>"sangvis_team_id": "0",</v>
      </c>
      <c r="D4" s="1" t="s">
        <v>1822</v>
      </c>
      <c r="E4" s="1">
        <f>SUMPRODUCT('SF Team'!$D$3:$D$7,--(Main!$A$64:$A$68="X"),--(Main!$N$64:$N$68=A4))</f>
        <v>0</v>
      </c>
      <c r="F4" s="1"/>
      <c r="M4" s="1"/>
    </row>
    <row r="5" spans="1:20" x14ac:dyDescent="0.25">
      <c r="A5" s="1" t="s">
        <v>1826</v>
      </c>
      <c r="B5" s="1">
        <v>75</v>
      </c>
      <c r="C5" s="9" t="str">
        <f t="shared" si="0"/>
        <v>"sangvis_team_id": "0",</v>
      </c>
      <c r="D5" s="1" t="s">
        <v>1822</v>
      </c>
      <c r="E5" s="1">
        <f>SUMPRODUCT('SF Team'!$D$3:$D$7,--(Main!$A$64:$A$68="X"),--(Main!$N$64:$N$68=A5))</f>
        <v>0</v>
      </c>
      <c r="F5" s="1"/>
      <c r="M5" s="1"/>
    </row>
    <row r="6" spans="1:20" x14ac:dyDescent="0.25">
      <c r="A6" s="1" t="s">
        <v>1827</v>
      </c>
      <c r="B6" s="1">
        <v>97</v>
      </c>
      <c r="C6" s="9" t="str">
        <f t="shared" si="0"/>
        <v>"sangvis_team_id": "0",</v>
      </c>
      <c r="D6" s="1" t="s">
        <v>1822</v>
      </c>
      <c r="E6" s="1">
        <f>SUMPRODUCT('SF Team'!$D$3:$D$7,--(Main!$A$64:$A$68="X"),--(Main!$N$64:$N$68=A6))</f>
        <v>0</v>
      </c>
      <c r="F6" s="1"/>
      <c r="M6" s="1"/>
    </row>
    <row r="7" spans="1:20" x14ac:dyDescent="0.25">
      <c r="A7" s="1" t="s">
        <v>1828</v>
      </c>
      <c r="B7" s="1">
        <v>119</v>
      </c>
      <c r="C7" s="9" t="str">
        <f t="shared" si="0"/>
        <v>"sangvis_team_id": "0",</v>
      </c>
      <c r="D7" s="1" t="s">
        <v>1822</v>
      </c>
      <c r="E7" s="1">
        <f>SUMPRODUCT('SF Team'!$D$3:$D$7,--(Main!$A$64:$A$68="X"),--(Main!$N$64:$N$68=A7))</f>
        <v>0</v>
      </c>
      <c r="F7" s="1"/>
      <c r="M7" s="1"/>
    </row>
    <row r="8" spans="1:20" x14ac:dyDescent="0.25">
      <c r="A8" s="1" t="s">
        <v>1829</v>
      </c>
      <c r="B8" s="1">
        <v>146</v>
      </c>
      <c r="C8" s="9" t="str">
        <f t="shared" si="0"/>
        <v>"sangvis_team_id": "0",</v>
      </c>
      <c r="D8" s="1" t="s">
        <v>1822</v>
      </c>
      <c r="E8" s="1">
        <f>SUMPRODUCT('SF Team'!$D$3:$D$7,--(Main!$A$64:$A$68="X"),--(Main!$N$64:$N$68=A8))</f>
        <v>0</v>
      </c>
      <c r="F8" s="1"/>
      <c r="M8" s="1"/>
    </row>
    <row r="9" spans="1:20" x14ac:dyDescent="0.25">
      <c r="A9" s="1" t="s">
        <v>1830</v>
      </c>
      <c r="B9" s="1">
        <v>163</v>
      </c>
      <c r="C9" s="9" t="str">
        <f t="shared" si="0"/>
        <v>"sangvis_team_id": "0",</v>
      </c>
      <c r="D9" s="1" t="s">
        <v>1822</v>
      </c>
      <c r="E9" s="1">
        <f>SUMPRODUCT('SF Team'!$D$3:$D$7,--(Main!$A$64:$A$68="X"),--(Main!$N$64:$N$68=A9))</f>
        <v>0</v>
      </c>
      <c r="F9" s="1"/>
      <c r="M9" s="1"/>
    </row>
    <row r="10" spans="1:20" x14ac:dyDescent="0.25">
      <c r="A10" s="1" t="s">
        <v>1831</v>
      </c>
      <c r="B10" s="1">
        <v>185</v>
      </c>
      <c r="C10" s="9" t="str">
        <f t="shared" si="0"/>
        <v>"sangvis_team_id": "0",</v>
      </c>
      <c r="D10" s="1" t="s">
        <v>1822</v>
      </c>
      <c r="E10" s="1">
        <f>SUMPRODUCT('SF Team'!$D$3:$D$7,--(Main!$A$64:$A$68="X"),--(Main!$N$64:$N$68=A10))</f>
        <v>0</v>
      </c>
      <c r="F10" s="1"/>
    </row>
    <row r="11" spans="1:20" x14ac:dyDescent="0.25">
      <c r="A11" s="1" t="s">
        <v>1832</v>
      </c>
      <c r="B11" s="1">
        <v>207</v>
      </c>
      <c r="C11" s="9" t="str">
        <f t="shared" si="0"/>
        <v>"sangvis_team_id": "0",</v>
      </c>
      <c r="D11" s="1" t="s">
        <v>1822</v>
      </c>
      <c r="E11" s="1">
        <f>SUMPRODUCT('SF Team'!$D$3:$D$7,--(Main!$A$64:$A$68="X"),--(Main!$N$64:$N$68=A11))</f>
        <v>0</v>
      </c>
      <c r="F11" s="1"/>
    </row>
    <row r="12" spans="1:20" x14ac:dyDescent="0.25">
      <c r="A12" s="1" t="s">
        <v>1833</v>
      </c>
      <c r="B12" s="1">
        <v>234</v>
      </c>
      <c r="C12" s="9" t="str">
        <f t="shared" si="0"/>
        <v>"sangvis_team_id": "0",</v>
      </c>
      <c r="D12" s="1" t="s">
        <v>1822</v>
      </c>
      <c r="E12" s="1">
        <f>SUMPRODUCT('SF Team'!$D$3:$D$7,--(Main!$A$64:$A$68="X"),--(Main!$N$64:$N$68=A12))</f>
        <v>0</v>
      </c>
      <c r="F12" s="1"/>
    </row>
    <row r="13" spans="1:20" x14ac:dyDescent="0.25">
      <c r="A13" s="1" t="s">
        <v>1834</v>
      </c>
      <c r="B13" s="1">
        <v>251</v>
      </c>
      <c r="C13" s="9" t="str">
        <f t="shared" si="0"/>
        <v>"sangvis_team_id": "0",</v>
      </c>
      <c r="D13" s="1" t="s">
        <v>1822</v>
      </c>
      <c r="E13" s="1">
        <f>SUMPRODUCT('SF Team'!$D$3:$D$7,--(Main!$A$64:$A$68="X"),--(Main!$N$64:$N$68=A13))</f>
        <v>0</v>
      </c>
      <c r="F13" s="1"/>
    </row>
    <row r="14" spans="1:20" x14ac:dyDescent="0.25">
      <c r="A14" s="1" t="s">
        <v>1835</v>
      </c>
      <c r="B14" s="1">
        <v>273</v>
      </c>
      <c r="C14" s="9" t="str">
        <f t="shared" si="0"/>
        <v>"sangvis_team_id": "0",</v>
      </c>
      <c r="D14" s="1" t="s">
        <v>1822</v>
      </c>
      <c r="E14" s="1">
        <f>SUMPRODUCT('SF Team'!$D$3:$D$7,--(Main!$A$64:$A$68="X"),--(Main!$N$64:$N$68=A14))</f>
        <v>0</v>
      </c>
      <c r="F14" s="1"/>
    </row>
    <row r="15" spans="1:20" x14ac:dyDescent="0.25">
      <c r="A15" s="1" t="s">
        <v>1836</v>
      </c>
      <c r="B15" s="1">
        <v>295</v>
      </c>
      <c r="C15" s="9" t="str">
        <f t="shared" si="0"/>
        <v>"sangvis_team_id": "0",</v>
      </c>
      <c r="D15" s="1" t="s">
        <v>1822</v>
      </c>
      <c r="E15" s="1">
        <f>SUMPRODUCT('SF Team'!$D$3:$D$7,--(Main!$A$64:$A$68="X"),--(Main!$N$64:$N$68=A15))</f>
        <v>0</v>
      </c>
      <c r="F15" s="1"/>
    </row>
    <row r="16" spans="1:20" x14ac:dyDescent="0.25">
      <c r="A16" s="1" t="s">
        <v>1837</v>
      </c>
      <c r="B16" s="1">
        <v>317</v>
      </c>
      <c r="C16" s="9" t="str">
        <f t="shared" si="0"/>
        <v>"sangvis_team_id": "0",</v>
      </c>
      <c r="D16" s="1" t="s">
        <v>1822</v>
      </c>
      <c r="E16" s="1">
        <f>SUMPRODUCT('SF Team'!$D$3:$D$7,--(Main!$A$64:$A$68="X"),--(Main!$N$64:$N$68=A16))</f>
        <v>0</v>
      </c>
      <c r="F16" s="1"/>
    </row>
    <row r="17" spans="1:6" x14ac:dyDescent="0.25">
      <c r="A17" s="1" t="s">
        <v>1838</v>
      </c>
      <c r="B17" s="1">
        <v>339</v>
      </c>
      <c r="C17" s="9" t="str">
        <f t="shared" si="0"/>
        <v>"sangvis_team_id": "0",</v>
      </c>
      <c r="D17" s="1" t="s">
        <v>1822</v>
      </c>
      <c r="E17" s="1">
        <f>SUMPRODUCT('SF Team'!$D$3:$D$7,--(Main!$A$64:$A$68="X"),--(Main!$N$64:$N$68=A17))</f>
        <v>0</v>
      </c>
      <c r="F17" s="1"/>
    </row>
    <row r="18" spans="1:6" x14ac:dyDescent="0.25">
      <c r="A18" s="1" t="s">
        <v>1839</v>
      </c>
      <c r="B18" s="1">
        <v>366</v>
      </c>
      <c r="C18" s="9" t="str">
        <f t="shared" si="0"/>
        <v>"sangvis_team_id": "0",</v>
      </c>
      <c r="D18" s="1" t="s">
        <v>1822</v>
      </c>
      <c r="E18" s="1">
        <f>SUMPRODUCT('SF Team'!$D$3:$D$7,--(Main!$A$64:$A$68="X"),--(Main!$N$64:$N$68=A18))</f>
        <v>0</v>
      </c>
      <c r="F18" s="1"/>
    </row>
    <row r="19" spans="1:6" x14ac:dyDescent="0.25">
      <c r="A19" s="1" t="s">
        <v>1840</v>
      </c>
      <c r="B19" s="1">
        <v>383</v>
      </c>
      <c r="C19" s="9" t="str">
        <f t="shared" si="0"/>
        <v>"sangvis_team_id": "0",</v>
      </c>
      <c r="D19" s="1" t="s">
        <v>1822</v>
      </c>
      <c r="E19" s="1">
        <f>SUMPRODUCT('SF Team'!$D$3:$D$7,--(Main!$A$64:$A$68="X"),--(Main!$N$64:$N$68=A19))</f>
        <v>0</v>
      </c>
      <c r="F19" s="1"/>
    </row>
    <row r="20" spans="1:6" x14ac:dyDescent="0.25">
      <c r="A20" s="1" t="s">
        <v>1841</v>
      </c>
      <c r="B20" s="1">
        <v>405</v>
      </c>
      <c r="C20" s="9" t="str">
        <f t="shared" si="0"/>
        <v>"sangvis_team_id": "0",</v>
      </c>
      <c r="D20" s="1" t="s">
        <v>1822</v>
      </c>
      <c r="E20" s="1">
        <f>SUMPRODUCT('SF Team'!$D$3:$D$7,--(Main!$A$64:$A$68="X"),--(Main!$N$64:$N$68=A20))</f>
        <v>0</v>
      </c>
      <c r="F20" s="1"/>
    </row>
    <row r="21" spans="1:6" x14ac:dyDescent="0.25">
      <c r="A21" s="1" t="s">
        <v>1842</v>
      </c>
      <c r="B21" s="1">
        <v>432</v>
      </c>
      <c r="C21" s="9" t="str">
        <f t="shared" si="0"/>
        <v>"sangvis_team_id": "0",</v>
      </c>
      <c r="D21" s="1" t="s">
        <v>1822</v>
      </c>
      <c r="E21" s="1">
        <f>SUMPRODUCT('SF Team'!$D$3:$D$7,--(Main!$A$64:$A$68="X"),--(Main!$N$64:$N$68=A21))</f>
        <v>0</v>
      </c>
      <c r="F21" s="1"/>
    </row>
    <row r="22" spans="1:6" x14ac:dyDescent="0.25">
      <c r="A22" s="1" t="s">
        <v>1843</v>
      </c>
      <c r="B22" s="1">
        <v>454</v>
      </c>
      <c r="C22" s="9" t="str">
        <f t="shared" si="0"/>
        <v>"sangvis_team_id": "0",</v>
      </c>
      <c r="D22" s="1" t="s">
        <v>1822</v>
      </c>
      <c r="E22" s="1">
        <f>SUMPRODUCT('SF Team'!$D$3:$D$7,--(Main!$A$64:$A$68="X"),--(Main!$N$64:$N$68=A22))</f>
        <v>0</v>
      </c>
      <c r="F22" s="1"/>
    </row>
    <row r="23" spans="1:6" x14ac:dyDescent="0.25">
      <c r="A23" s="1" t="s">
        <v>1844</v>
      </c>
      <c r="B23" s="1">
        <v>471</v>
      </c>
      <c r="C23" s="9" t="str">
        <f t="shared" si="0"/>
        <v>"sangvis_team_id": "0",</v>
      </c>
      <c r="D23" s="1" t="s">
        <v>1822</v>
      </c>
      <c r="E23" s="1">
        <f>SUMPRODUCT('SF Team'!$D$3:$D$7,--(Main!$A$64:$A$68="X"),--(Main!$N$64:$N$68=A23))</f>
        <v>0</v>
      </c>
      <c r="F23" s="1"/>
    </row>
    <row r="24" spans="1:6" x14ac:dyDescent="0.25">
      <c r="A24" s="1" t="s">
        <v>1845</v>
      </c>
      <c r="B24" s="1">
        <v>493</v>
      </c>
      <c r="C24" s="9" t="str">
        <f t="shared" si="0"/>
        <v>"sangvis_team_id": "0",</v>
      </c>
      <c r="D24" s="1" t="s">
        <v>1822</v>
      </c>
      <c r="E24" s="1">
        <f>SUMPRODUCT('SF Team'!$D$3:$D$7,--(Main!$A$64:$A$68="X"),--(Main!$N$64:$N$68=A24))</f>
        <v>0</v>
      </c>
      <c r="F24" s="1"/>
    </row>
    <row r="25" spans="1:6" x14ac:dyDescent="0.25">
      <c r="A25" s="1" t="s">
        <v>1846</v>
      </c>
      <c r="B25" s="1">
        <v>515</v>
      </c>
      <c r="C25" s="9" t="str">
        <f t="shared" si="0"/>
        <v>"sangvis_team_id": "0",</v>
      </c>
      <c r="D25" s="1" t="s">
        <v>1822</v>
      </c>
      <c r="E25" s="1">
        <f>SUMPRODUCT('SF Team'!$D$3:$D$7,--(Main!$A$64:$A$68="X"),--(Main!$N$64:$N$68=A25))</f>
        <v>0</v>
      </c>
      <c r="F25" s="1"/>
    </row>
    <row r="26" spans="1:6" x14ac:dyDescent="0.25">
      <c r="A26" s="1" t="s">
        <v>1847</v>
      </c>
      <c r="B26" s="1">
        <v>537</v>
      </c>
      <c r="C26" s="9" t="str">
        <f t="shared" si="0"/>
        <v>"sangvis_team_id": "0",</v>
      </c>
      <c r="D26" s="1" t="s">
        <v>1822</v>
      </c>
      <c r="E26" s="1">
        <f>SUMPRODUCT('SF Team'!$D$3:$D$7,--(Main!$A$64:$A$68="X"),--(Main!$N$64:$N$68=A26))</f>
        <v>0</v>
      </c>
      <c r="F26" s="1"/>
    </row>
    <row r="27" spans="1:6" x14ac:dyDescent="0.25">
      <c r="A27" s="1" t="s">
        <v>1848</v>
      </c>
      <c r="B27" s="1">
        <v>564</v>
      </c>
      <c r="C27" s="9" t="str">
        <f t="shared" si="0"/>
        <v>"sangvis_team_id": "0",</v>
      </c>
      <c r="D27" s="1" t="s">
        <v>1822</v>
      </c>
      <c r="E27" s="1">
        <f>SUMPRODUCT('SF Team'!$D$3:$D$7,--(Main!$A$64:$A$68="X"),--(Main!$N$64:$N$68=A27))</f>
        <v>0</v>
      </c>
      <c r="F27" s="1"/>
    </row>
    <row r="28" spans="1:6" x14ac:dyDescent="0.25">
      <c r="A28" s="1" t="s">
        <v>1849</v>
      </c>
      <c r="B28" s="1">
        <v>586</v>
      </c>
      <c r="C28" s="9" t="str">
        <f t="shared" si="0"/>
        <v>"sangvis_team_id": "0",</v>
      </c>
      <c r="D28" s="1" t="s">
        <v>1822</v>
      </c>
      <c r="E28" s="1">
        <f>SUMPRODUCT('SF Team'!$D$3:$D$7,--(Main!$A$64:$A$68="X"),--(Main!$N$64:$N$68=A28))</f>
        <v>0</v>
      </c>
      <c r="F28" s="1"/>
    </row>
    <row r="29" spans="1:6" x14ac:dyDescent="0.25">
      <c r="A29" s="1" t="s">
        <v>1850</v>
      </c>
      <c r="B29" s="1">
        <v>603</v>
      </c>
      <c r="C29" s="9" t="str">
        <f t="shared" si="0"/>
        <v>"sangvis_team_id": "0",</v>
      </c>
      <c r="D29" s="1" t="s">
        <v>1822</v>
      </c>
      <c r="E29" s="1">
        <f>SUMPRODUCT('SF Team'!$D$3:$D$7,--(Main!$A$64:$A$68="X"),--(Main!$N$64:$N$68=A29))</f>
        <v>0</v>
      </c>
      <c r="F29" s="1"/>
    </row>
    <row r="30" spans="1:6" x14ac:dyDescent="0.25">
      <c r="A30" s="1" t="s">
        <v>1851</v>
      </c>
      <c r="B30" s="1">
        <v>625</v>
      </c>
      <c r="C30" s="9" t="str">
        <f t="shared" si="0"/>
        <v>"sangvis_team_id": "0",</v>
      </c>
      <c r="D30" s="1" t="s">
        <v>1822</v>
      </c>
      <c r="E30" s="1">
        <f>SUMPRODUCT('SF Team'!$D$3:$D$7,--(Main!$A$64:$A$68="X"),--(Main!$N$64:$N$68=A30))</f>
        <v>0</v>
      </c>
      <c r="F30" s="1"/>
    </row>
    <row r="31" spans="1:6" x14ac:dyDescent="0.25">
      <c r="A31" s="1" t="s">
        <v>1852</v>
      </c>
      <c r="B31" s="1">
        <v>648</v>
      </c>
      <c r="C31" s="9" t="str">
        <f t="shared" si="0"/>
        <v>"sangvis_team_id": "0",</v>
      </c>
      <c r="D31" s="1" t="s">
        <v>1822</v>
      </c>
      <c r="E31" s="1">
        <f>SUMPRODUCT('SF Team'!$D$3:$D$7,--(Main!$A$64:$A$68="X"),--(Main!$N$64:$N$68=A31))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853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851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852</v>
      </c>
      <c r="B5" s="1">
        <v>8</v>
      </c>
      <c r="C5" s="9" t="str">
        <f>CHAR(34)&amp;A5&amp;CHAR(34)&amp;": "&amp;CHAR(34)&amp;BossHP&amp;CHAR(34)&amp;","</f>
        <v>"boss_hp": "178000",</v>
      </c>
    </row>
    <row r="6" spans="1:3" x14ac:dyDescent="0.25">
      <c r="A6" t="s">
        <v>854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855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1861</v>
      </c>
      <c r="B8" s="1">
        <v>13</v>
      </c>
      <c r="C8" s="9" t="str">
        <f>CHAR(34)&amp;A8&amp;CHAR(34)&amp;": ["&amp;EnemyID&amp;"]"</f>
        <v>"target_train_teams": [9411321,9411322,9411323,9411324,9411325,9411326,9411327,9411328,9411329]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S1" workbookViewId="0">
      <selection activeCell="AC17" sqref="AC17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275</v>
      </c>
      <c r="I1" s="10" t="s">
        <v>860</v>
      </c>
      <c r="Q1" s="10" t="s">
        <v>861</v>
      </c>
      <c r="Y1" s="10" t="s">
        <v>862</v>
      </c>
      <c r="Z1" s="10"/>
      <c r="AH1" s="10" t="s">
        <v>895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280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879</v>
      </c>
      <c r="AJ2" s="102" t="s">
        <v>881</v>
      </c>
      <c r="AK2" s="102" t="s">
        <v>880</v>
      </c>
      <c r="AL2" s="103" t="s">
        <v>878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INDEX($B$3:$G$8,MATCH(Main!$C21,$A$3:$A$8,0),MATCH(J$2,$B$2:$G$2,0))</f>
        <v>1</v>
      </c>
      <c r="K3" s="66">
        <f>INDEX($B$3:$G$8,MATCH(Main!$C21,$A$3:$A$8,0),MATCH(K$2,$B$2:$G$2,0))</f>
        <v>1</v>
      </c>
      <c r="L3" s="66">
        <f>INDEX($B$3:$G$8,MATCH(Main!$C21,$A$3:$A$8,0),MATCH(L$2,$B$2:$G$2,0))</f>
        <v>1</v>
      </c>
      <c r="M3" s="66">
        <f>INDEX($B$3:$G$8,MATCH(Main!$C21,$A$3:$A$8,0),MATCH(M$2,$B$2:$G$2,0))</f>
        <v>1</v>
      </c>
      <c r="N3" s="66">
        <f>INDEX($B$3:$G$8,MATCH(Main!$C21,$A$3:$A$8,0),MATCH(N$2,$B$2:$G$2,0))</f>
        <v>1</v>
      </c>
      <c r="O3" s="67">
        <f>INDEX($B$3:$G$8,MATCH(Main!$C21,$A$3:$A$8,0),MATCH(O$2,$B$2:$G$2,0))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Main!E21</f>
        <v>115</v>
      </c>
      <c r="AA3" s="130">
        <f>IF(AND(UseCustomStats,Main!Y21&lt;&gt;""),Main!Y21,_xlfn.CEILING.MATH((J10+($Z3-1)*J17)*J3*J38/100))</f>
        <v>124</v>
      </c>
      <c r="AB3" s="130">
        <f>IF(AND(UseCustomStats,Main!Z21&lt;&gt;""),Main!Z21,_xlfn.CEILING.MATH(K10*K3*K38/100)+_xlfn.CEILING.MATH((K31+($Z3-1)*K24)*K3*K38*$P38/100/100))</f>
        <v>47</v>
      </c>
      <c r="AC3" s="130">
        <f>IF(AND(UseCustomStats,Main!AA21&lt;&gt;""),Main!AA21,_xlfn.CEILING.MATH(L10*L3*L38/100)+_xlfn.CEILING.MATH((L31+($Z3-1)*L24)*L3*L38*$P38/100/100))</f>
        <v>97</v>
      </c>
      <c r="AD3" s="69">
        <f>IF(AND(UseCustomStats,Main!AB21&lt;&gt;""),Main!AB21,_xlfn.CEILING.MATH(M10*M3*M38/100)+_xlfn.CEILING.MATH((M31+($Z3-1)*M24)*M3*M38*$P38/100/100))</f>
        <v>47</v>
      </c>
      <c r="AE3" s="69">
        <f>IF(AND(UseCustomStats,Main!AC21&lt;&gt;""),Main!AC21,_xlfn.CEILING.MATH(N10*N3*N38/100)+_xlfn.CEILING.MATH((N31+($Z3-1)*N24)*N3*N38*$P38/100/100))</f>
        <v>44</v>
      </c>
      <c r="AF3" s="70">
        <f>_xlfn.CEILING.MATH((O10+($Z3-1)*O17)*O3*O38/100)</f>
        <v>0</v>
      </c>
      <c r="AH3" s="47" t="s">
        <v>870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INDEX($B$3:$G$8,MATCH(Main!$C22,$A$3:$A$8,0),MATCH(J$2,$B$2:$G$2,0))</f>
        <v>0.8</v>
      </c>
      <c r="K4" s="73">
        <f>INDEX($B$3:$G$8,MATCH(Main!$C22,$A$3:$A$8,0),MATCH(K$2,$B$2:$G$2,0))</f>
        <v>2.4</v>
      </c>
      <c r="L4" s="73">
        <f>INDEX($B$3:$G$8,MATCH(Main!$C22,$A$3:$A$8,0),MATCH(L$2,$B$2:$G$2,0))</f>
        <v>0.5</v>
      </c>
      <c r="M4" s="73">
        <f>INDEX($B$3:$G$8,MATCH(Main!$C22,$A$3:$A$8,0),MATCH(M$2,$B$2:$G$2,0))</f>
        <v>1.6</v>
      </c>
      <c r="N4" s="73">
        <f>INDEX($B$3:$G$8,MATCH(Main!$C22,$A$3:$A$8,0),MATCH(N$2,$B$2:$G$2,0))</f>
        <v>0.8</v>
      </c>
      <c r="O4" s="74">
        <f>INDEX($B$3:$G$8,MATCH(Main!$C22,$A$3:$A$8,0),MATCH(O$2,$B$2:$G$2,0))</f>
        <v>0</v>
      </c>
      <c r="Q4" s="71">
        <v>2</v>
      </c>
      <c r="R4" s="72">
        <f t="shared" ref="R4:R7" si="1">J4</f>
        <v>0.8</v>
      </c>
      <c r="S4" s="73">
        <f t="shared" ref="S4:S7" si="2">K4</f>
        <v>2.4</v>
      </c>
      <c r="T4" s="73">
        <f t="shared" ref="T4:T7" si="3">L4</f>
        <v>0.5</v>
      </c>
      <c r="U4" s="73">
        <f t="shared" ref="U4:U7" si="4">M4</f>
        <v>1.6</v>
      </c>
      <c r="V4" s="73">
        <f t="shared" ref="V4:V7" si="5">N4</f>
        <v>0.8</v>
      </c>
      <c r="W4" s="74">
        <f t="shared" ref="W4:W7" si="6">O4</f>
        <v>0</v>
      </c>
      <c r="Y4" s="71">
        <v>2</v>
      </c>
      <c r="Z4" s="75">
        <f>Main!E22</f>
        <v>100</v>
      </c>
      <c r="AA4" s="76">
        <f>IF(AND(UseCustomStats,Main!Y22&lt;&gt;""),Main!Y22,_xlfn.CEILING.MATH((J11+($Z4-1)*J18)*J4*J39/100))</f>
        <v>73</v>
      </c>
      <c r="AB4" s="76">
        <f>IF(AND(UseCustomStats,Main!Z22&lt;&gt;""),Main!Z22,_xlfn.CEILING.MATH(K11*K4*K39/100)+_xlfn.CEILING.MATH((K32+($Z4-1)*K25)*K4*K39*$P39/100/100))</f>
        <v>146</v>
      </c>
      <c r="AC4" s="76">
        <f>IF(AND(UseCustomStats,Main!AA22&lt;&gt;""),Main!AA22,_xlfn.CEILING.MATH(L11*L4*L39/100)+_xlfn.CEILING.MATH((L32+($Z4-1)*L25)*L4*L39*$P39/100/100))</f>
        <v>34</v>
      </c>
      <c r="AD4" s="76">
        <f>IF(AND(UseCustomStats,Main!AB22&lt;&gt;""),Main!AB22,_xlfn.CEILING.MATH(M11*M4*M39/100)+_xlfn.CEILING.MATH((M32+($Z4-1)*M25)*M4*M39*$P39/100/100))</f>
        <v>90</v>
      </c>
      <c r="AE4" s="76">
        <f>IF(AND(UseCustomStats,Main!AC22&lt;&gt;""),Main!AC22,_xlfn.CEILING.MATH(N11*N4*N39/100)+_xlfn.CEILING.MATH((N32+($Z4-1)*N25)*N4*N39*$P39/100/100))</f>
        <v>44</v>
      </c>
      <c r="AF4" s="77">
        <f t="shared" ref="AF4:AF7" si="7">_xlfn.CEILING.MATH((O11+($Z4-1)*O18)*O4*O39/100)</f>
        <v>0</v>
      </c>
      <c r="AH4" s="47" t="s">
        <v>871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INDEX($B$3:$G$8,MATCH(Main!$C23,$A$3:$A$8,0),MATCH(J$2,$B$2:$G$2,0))</f>
        <v>0.6</v>
      </c>
      <c r="K5" s="73">
        <f>INDEX($B$3:$G$8,MATCH(Main!$C23,$A$3:$A$8,0),MATCH(K$2,$B$2:$G$2,0))</f>
        <v>0.6</v>
      </c>
      <c r="L5" s="73">
        <f>INDEX($B$3:$G$8,MATCH(Main!$C23,$A$3:$A$8,0),MATCH(L$2,$B$2:$G$2,0))</f>
        <v>0.8</v>
      </c>
      <c r="M5" s="73">
        <f>INDEX($B$3:$G$8,MATCH(Main!$C23,$A$3:$A$8,0),MATCH(M$2,$B$2:$G$2,0))</f>
        <v>1.2</v>
      </c>
      <c r="N5" s="73">
        <f>INDEX($B$3:$G$8,MATCH(Main!$C23,$A$3:$A$8,0),MATCH(N$2,$B$2:$G$2,0))</f>
        <v>1.8</v>
      </c>
      <c r="O5" s="74">
        <f>INDEX($B$3:$G$8,MATCH(Main!$C23,$A$3:$A$8,0),MATCH(O$2,$B$2:$G$2,0))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Main!E23</f>
        <v>100</v>
      </c>
      <c r="AA5" s="76">
        <f>IF(AND(UseCustomStats,Main!Y23&lt;&gt;""),Main!Y23,_xlfn.CEILING.MATH((J12+($Z5-1)*J19)*J5*J40/100))</f>
        <v>68</v>
      </c>
      <c r="AB5" s="76">
        <f>IF(AND(UseCustomStats,Main!Z23&lt;&gt;""),Main!Z23,_xlfn.CEILING.MATH(K12*K5*K40/100)+_xlfn.CEILING.MATH((K33+($Z5-1)*K26)*K5*K40*$P40/100/100))</f>
        <v>35</v>
      </c>
      <c r="AC5" s="76">
        <f>IF(AND(UseCustomStats,Main!AA23&lt;&gt;""),Main!AA23,_xlfn.CEILING.MATH(L12*L5*L40/100)+_xlfn.CEILING.MATH((L33+($Z5-1)*L26)*L5*L40*$P40/100/100))</f>
        <v>57</v>
      </c>
      <c r="AD5" s="76">
        <f>IF(AND(UseCustomStats,Main!AB23&lt;&gt;""),Main!AB23,_xlfn.CEILING.MATH(M12*M5*M40/100)+_xlfn.CEILING.MATH((M33+($Z5-1)*M26)*M5*M40*$P40/100/100))</f>
        <v>69</v>
      </c>
      <c r="AE5" s="76">
        <f>IF(AND(UseCustomStats,Main!AC23&lt;&gt;""),Main!AC23,_xlfn.CEILING.MATH(N12*N5*N40/100)+_xlfn.CEILING.MATH((N33+($Z5-1)*N26)*N5*N40*$P40/100/100))</f>
        <v>93</v>
      </c>
      <c r="AF5" s="77">
        <f t="shared" si="7"/>
        <v>0</v>
      </c>
      <c r="AH5" s="47" t="s">
        <v>872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INDEX($B$3:$G$8,MATCH(Main!$C24,$A$3:$A$8,0),MATCH(J$2,$B$2:$G$2,0))</f>
        <v>0.6</v>
      </c>
      <c r="K6" s="73">
        <f>INDEX($B$3:$G$8,MATCH(Main!$C24,$A$3:$A$8,0),MATCH(K$2,$B$2:$G$2,0))</f>
        <v>0.6</v>
      </c>
      <c r="L6" s="73">
        <f>INDEX($B$3:$G$8,MATCH(Main!$C24,$A$3:$A$8,0),MATCH(L$2,$B$2:$G$2,0))</f>
        <v>0.8</v>
      </c>
      <c r="M6" s="73">
        <f>INDEX($B$3:$G$8,MATCH(Main!$C24,$A$3:$A$8,0),MATCH(M$2,$B$2:$G$2,0))</f>
        <v>1.2</v>
      </c>
      <c r="N6" s="73">
        <f>INDEX($B$3:$G$8,MATCH(Main!$C24,$A$3:$A$8,0),MATCH(N$2,$B$2:$G$2,0))</f>
        <v>1.8</v>
      </c>
      <c r="O6" s="74">
        <f>INDEX($B$3:$G$8,MATCH(Main!$C24,$A$3:$A$8,0),MATCH(O$2,$B$2:$G$2,0))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Main!E24</f>
        <v>100</v>
      </c>
      <c r="AA6" s="76">
        <f>IF(AND(UseCustomStats,Main!Y24&lt;&gt;""),Main!Y24,_xlfn.CEILING.MATH((J13+($Z6-1)*J20)*J6*J41/100))</f>
        <v>57</v>
      </c>
      <c r="AB6" s="76">
        <f>IF(AND(UseCustomStats,Main!Z24&lt;&gt;""),Main!Z24,_xlfn.CEILING.MATH(K13*K6*K41/100)+_xlfn.CEILING.MATH((K34+($Z6-1)*K27)*K6*K41*$P41/100/100))</f>
        <v>25</v>
      </c>
      <c r="AC6" s="76">
        <f>IF(AND(UseCustomStats,Main!AA24&lt;&gt;""),Main!AA24,_xlfn.CEILING.MATH(L13*L6*L41/100)+_xlfn.CEILING.MATH((L34+($Z6-1)*L27)*L6*L41*$P41/100/100))</f>
        <v>63</v>
      </c>
      <c r="AD6" s="76">
        <f>IF(AND(UseCustomStats,Main!AB24&lt;&gt;""),Main!AB24,_xlfn.CEILING.MATH(M13*M6*M41/100)+_xlfn.CEILING.MATH((M34+($Z6-1)*M27)*M6*M41*$P41/100/100))</f>
        <v>59</v>
      </c>
      <c r="AE6" s="76">
        <f>IF(AND(UseCustomStats,Main!AC24&lt;&gt;""),Main!AC24,_xlfn.CEILING.MATH(N13*N6*N41/100)+_xlfn.CEILING.MATH((N34+($Z6-1)*N27)*N6*N41*$P41/100/100))</f>
        <v>100</v>
      </c>
      <c r="AF6" s="77">
        <f t="shared" si="7"/>
        <v>0</v>
      </c>
      <c r="AH6" s="47" t="s">
        <v>873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INDEX($B$3:$G$8,MATCH(Main!$C25,$A$3:$A$8,0),MATCH(J$2,$B$2:$G$2,0))</f>
        <v>0.6</v>
      </c>
      <c r="K7" s="80">
        <f>INDEX($B$3:$G$8,MATCH(Main!$C25,$A$3:$A$8,0),MATCH(K$2,$B$2:$G$2,0))</f>
        <v>0.6</v>
      </c>
      <c r="L7" s="80">
        <f>INDEX($B$3:$G$8,MATCH(Main!$C25,$A$3:$A$8,0),MATCH(L$2,$B$2:$G$2,0))</f>
        <v>0.8</v>
      </c>
      <c r="M7" s="80">
        <f>INDEX($B$3:$G$8,MATCH(Main!$C25,$A$3:$A$8,0),MATCH(M$2,$B$2:$G$2,0))</f>
        <v>1.2</v>
      </c>
      <c r="N7" s="80">
        <f>INDEX($B$3:$G$8,MATCH(Main!$C25,$A$3:$A$8,0),MATCH(N$2,$B$2:$G$2,0))</f>
        <v>1.8</v>
      </c>
      <c r="O7" s="81">
        <f>INDEX($B$3:$G$8,MATCH(Main!$C25,$A$3:$A$8,0),MATCH(O$2,$B$2:$G$2,0))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Main!E25</f>
        <v>100</v>
      </c>
      <c r="AA7" s="83">
        <f>IF(AND(UseCustomStats,Main!Y25&lt;&gt;""),Main!Y25,_xlfn.CEILING.MATH((J14+($Z7-1)*J21)*J7*J42/100))</f>
        <v>70</v>
      </c>
      <c r="AB7" s="83">
        <f>IF(AND(UseCustomStats,Main!Z25&lt;&gt;""),Main!Z25,_xlfn.CEILING.MATH(K14*K7*K42/100)+_xlfn.CEILING.MATH((K35+($Z7-1)*K28)*K7*K42*$P42/100/100))</f>
        <v>28</v>
      </c>
      <c r="AC7" s="83">
        <f>IF(AND(UseCustomStats,Main!AA25&lt;&gt;""),Main!AA25,_xlfn.CEILING.MATH(L14*L7*L42/100)+_xlfn.CEILING.MATH((L35+($Z7-1)*L28)*L7*L42*$P42/100/100))</f>
        <v>62</v>
      </c>
      <c r="AD7" s="83">
        <f>IF(AND(UseCustomStats,Main!AB25&lt;&gt;""),Main!AB25,_xlfn.CEILING.MATH(M14*M7*M42/100)+_xlfn.CEILING.MATH((M35+($Z7-1)*M28)*M7*M42*$P42/100/100))</f>
        <v>66</v>
      </c>
      <c r="AE7" s="83">
        <f>IF(AND(UseCustomStats,Main!AC25&lt;&gt;""),Main!AC25,_xlfn.CEILING.MATH(N14*N7*N42/100)+_xlfn.CEILING.MATH((N35+($Z7-1)*N28)*N7*N42*$P42/100/100))</f>
        <v>110</v>
      </c>
      <c r="AF7" s="84">
        <f t="shared" si="7"/>
        <v>0</v>
      </c>
      <c r="AH7" s="47" t="s">
        <v>874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875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271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271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281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876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IF(Main!$I21&gt;0,B$11,B$19)</f>
        <v>96.283000000000001</v>
      </c>
      <c r="K10" s="86">
        <f>IF(Main!$I21&gt;0,C$11,C$19)</f>
        <v>16</v>
      </c>
      <c r="L10" s="86">
        <f>IF(Main!$I21&gt;0,D$11,D$19)</f>
        <v>45</v>
      </c>
      <c r="M10" s="86">
        <f>IF(Main!$I21&gt;0,E$11,E$19)</f>
        <v>5</v>
      </c>
      <c r="N10" s="86">
        <f>IF(Main!$I21&gt;0,F$11,F$19)</f>
        <v>5</v>
      </c>
      <c r="O10" s="87">
        <f>IF(Main!$I21&gt;0,G$11,G$19)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61</v>
      </c>
      <c r="AB10" s="69">
        <f>_xlfn.CEILING.MATH(S10*S3*K38/100)+_xlfn.CEILING.MATH((S31+($Z10-1)*S24)*S3*K38*$P38/100/100)</f>
        <v>17</v>
      </c>
      <c r="AC10" s="69">
        <f>_xlfn.CEILING.MATH(T10*T3*L38/100)+_xlfn.CEILING.MATH((T31+($Z10-1)*T24)*T3*L38*$P38/100/100)</f>
        <v>66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8" t="s">
        <v>1794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IF(Main!$I22&gt;0,B$11,B$19)</f>
        <v>55</v>
      </c>
      <c r="K11" s="89">
        <f>IF(Main!$I22&gt;0,C$11,C$19)</f>
        <v>16</v>
      </c>
      <c r="L11" s="89">
        <f>IF(Main!$I22&gt;0,D$11,D$19)</f>
        <v>45</v>
      </c>
      <c r="M11" s="89">
        <f>IF(Main!$I22&gt;0,E$11,E$19)</f>
        <v>5</v>
      </c>
      <c r="N11" s="89">
        <f>IF(Main!$I22&gt;0,F$11,F$19)</f>
        <v>5</v>
      </c>
      <c r="O11" s="90">
        <f>IF(Main!$I22&gt;0,G$11,G$19)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37</v>
      </c>
      <c r="AB11" s="76">
        <f t="shared" ref="AB11:AE11" si="16">_xlfn.CEILING.MATH(S11*S4*K39/100)+_xlfn.CEILING.MATH((S32+($Z11-1)*S25)*S4*K39*$P39/100/100)</f>
        <v>47</v>
      </c>
      <c r="AC11" s="76">
        <f t="shared" si="16"/>
        <v>22</v>
      </c>
      <c r="AD11" s="76">
        <f t="shared" si="16"/>
        <v>10</v>
      </c>
      <c r="AE11" s="76">
        <f t="shared" si="16"/>
        <v>5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IF(Main!$I23&gt;0,B$11,B$19)</f>
        <v>55</v>
      </c>
      <c r="K12" s="89">
        <f>IF(Main!$I23&gt;0,C$11,C$19)</f>
        <v>16</v>
      </c>
      <c r="L12" s="89">
        <f>IF(Main!$I23&gt;0,D$11,D$19)</f>
        <v>45</v>
      </c>
      <c r="M12" s="89">
        <f>IF(Main!$I23&gt;0,E$11,E$19)</f>
        <v>5</v>
      </c>
      <c r="N12" s="89">
        <f>IF(Main!$I23&gt;0,F$11,F$19)</f>
        <v>5</v>
      </c>
      <c r="O12" s="90">
        <f>IF(Main!$I23&gt;0,G$11,G$19)</f>
        <v>2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34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37</v>
      </c>
      <c r="AD12" s="76">
        <f t="shared" si="18"/>
        <v>8</v>
      </c>
      <c r="AE12" s="76">
        <f t="shared" si="18"/>
        <v>11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IF(Main!$I24&gt;0,B$11,B$19)</f>
        <v>55</v>
      </c>
      <c r="K13" s="89">
        <f>IF(Main!$I24&gt;0,C$11,C$19)</f>
        <v>16</v>
      </c>
      <c r="L13" s="89">
        <f>IF(Main!$I24&gt;0,D$11,D$19)</f>
        <v>45</v>
      </c>
      <c r="M13" s="89">
        <f>IF(Main!$I24&gt;0,E$11,E$19)</f>
        <v>5</v>
      </c>
      <c r="N13" s="89">
        <f>IF(Main!$I24&gt;0,F$11,F$19)</f>
        <v>5</v>
      </c>
      <c r="O13" s="90">
        <f>IF(Main!$I24&gt;0,G$11,G$19)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29</v>
      </c>
      <c r="AB13" s="76">
        <f t="shared" ref="AB13:AE13" si="19">_xlfn.CEILING.MATH(S13*S6*K41/100)+_xlfn.CEILING.MATH((S34+($Z13-1)*S27)*S6*K41*$P41/100/100)</f>
        <v>9</v>
      </c>
      <c r="AC13" s="76">
        <f t="shared" si="19"/>
        <v>42</v>
      </c>
      <c r="AD13" s="76">
        <f t="shared" si="19"/>
        <v>7</v>
      </c>
      <c r="AE13" s="76">
        <f t="shared" si="19"/>
        <v>12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IF(Main!$I25&gt;0,B$11,B$19)</f>
        <v>55</v>
      </c>
      <c r="K14" s="92">
        <f>IF(Main!$I25&gt;0,C$11,C$19)</f>
        <v>16</v>
      </c>
      <c r="L14" s="92">
        <f>IF(Main!$I25&gt;0,D$11,D$19)</f>
        <v>45</v>
      </c>
      <c r="M14" s="92">
        <f>IF(Main!$I25&gt;0,E$11,E$19)</f>
        <v>5</v>
      </c>
      <c r="N14" s="92">
        <f>IF(Main!$I25&gt;0,F$11,F$19)</f>
        <v>5</v>
      </c>
      <c r="O14" s="93">
        <f>IF(Main!$I25&gt;0,G$11,G$19)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35</v>
      </c>
      <c r="AB14" s="83">
        <f t="shared" ref="AB14:AE14" si="20">_xlfn.CEILING.MATH(S14*S7*K42/100)+_xlfn.CEILING.MATH((S35+($Z14-1)*S28)*S7*K42*$P42/100/100)</f>
        <v>10</v>
      </c>
      <c r="AC14" s="83">
        <f t="shared" si="20"/>
        <v>41</v>
      </c>
      <c r="AD14" s="83">
        <f t="shared" si="20"/>
        <v>8</v>
      </c>
      <c r="AE14" s="83">
        <f t="shared" si="20"/>
        <v>13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272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272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769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IF(Main!$I21&gt;0,B$12,B$20)</f>
        <v>0.13800000000000001</v>
      </c>
      <c r="K17" s="86">
        <f>IF(Main!$I21&gt;0,C$12,C$20)</f>
        <v>16</v>
      </c>
      <c r="L17" s="86">
        <f>IF(Main!$I21&gt;0,D$12,D$20)</f>
        <v>45</v>
      </c>
      <c r="M17" s="86">
        <f>IF(Main!$I21&gt;0,E$12,E$20)</f>
        <v>5</v>
      </c>
      <c r="N17" s="86">
        <f>IF(Main!$I21&gt;0,F$12,F$20)</f>
        <v>5</v>
      </c>
      <c r="O17" s="87">
        <f>IF(Main!$I21&gt;0,G$12,G$20)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30</v>
      </c>
      <c r="AC17" s="69">
        <f>AC3-AC10</f>
        <v>31</v>
      </c>
      <c r="AD17" s="69">
        <f>AD3-AD10</f>
        <v>41</v>
      </c>
      <c r="AE17" s="69">
        <f>AE3-AE10</f>
        <v>38</v>
      </c>
      <c r="AF17" s="36"/>
    </row>
    <row r="18" spans="1:32" x14ac:dyDescent="0.25">
      <c r="A18" s="59" t="s">
        <v>276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IF(Main!$I22&gt;0,B$12,B$20)</f>
        <v>0.55500000000000005</v>
      </c>
      <c r="K18" s="89">
        <f>IF(Main!$I22&gt;0,C$12,C$20)</f>
        <v>16</v>
      </c>
      <c r="L18" s="89">
        <f>IF(Main!$I22&gt;0,D$12,D$20)</f>
        <v>45</v>
      </c>
      <c r="M18" s="89">
        <f>IF(Main!$I22&gt;0,E$12,E$20)</f>
        <v>5</v>
      </c>
      <c r="N18" s="89">
        <f>IF(Main!$I22&gt;0,F$12,F$20)</f>
        <v>5</v>
      </c>
      <c r="O18" s="90">
        <f>IF(Main!$I22&gt;0,G$12,G$20)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99</v>
      </c>
      <c r="AC18" s="76">
        <f t="shared" si="28"/>
        <v>12</v>
      </c>
      <c r="AD18" s="76">
        <f t="shared" si="28"/>
        <v>80</v>
      </c>
      <c r="AE18" s="76">
        <f t="shared" si="28"/>
        <v>39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IF(Main!$I23&gt;0,B$12,B$20)</f>
        <v>0.55500000000000005</v>
      </c>
      <c r="K19" s="89">
        <f>IF(Main!$I23&gt;0,C$12,C$20)</f>
        <v>16</v>
      </c>
      <c r="L19" s="89">
        <f>IF(Main!$I23&gt;0,D$12,D$20)</f>
        <v>45</v>
      </c>
      <c r="M19" s="89">
        <f>IF(Main!$I23&gt;0,E$12,E$20)</f>
        <v>5</v>
      </c>
      <c r="N19" s="89">
        <f>IF(Main!$I23&gt;0,F$12,F$20)</f>
        <v>5</v>
      </c>
      <c r="O19" s="90">
        <f>IF(Main!$I23&gt;0,G$12,G$20)</f>
        <v>0.161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23</v>
      </c>
      <c r="AC19" s="76">
        <f t="shared" si="29"/>
        <v>20</v>
      </c>
      <c r="AD19" s="76">
        <f t="shared" si="29"/>
        <v>61</v>
      </c>
      <c r="AE19" s="76">
        <f t="shared" si="29"/>
        <v>82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IF(Main!$I24&gt;0,B$12,B$20)</f>
        <v>0.55500000000000005</v>
      </c>
      <c r="K20" s="89">
        <f>IF(Main!$I24&gt;0,C$12,C$20)</f>
        <v>16</v>
      </c>
      <c r="L20" s="89">
        <f>IF(Main!$I24&gt;0,D$12,D$20)</f>
        <v>45</v>
      </c>
      <c r="M20" s="89">
        <f>IF(Main!$I24&gt;0,E$12,E$20)</f>
        <v>5</v>
      </c>
      <c r="N20" s="89">
        <f>IF(Main!$I24&gt;0,F$12,F$20)</f>
        <v>5</v>
      </c>
      <c r="O20" s="90">
        <f>IF(Main!$I24&gt;0,G$12,G$20)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16</v>
      </c>
      <c r="AC20" s="76">
        <f t="shared" si="30"/>
        <v>21</v>
      </c>
      <c r="AD20" s="76">
        <f t="shared" si="30"/>
        <v>52</v>
      </c>
      <c r="AE20" s="76">
        <f t="shared" si="30"/>
        <v>88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IF(Main!$I25&gt;0,B$12,B$20)</f>
        <v>0.55500000000000005</v>
      </c>
      <c r="K21" s="92">
        <f>IF(Main!$I25&gt;0,C$12,C$20)</f>
        <v>16</v>
      </c>
      <c r="L21" s="92">
        <f>IF(Main!$I25&gt;0,D$12,D$20)</f>
        <v>45</v>
      </c>
      <c r="M21" s="92">
        <f>IF(Main!$I25&gt;0,E$12,E$20)</f>
        <v>5</v>
      </c>
      <c r="N21" s="92">
        <f>IF(Main!$I25&gt;0,F$12,F$20)</f>
        <v>5</v>
      </c>
      <c r="O21" s="93">
        <f>IF(Main!$I25&gt;0,G$12,G$20)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18</v>
      </c>
      <c r="AC21" s="83">
        <f t="shared" si="31"/>
        <v>21</v>
      </c>
      <c r="AD21" s="83">
        <f t="shared" si="31"/>
        <v>58</v>
      </c>
      <c r="AE21" s="83">
        <f t="shared" si="31"/>
        <v>97</v>
      </c>
      <c r="AF21" s="38"/>
    </row>
    <row r="22" spans="1:32" x14ac:dyDescent="0.25">
      <c r="A22" s="59" t="s">
        <v>277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273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273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IF(Main!$I21&gt;0,B$15,B$23)</f>
        <v>0</v>
      </c>
      <c r="K24" s="86">
        <f>IF(Main!$I21&gt;0,C$15,C$23)</f>
        <v>0.06</v>
      </c>
      <c r="L24" s="86">
        <f>IF(Main!$I21&gt;0,D$15,D$23)</f>
        <v>2.1999999999999999E-2</v>
      </c>
      <c r="M24" s="86">
        <f>IF(Main!$I21&gt;0,E$15,E$23)</f>
        <v>7.4999999999999997E-2</v>
      </c>
      <c r="N24" s="86">
        <f>IF(Main!$I21&gt;0,F$15,F$23)</f>
        <v>7.4999999999999997E-2</v>
      </c>
      <c r="O24" s="87">
        <f>IF(Main!$I21&gt;0,G$15,G$23)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IF(Main!$I22&gt;0,B$15,B$23)</f>
        <v>0</v>
      </c>
      <c r="K25" s="89">
        <f>IF(Main!$I22&gt;0,C$15,C$23)</f>
        <v>0.24199999999999999</v>
      </c>
      <c r="L25" s="89">
        <f>IF(Main!$I22&gt;0,D$15,D$23)</f>
        <v>0.18099999999999999</v>
      </c>
      <c r="M25" s="89">
        <f>IF(Main!$I22&gt;0,E$15,E$23)</f>
        <v>0.30299999999999999</v>
      </c>
      <c r="N25" s="89">
        <f>IF(Main!$I22&gt;0,F$15,F$23)</f>
        <v>0.30299999999999999</v>
      </c>
      <c r="O25" s="90">
        <f>IF(Main!$I22&gt;0,G$15,G$23)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IF(Main!$I23&gt;0,B$15,B$23)</f>
        <v>0</v>
      </c>
      <c r="K26" s="89">
        <f>IF(Main!$I23&gt;0,C$15,C$23)</f>
        <v>0.24199999999999999</v>
      </c>
      <c r="L26" s="89">
        <f>IF(Main!$I23&gt;0,D$15,D$23)</f>
        <v>0.18099999999999999</v>
      </c>
      <c r="M26" s="89">
        <f>IF(Main!$I23&gt;0,E$15,E$23)</f>
        <v>0.30299999999999999</v>
      </c>
      <c r="N26" s="89">
        <f>IF(Main!$I23&gt;0,F$15,F$23)</f>
        <v>0.30299999999999999</v>
      </c>
      <c r="O26" s="90">
        <f>IF(Main!$I23&gt;0,G$15,G$23)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IF(Main!$I24&gt;0,B$15,B$23)</f>
        <v>0</v>
      </c>
      <c r="K27" s="89">
        <f>IF(Main!$I24&gt;0,C$15,C$23)</f>
        <v>0.24199999999999999</v>
      </c>
      <c r="L27" s="89">
        <f>IF(Main!$I24&gt;0,D$15,D$23)</f>
        <v>0.18099999999999999</v>
      </c>
      <c r="M27" s="89">
        <f>IF(Main!$I24&gt;0,E$15,E$23)</f>
        <v>0.30299999999999999</v>
      </c>
      <c r="N27" s="89">
        <f>IF(Main!$I24&gt;0,F$15,F$23)</f>
        <v>0.30299999999999999</v>
      </c>
      <c r="O27" s="90">
        <f>IF(Main!$I24&gt;0,G$15,G$23)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IF(Main!$I25&gt;0,B$15,B$23)</f>
        <v>0</v>
      </c>
      <c r="K28" s="92">
        <f>IF(Main!$I25&gt;0,C$15,C$23)</f>
        <v>0.24199999999999999</v>
      </c>
      <c r="L28" s="92">
        <f>IF(Main!$I25&gt;0,D$15,D$23)</f>
        <v>0.18099999999999999</v>
      </c>
      <c r="M28" s="92">
        <f>IF(Main!$I25&gt;0,E$15,E$23)</f>
        <v>0.30299999999999999</v>
      </c>
      <c r="N28" s="92">
        <f>IF(Main!$I25&gt;0,F$15,F$23)</f>
        <v>0.30299999999999999</v>
      </c>
      <c r="O28" s="93">
        <f>IF(Main!$I25&gt;0,G$15,G$23)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274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274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IF(Main!$I21&gt;0,B$16,B$24)</f>
        <v>0</v>
      </c>
      <c r="K31" s="3">
        <f>IF(Main!$I21&gt;0,C$16,C$24)</f>
        <v>18.018000000000001</v>
      </c>
      <c r="L31" s="3">
        <f>IF(Main!$I21&gt;0,D$16,D$24)</f>
        <v>15.741</v>
      </c>
      <c r="M31" s="3">
        <f>IF(Main!$I21&gt;0,E$16,E$24)</f>
        <v>22.571999999999999</v>
      </c>
      <c r="N31" s="3">
        <f>IF(Main!$I21&gt;0,F$16,F$24)</f>
        <v>22.571999999999999</v>
      </c>
      <c r="O31" s="4">
        <f>IF(Main!$I21&gt;0,G$16,G$24)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IF(Main!$I22&gt;0,B$16,B$24)</f>
        <v>0</v>
      </c>
      <c r="K32" s="13">
        <f>IF(Main!$I22&gt;0,C$16,C$24)</f>
        <v>0</v>
      </c>
      <c r="L32" s="13">
        <f>IF(Main!$I22&gt;0,D$16,D$24)</f>
        <v>0</v>
      </c>
      <c r="M32" s="13">
        <f>IF(Main!$I22&gt;0,E$16,E$24)</f>
        <v>0</v>
      </c>
      <c r="N32" s="13">
        <f>IF(Main!$I22&gt;0,F$16,F$24)</f>
        <v>0</v>
      </c>
      <c r="O32" s="14">
        <f>IF(Main!$I22&gt;0,G$16,G$24)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IF(Main!$I23&gt;0,B$16,B$24)</f>
        <v>0</v>
      </c>
      <c r="K33" s="13">
        <f>IF(Main!$I23&gt;0,C$16,C$24)</f>
        <v>0</v>
      </c>
      <c r="L33" s="13">
        <f>IF(Main!$I23&gt;0,D$16,D$24)</f>
        <v>0</v>
      </c>
      <c r="M33" s="13">
        <f>IF(Main!$I23&gt;0,E$16,E$24)</f>
        <v>0</v>
      </c>
      <c r="N33" s="13">
        <f>IF(Main!$I23&gt;0,F$16,F$24)</f>
        <v>0</v>
      </c>
      <c r="O33" s="14">
        <f>IF(Main!$I23&gt;0,G$16,G$24)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IF(Main!$I24&gt;0,B$16,B$24)</f>
        <v>0</v>
      </c>
      <c r="K34" s="13">
        <f>IF(Main!$I24&gt;0,C$16,C$24)</f>
        <v>0</v>
      </c>
      <c r="L34" s="13">
        <f>IF(Main!$I24&gt;0,D$16,D$24)</f>
        <v>0</v>
      </c>
      <c r="M34" s="13">
        <f>IF(Main!$I24&gt;0,E$16,E$24)</f>
        <v>0</v>
      </c>
      <c r="N34" s="13">
        <f>IF(Main!$I24&gt;0,F$16,F$24)</f>
        <v>0</v>
      </c>
      <c r="O34" s="14">
        <f>IF(Main!$I24&gt;0,G$16,G$24)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IF(Main!$I25&gt;0,B$16,B$24)</f>
        <v>0</v>
      </c>
      <c r="K35" s="6">
        <f>IF(Main!$I25&gt;0,C$16,C$24)</f>
        <v>0</v>
      </c>
      <c r="L35" s="6">
        <f>IF(Main!$I25&gt;0,D$16,D$24)</f>
        <v>0</v>
      </c>
      <c r="M35" s="6">
        <f>IF(Main!$I25&gt;0,E$16,E$24)</f>
        <v>0</v>
      </c>
      <c r="N35" s="6">
        <f>IF(Main!$I25&gt;0,F$16,F$24)</f>
        <v>0</v>
      </c>
      <c r="O35" s="7">
        <f>IF(Main!$I25&gt;0,G$16,G$24)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278</v>
      </c>
      <c r="J37" s="2" t="s">
        <v>1158</v>
      </c>
      <c r="K37" s="3" t="s">
        <v>1159</v>
      </c>
      <c r="L37" s="3" t="s">
        <v>1160</v>
      </c>
      <c r="M37" s="3" t="s">
        <v>1161</v>
      </c>
      <c r="N37" s="3" t="s">
        <v>1162</v>
      </c>
      <c r="O37" s="3" t="s">
        <v>1163</v>
      </c>
      <c r="P37" s="4" t="s">
        <v>1164</v>
      </c>
      <c r="Q37"/>
    </row>
    <row r="38" spans="9:23" x14ac:dyDescent="0.25">
      <c r="I38" s="15">
        <v>1</v>
      </c>
      <c r="J38" s="20">
        <f>INDEX('Doll Data'!$U$2:$AE$1048576,MATCH(Main!$D21,'Doll Data'!$C$2:$C$1048576,0),MATCH(J$37,'Doll Data'!$U$1:$AE$1,0))</f>
        <v>110</v>
      </c>
      <c r="K38" s="21">
        <f>INDEX('Doll Data'!$U$2:$AE$1048576,MATCH(Main!$D21,'Doll Data'!$C$2:$C$1048576,0),MATCH(K$37,'Doll Data'!$U$1:$AE$1,0))</f>
        <v>105</v>
      </c>
      <c r="L38" s="21">
        <f>INDEX('Doll Data'!$U$2:$AE$1048576,MATCH(Main!$D21,'Doll Data'!$C$2:$C$1048576,0),MATCH(L$37,'Doll Data'!$U$1:$AE$1,0))</f>
        <v>145</v>
      </c>
      <c r="M38" s="21">
        <f>INDEX('Doll Data'!$U$2:$AE$1048576,MATCH(Main!$D21,'Doll Data'!$C$2:$C$1048576,0),MATCH(M$37,'Doll Data'!$U$1:$AE$1,0))</f>
        <v>115</v>
      </c>
      <c r="N38" s="21">
        <f>INDEX('Doll Data'!$U$2:$AE$1048576,MATCH(Main!$D21,'Doll Data'!$C$2:$C$1048576,0),MATCH(N$37,'Doll Data'!$U$1:$AE$1,0))</f>
        <v>105</v>
      </c>
      <c r="O38" s="21">
        <f>INDEX('Doll Data'!$U$2:$AE$1048576,MATCH(Main!$D21,'Doll Data'!$C$2:$C$1048576,0),MATCH(O$37,'Doll Data'!$U$1:$AE$1,0))</f>
        <v>0</v>
      </c>
      <c r="P38" s="22">
        <f>INDEX('Doll Data'!$U$2:$AE$1048576,MATCH(Main!$D21,'Doll Data'!$C$2:$C$1048576,0),MATCH(P$37,'Doll Data'!$U$1:$AE$1,0))</f>
        <v>114</v>
      </c>
      <c r="Q38"/>
    </row>
    <row r="39" spans="9:23" x14ac:dyDescent="0.25">
      <c r="I39" s="17">
        <v>2</v>
      </c>
      <c r="J39" s="23">
        <f>INDEX('Doll Data'!$U$2:$AE$1048576,MATCH(Main!$D22,'Doll Data'!$C$2:$C$1048576,0),MATCH(J$37,'Doll Data'!$U$1:$AE$1,0))</f>
        <v>82</v>
      </c>
      <c r="K39" s="24">
        <f>INDEX('Doll Data'!$U$2:$AE$1048576,MATCH(Main!$D22,'Doll Data'!$C$2:$C$1048576,0),MATCH(K$37,'Doll Data'!$U$1:$AE$1,0))</f>
        <v>122</v>
      </c>
      <c r="L39" s="24">
        <f>INDEX('Doll Data'!$U$2:$AE$1048576,MATCH(Main!$D22,'Doll Data'!$C$2:$C$1048576,0),MATCH(L$37,'Doll Data'!$U$1:$AE$1,0))</f>
        <v>95</v>
      </c>
      <c r="M39" s="24">
        <f>INDEX('Doll Data'!$U$2:$AE$1048576,MATCH(Main!$D22,'Doll Data'!$C$2:$C$1048576,0),MATCH(M$37,'Doll Data'!$U$1:$AE$1,0))</f>
        <v>118</v>
      </c>
      <c r="N39" s="24">
        <f>INDEX('Doll Data'!$U$2:$AE$1048576,MATCH(Main!$D22,'Doll Data'!$C$2:$C$1048576,0),MATCH(N$37,'Doll Data'!$U$1:$AE$1,0))</f>
        <v>115</v>
      </c>
      <c r="O39" s="24">
        <f>INDEX('Doll Data'!$U$2:$AE$1048576,MATCH(Main!$D22,'Doll Data'!$C$2:$C$1048576,0),MATCH(O$37,'Doll Data'!$U$1:$AE$1,0))</f>
        <v>0</v>
      </c>
      <c r="P39" s="25">
        <f>INDEX('Doll Data'!$U$2:$AE$1048576,MATCH(Main!$D22,'Doll Data'!$C$2:$C$1048576,0),MATCH(P$37,'Doll Data'!$U$1:$AE$1,0))</f>
        <v>140</v>
      </c>
      <c r="Q39"/>
    </row>
    <row r="40" spans="9:23" x14ac:dyDescent="0.25">
      <c r="I40" s="17">
        <v>3</v>
      </c>
      <c r="J40" s="23">
        <f>INDEX('Doll Data'!$U$2:$AE$1048576,MATCH(Main!$D23,'Doll Data'!$C$2:$C$1048576,0),MATCH(J$37,'Doll Data'!$U$1:$AE$1,0))</f>
        <v>102</v>
      </c>
      <c r="K40" s="24">
        <f>INDEX('Doll Data'!$U$2:$AE$1048576,MATCH(Main!$D23,'Doll Data'!$C$2:$C$1048576,0),MATCH(K$37,'Doll Data'!$U$1:$AE$1,0))</f>
        <v>118</v>
      </c>
      <c r="L40" s="24">
        <f>INDEX('Doll Data'!$U$2:$AE$1048576,MATCH(Main!$D23,'Doll Data'!$C$2:$C$1048576,0),MATCH(L$37,'Doll Data'!$U$1:$AE$1,0))</f>
        <v>102</v>
      </c>
      <c r="M40" s="24">
        <f>INDEX('Doll Data'!$U$2:$AE$1048576,MATCH(Main!$D23,'Doll Data'!$C$2:$C$1048576,0),MATCH(M$37,'Doll Data'!$U$1:$AE$1,0))</f>
        <v>128</v>
      </c>
      <c r="N40" s="24">
        <f>INDEX('Doll Data'!$U$2:$AE$1048576,MATCH(Main!$D23,'Doll Data'!$C$2:$C$1048576,0),MATCH(N$37,'Doll Data'!$U$1:$AE$1,0))</f>
        <v>115</v>
      </c>
      <c r="O40" s="24">
        <f>INDEX('Doll Data'!$U$2:$AE$1048576,MATCH(Main!$D23,'Doll Data'!$C$2:$C$1048576,0),MATCH(O$37,'Doll Data'!$U$1:$AE$1,0))</f>
        <v>0</v>
      </c>
      <c r="P40" s="25">
        <f>INDEX('Doll Data'!$U$2:$AE$1048576,MATCH(Main!$D23,'Doll Data'!$C$2:$C$1048576,0),MATCH(P$37,'Doll Data'!$U$1:$AE$1,0))</f>
        <v>132</v>
      </c>
      <c r="Q40"/>
    </row>
    <row r="41" spans="9:23" x14ac:dyDescent="0.25">
      <c r="I41" s="17">
        <v>4</v>
      </c>
      <c r="J41" s="23">
        <f>INDEX('Doll Data'!$U$2:$AE$1048576,MATCH(Main!$D24,'Doll Data'!$C$2:$C$1048576,0),MATCH(J$37,'Doll Data'!$U$1:$AE$1,0))</f>
        <v>85</v>
      </c>
      <c r="K41" s="24">
        <f>INDEX('Doll Data'!$U$2:$AE$1048576,MATCH(Main!$D24,'Doll Data'!$C$2:$C$1048576,0),MATCH(K$37,'Doll Data'!$U$1:$AE$1,0))</f>
        <v>85</v>
      </c>
      <c r="L41" s="24">
        <f>INDEX('Doll Data'!$U$2:$AE$1048576,MATCH(Main!$D24,'Doll Data'!$C$2:$C$1048576,0),MATCH(L$37,'Doll Data'!$U$1:$AE$1,0))</f>
        <v>115</v>
      </c>
      <c r="M41" s="24">
        <f>INDEX('Doll Data'!$U$2:$AE$1048576,MATCH(Main!$D24,'Doll Data'!$C$2:$C$1048576,0),MATCH(M$37,'Doll Data'!$U$1:$AE$1,0))</f>
        <v>115</v>
      </c>
      <c r="N41" s="24">
        <f>INDEX('Doll Data'!$U$2:$AE$1048576,MATCH(Main!$D24,'Doll Data'!$C$2:$C$1048576,0),MATCH(N$37,'Doll Data'!$U$1:$AE$1,0))</f>
        <v>130</v>
      </c>
      <c r="O41" s="24">
        <f>INDEX('Doll Data'!$U$2:$AE$1048576,MATCH(Main!$D24,'Doll Data'!$C$2:$C$1048576,0),MATCH(O$37,'Doll Data'!$U$1:$AE$1,0))</f>
        <v>0</v>
      </c>
      <c r="P41" s="25">
        <f>INDEX('Doll Data'!$U$2:$AE$1048576,MATCH(Main!$D24,'Doll Data'!$C$2:$C$1048576,0),MATCH(P$37,'Doll Data'!$U$1:$AE$1,0))</f>
        <v>125</v>
      </c>
      <c r="Q41"/>
    </row>
    <row r="42" spans="9:23" x14ac:dyDescent="0.25">
      <c r="I42" s="18">
        <v>5</v>
      </c>
      <c r="J42" s="26">
        <f>INDEX('Doll Data'!$U$2:$AE$1048576,MATCH(Main!$D25,'Doll Data'!$C$2:$C$1048576,0),MATCH(J$37,'Doll Data'!$U$1:$AE$1,0))</f>
        <v>105</v>
      </c>
      <c r="K42" s="27">
        <f>INDEX('Doll Data'!$U$2:$AE$1048576,MATCH(Main!$D25,'Doll Data'!$C$2:$C$1048576,0),MATCH(K$37,'Doll Data'!$U$1:$AE$1,0))</f>
        <v>95</v>
      </c>
      <c r="L42" s="27">
        <f>INDEX('Doll Data'!$U$2:$AE$1048576,MATCH(Main!$D25,'Doll Data'!$C$2:$C$1048576,0),MATCH(L$37,'Doll Data'!$U$1:$AE$1,0))</f>
        <v>112</v>
      </c>
      <c r="M42" s="27">
        <f>INDEX('Doll Data'!$U$2:$AE$1048576,MATCH(Main!$D25,'Doll Data'!$C$2:$C$1048576,0),MATCH(M$37,'Doll Data'!$U$1:$AE$1,0))</f>
        <v>122</v>
      </c>
      <c r="N42" s="27">
        <f>INDEX('Doll Data'!$U$2:$AE$1048576,MATCH(Main!$D25,'Doll Data'!$C$2:$C$1048576,0),MATCH(N$37,'Doll Data'!$U$1:$AE$1,0))</f>
        <v>138</v>
      </c>
      <c r="O42" s="27">
        <f>INDEX('Doll Data'!$U$2:$AE$1048576,MATCH(Main!$D25,'Doll Data'!$C$2:$C$1048576,0),MATCH(O$37,'Doll Data'!$U$1:$AE$1,0))</f>
        <v>0</v>
      </c>
      <c r="P42" s="28">
        <f>INDEX('Doll Data'!$U$2:$AE$1048576,MATCH(Main!$D25,'Doll Data'!$C$2:$C$1048576,0),MATCH(P$37,'Doll Data'!$U$1:$AE$1,0))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topLeftCell="C1" workbookViewId="0">
      <selection activeCell="I12" sqref="I12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1114</v>
      </c>
      <c r="I1" s="10" t="s">
        <v>1108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1107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1074</v>
      </c>
      <c r="J2" s="60" t="s">
        <v>18</v>
      </c>
      <c r="K2" s="63" t="s">
        <v>1082</v>
      </c>
      <c r="L2" s="63" t="s">
        <v>1083</v>
      </c>
      <c r="M2" s="63" t="s">
        <v>1816</v>
      </c>
      <c r="N2" s="63" t="s">
        <v>1078</v>
      </c>
      <c r="O2" s="60" t="s">
        <v>1076</v>
      </c>
      <c r="P2" s="63" t="s">
        <v>1078</v>
      </c>
      <c r="Q2" s="63" t="s">
        <v>1110</v>
      </c>
      <c r="R2" s="63" t="s">
        <v>1111</v>
      </c>
      <c r="S2" s="63" t="s">
        <v>1109</v>
      </c>
      <c r="T2" s="63" t="s">
        <v>1142</v>
      </c>
      <c r="U2" s="63" t="s">
        <v>1144</v>
      </c>
      <c r="V2" s="64" t="s">
        <v>1143</v>
      </c>
      <c r="W2" s="140"/>
      <c r="X2" s="101" t="s">
        <v>1145</v>
      </c>
      <c r="Y2" s="140"/>
      <c r="Z2" s="140"/>
    </row>
    <row r="3" spans="1:26" x14ac:dyDescent="0.25">
      <c r="A3" s="60" t="s">
        <v>1089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Main!D37</f>
        <v>100</v>
      </c>
      <c r="K3" s="69">
        <f>Main!B37</f>
        <v>3</v>
      </c>
      <c r="L3" s="69">
        <f>Main!E37</f>
        <v>5</v>
      </c>
      <c r="M3" s="69">
        <f>Main!F37</f>
        <v>4</v>
      </c>
      <c r="N3" s="69" t="str">
        <f>IF(Main!B37=3,"BOSS",Main!G37)</f>
        <v>BOSS</v>
      </c>
      <c r="O3" s="68">
        <f>(INDEX('SF Data'!$M:$M,MATCH(Main!C37,'SF Data'!$C:$C,0))&amp;"0"&amp;M3)*1</f>
        <v>10604</v>
      </c>
      <c r="P3" s="69">
        <f>IF(N3="BOSS",100,INDEX($B$8:$G$8,MATCH(N3,$B$7:$G$7,0))*INDEX('SF Data'!AN:AN,MATCH(Main!C37,'SF Data'!C:C,0))/100)</f>
        <v>100</v>
      </c>
      <c r="Q3" s="69">
        <f>INDEX('SF Data'!AE:AE,MATCH(Main!C37,'SF Data'!C:C,0))</f>
        <v>110</v>
      </c>
      <c r="R3" s="69">
        <f>INDEX($B$11:$B$15,MATCH(MAX(K3,L3),$A$11:$A$15,0))</f>
        <v>120</v>
      </c>
      <c r="S3" s="69">
        <f>INDEX($B$3:$B$5,Main!$B37)</f>
        <v>4.79</v>
      </c>
      <c r="T3" s="69">
        <f>INDEX('SF Resolution'!F:F,MATCH(O3,'SF Resolution'!A:A,0))</f>
        <v>1</v>
      </c>
      <c r="U3" s="69">
        <f>INDEX('SF Data'!L:L,MATCH(Main!C37,'SF Data'!C:C,0))</f>
        <v>1</v>
      </c>
      <c r="V3" s="70">
        <f>INDEX('SF Resolution'!G:G,MATCH(O3,'SF Resolution'!A:A,0))</f>
        <v>384</v>
      </c>
      <c r="X3" s="137">
        <f t="shared" ref="X3:X11" si="0">_xlfn.CEILING.MATH(P3*Q3*R3*(J3+40-1)*S3*T3/U3/1000000,1)+V3*T3</f>
        <v>1263</v>
      </c>
      <c r="Y3" s="140"/>
      <c r="Z3" s="140"/>
    </row>
    <row r="4" spans="1:26" x14ac:dyDescent="0.25">
      <c r="A4" s="61" t="s">
        <v>1088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Main!D38</f>
        <v>100</v>
      </c>
      <c r="K4" s="76">
        <f>Main!B38</f>
        <v>2</v>
      </c>
      <c r="L4" s="76">
        <f>Main!E38</f>
        <v>5</v>
      </c>
      <c r="M4" s="76">
        <f>Main!F38</f>
        <v>4</v>
      </c>
      <c r="N4" s="76" t="str">
        <f>IF(Main!B38=3,"BOSS",Main!G38)</f>
        <v>XL</v>
      </c>
      <c r="O4" s="75">
        <f>(INDEX('SF Data'!$M:$M,MATCH(Main!C38,'SF Data'!$C:$C,0))&amp;"0"&amp;M4)*1</f>
        <v>20604</v>
      </c>
      <c r="P4" s="76">
        <f>IF(N4="BOSS",100,INDEX($B$8:$G$8,MATCH(N4,$B$7:$G$7,0))*INDEX('SF Data'!AN:AN,MATCH(Main!C38,'SF Data'!C:C,0))/100)</f>
        <v>82.500000000000014</v>
      </c>
      <c r="Q4" s="76">
        <f>INDEX('SF Data'!AE:AE,MATCH(Main!C38,'SF Data'!C:C,0))</f>
        <v>165</v>
      </c>
      <c r="R4" s="76">
        <f>INDEX($B$11:$B$15,MATCH(MAX(K4,L4),$A$11:$A$15,0))</f>
        <v>120</v>
      </c>
      <c r="S4" s="76">
        <f>INDEX($B$3:$B$5,Main!$B38)</f>
        <v>3.84</v>
      </c>
      <c r="T4" s="76">
        <f>INDEX('SF Resolution'!F:F,MATCH(O4,'SF Resolution'!A:A,0))</f>
        <v>1</v>
      </c>
      <c r="U4" s="76">
        <f>INDEX('SF Data'!L:L,MATCH(Main!C38,'SF Data'!C:C,0))</f>
        <v>1</v>
      </c>
      <c r="V4" s="77">
        <f>INDEX('SF Resolution'!G:G,MATCH(O4,'SF Resolution'!A:A,0))</f>
        <v>732</v>
      </c>
      <c r="X4" s="137">
        <f t="shared" si="0"/>
        <v>1604</v>
      </c>
      <c r="Y4" s="140"/>
      <c r="Z4" s="140"/>
    </row>
    <row r="5" spans="1:26" x14ac:dyDescent="0.25">
      <c r="A5" s="62" t="s">
        <v>1087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Main!D39</f>
        <v>100</v>
      </c>
      <c r="K5" s="76">
        <f>Main!B39</f>
        <v>2</v>
      </c>
      <c r="L5" s="76">
        <f>Main!E39</f>
        <v>5</v>
      </c>
      <c r="M5" s="76">
        <f>Main!F39</f>
        <v>4</v>
      </c>
      <c r="N5" s="76" t="str">
        <f>IF(Main!B39=3,"BOSS",Main!G39)</f>
        <v>XL</v>
      </c>
      <c r="O5" s="75">
        <f>(INDEX('SF Data'!$M:$M,MATCH(Main!C39,'SF Data'!$C:$C,0))&amp;"0"&amp;M5)*1</f>
        <v>20604</v>
      </c>
      <c r="P5" s="76">
        <f>IF(N5="BOSS",100,INDEX($B$8:$G$8,MATCH(N5,$B$7:$G$7,0))*INDEX('SF Data'!AN:AN,MATCH(Main!C39,'SF Data'!C:C,0))/100)</f>
        <v>82.500000000000014</v>
      </c>
      <c r="Q5" s="76">
        <f>INDEX('SF Data'!AE:AE,MATCH(Main!C39,'SF Data'!C:C,0))</f>
        <v>165</v>
      </c>
      <c r="R5" s="76">
        <f t="shared" ref="R5:R11" si="2">INDEX($B$11:$B$15,MATCH(MAX(K5,L5),$A$11:$A$15,0))</f>
        <v>120</v>
      </c>
      <c r="S5" s="76">
        <f>INDEX($B$3:$B$5,Main!$B39)</f>
        <v>3.84</v>
      </c>
      <c r="T5" s="76">
        <f>INDEX('SF Resolution'!F:F,MATCH(O5,'SF Resolution'!A:A,0))</f>
        <v>1</v>
      </c>
      <c r="U5" s="76">
        <f>INDEX('SF Data'!L:L,MATCH(Main!C39,'SF Data'!C:C,0))</f>
        <v>1</v>
      </c>
      <c r="V5" s="77">
        <f>INDEX('SF Resolution'!G:G,MATCH(O5,'SF Resolution'!A:A,0))</f>
        <v>732</v>
      </c>
      <c r="X5" s="137">
        <f t="shared" si="0"/>
        <v>1604</v>
      </c>
      <c r="Y5" s="140"/>
      <c r="Z5" s="140"/>
    </row>
    <row r="6" spans="1:26" x14ac:dyDescent="0.25">
      <c r="I6" s="142">
        <f t="shared" si="1"/>
        <v>4</v>
      </c>
      <c r="J6" s="75">
        <f>Main!D40</f>
        <v>100</v>
      </c>
      <c r="K6" s="76">
        <f>Main!B40</f>
        <v>1</v>
      </c>
      <c r="L6" s="76">
        <f>Main!E40</f>
        <v>5</v>
      </c>
      <c r="M6" s="76">
        <f>Main!F40</f>
        <v>4</v>
      </c>
      <c r="N6" s="76" t="str">
        <f>IF(Main!B40=3,"BOSS",Main!G40)</f>
        <v>XL</v>
      </c>
      <c r="O6" s="75">
        <f>(INDEX('SF Data'!$M:$M,MATCH(Main!C40,'SF Data'!$C:$C,0))&amp;"0"&amp;M6)*1</f>
        <v>30404</v>
      </c>
      <c r="P6" s="76">
        <f>IF(N6="BOSS",100,INDEX($B$8:$G$8,MATCH(N6,$B$7:$G$7,0))*INDEX('SF Data'!AN:AN,MATCH(Main!C40,'SF Data'!C:C,0))/100)</f>
        <v>104.50000000000001</v>
      </c>
      <c r="Q6" s="76">
        <f>INDEX('SF Data'!AE:AE,MATCH(Main!C40,'SF Data'!C:C,0))</f>
        <v>65</v>
      </c>
      <c r="R6" s="76">
        <f t="shared" si="2"/>
        <v>120</v>
      </c>
      <c r="S6" s="76">
        <f>INDEX($B$3:$B$5,Main!$B40)</f>
        <v>3.6</v>
      </c>
      <c r="T6" s="76">
        <f>INDEX('SF Resolution'!F:F,MATCH(O6,'SF Resolution'!A:A,0))</f>
        <v>5</v>
      </c>
      <c r="U6" s="76">
        <f>INDEX('SF Data'!L:L,MATCH(Main!C40,'SF Data'!C:C,0))</f>
        <v>5</v>
      </c>
      <c r="V6" s="77">
        <f>INDEX('SF Resolution'!G:G,MATCH(O6,'SF Resolution'!A:A,0))</f>
        <v>38</v>
      </c>
      <c r="X6" s="137">
        <f t="shared" si="0"/>
        <v>598</v>
      </c>
      <c r="Y6" s="140"/>
      <c r="Z6" s="140"/>
    </row>
    <row r="7" spans="1:26" x14ac:dyDescent="0.25">
      <c r="A7" s="240" t="s">
        <v>1090</v>
      </c>
      <c r="B7" s="60" t="s">
        <v>1113</v>
      </c>
      <c r="C7" s="63" t="s">
        <v>1091</v>
      </c>
      <c r="D7" s="63" t="s">
        <v>1092</v>
      </c>
      <c r="E7" s="63" t="s">
        <v>1093</v>
      </c>
      <c r="F7" s="63" t="s">
        <v>1077</v>
      </c>
      <c r="G7" s="64" t="s">
        <v>1087</v>
      </c>
      <c r="I7" s="142">
        <f t="shared" si="1"/>
        <v>5</v>
      </c>
      <c r="J7" s="75">
        <f>Main!D41</f>
        <v>0</v>
      </c>
      <c r="K7" s="76" t="str">
        <f>Main!B41</f>
        <v/>
      </c>
      <c r="L7" s="76">
        <f>Main!E41</f>
        <v>0</v>
      </c>
      <c r="M7" s="76">
        <f>Main!F41</f>
        <v>0</v>
      </c>
      <c r="N7" s="76">
        <f>IF(Main!B41=3,"BOSS",Main!G41)</f>
        <v>0</v>
      </c>
      <c r="O7" s="75" t="e">
        <f>(INDEX('SF Data'!$M:$M,MATCH(Main!C41,'SF Data'!$C:$C,0))&amp;"0"&amp;M7)*1</f>
        <v>#N/A</v>
      </c>
      <c r="P7" s="76" t="e">
        <f>IF(N7="BOSS",100,INDEX($B$8:$G$8,MATCH(N7,$B$7:$G$7,0))*INDEX('SF Data'!AN:AN,MATCH(Main!C41,'SF Data'!C:C,0))/100)</f>
        <v>#N/A</v>
      </c>
      <c r="Q7" s="76" t="e">
        <f>INDEX('SF Data'!AE:AE,MATCH(Main!C41,'SF Data'!C:C,0))</f>
        <v>#N/A</v>
      </c>
      <c r="R7" s="76" t="e">
        <f t="shared" si="2"/>
        <v>#N/A</v>
      </c>
      <c r="S7" s="76" t="e">
        <f>INDEX($B$3:$B$5,Main!$B41)</f>
        <v>#VALUE!</v>
      </c>
      <c r="T7" s="76" t="e">
        <f>INDEX('SF Resolution'!F:F,MATCH(O7,'SF Resolution'!A:A,0))</f>
        <v>#N/A</v>
      </c>
      <c r="U7" s="76" t="e">
        <f>INDEX('SF Data'!L:L,MATCH(Main!C41,'SF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41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Main!D42</f>
        <v>0</v>
      </c>
      <c r="K8" s="76" t="str">
        <f>Main!B42</f>
        <v/>
      </c>
      <c r="L8" s="76">
        <f>Main!E42</f>
        <v>0</v>
      </c>
      <c r="M8" s="76">
        <f>Main!F42</f>
        <v>0</v>
      </c>
      <c r="N8" s="76">
        <f>IF(Main!B42=3,"BOSS",Main!G42)</f>
        <v>0</v>
      </c>
      <c r="O8" s="75" t="e">
        <f>(INDEX('SF Data'!$M:$M,MATCH(Main!C42,'SF Data'!$C:$C,0))&amp;"0"&amp;M8)*1</f>
        <v>#N/A</v>
      </c>
      <c r="P8" s="76" t="e">
        <f>IF(N8="BOSS",100,INDEX($B$8:$G$8,MATCH(N8,$B$7:$G$7,0))*INDEX('SF Data'!AN:AN,MATCH(Main!C42,'SF Data'!C:C,0))/100)</f>
        <v>#N/A</v>
      </c>
      <c r="Q8" s="76" t="e">
        <f>INDEX('SF Data'!AE:AE,MATCH(Main!C42,'SF Data'!C:C,0))</f>
        <v>#N/A</v>
      </c>
      <c r="R8" s="76" t="e">
        <f t="shared" si="2"/>
        <v>#N/A</v>
      </c>
      <c r="S8" s="76" t="e">
        <f>INDEX($B$3:$B$5,Main!$B42)</f>
        <v>#VALUE!</v>
      </c>
      <c r="T8" s="76" t="e">
        <f>INDEX('SF Resolution'!F:F,MATCH(O8,'SF Resolution'!A:A,0))</f>
        <v>#N/A</v>
      </c>
      <c r="U8" s="76" t="e">
        <f>INDEX('SF Data'!L:L,MATCH(Main!C42,'SF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Main!D43</f>
        <v>0</v>
      </c>
      <c r="K9" s="76" t="str">
        <f>Main!B43</f>
        <v/>
      </c>
      <c r="L9" s="76">
        <f>Main!E43</f>
        <v>0</v>
      </c>
      <c r="M9" s="76">
        <f>Main!F43</f>
        <v>0</v>
      </c>
      <c r="N9" s="76">
        <f>IF(Main!B43=3,"BOSS",Main!G43)</f>
        <v>0</v>
      </c>
      <c r="O9" s="75" t="e">
        <f>(INDEX('SF Data'!$M:$M,MATCH(Main!C43,'SF Data'!$C:$C,0))&amp;"0"&amp;M9)*1</f>
        <v>#N/A</v>
      </c>
      <c r="P9" s="76" t="e">
        <f>IF(N9="BOSS",100,INDEX($B$8:$G$8,MATCH(N9,$B$7:$G$7,0))*INDEX('SF Data'!AN:AN,MATCH(Main!C43,'SF Data'!C:C,0))/100)</f>
        <v>#N/A</v>
      </c>
      <c r="Q9" s="76" t="e">
        <f>INDEX('SF Data'!AE:AE,MATCH(Main!C43,'SF Data'!C:C,0))</f>
        <v>#N/A</v>
      </c>
      <c r="R9" s="76" t="e">
        <f t="shared" si="2"/>
        <v>#N/A</v>
      </c>
      <c r="S9" s="76" t="e">
        <f>INDEX($B$3:$B$5,Main!$B43)</f>
        <v>#VALUE!</v>
      </c>
      <c r="T9" s="76" t="e">
        <f>INDEX('SF Resolution'!F:F,MATCH(O9,'SF Resolution'!A:A,0))</f>
        <v>#N/A</v>
      </c>
      <c r="U9" s="76" t="e">
        <f>INDEX('SF Data'!L:L,MATCH(Main!C43,'SF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1112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Main!D44</f>
        <v>0</v>
      </c>
      <c r="K10" s="76" t="str">
        <f>Main!B44</f>
        <v/>
      </c>
      <c r="L10" s="76">
        <f>Main!E44</f>
        <v>0</v>
      </c>
      <c r="M10" s="76">
        <f>Main!F44</f>
        <v>0</v>
      </c>
      <c r="N10" s="76">
        <f>IF(Main!B44=3,"BOSS",Main!G44)</f>
        <v>0</v>
      </c>
      <c r="O10" s="75" t="e">
        <f>(INDEX('SF Data'!$M:$M,MATCH(Main!C44,'SF Data'!$C:$C,0))&amp;"0"&amp;M10)*1</f>
        <v>#N/A</v>
      </c>
      <c r="P10" s="76" t="e">
        <f>IF(N10="BOSS",100,INDEX($B$8:$G$8,MATCH(N10,$B$7:$G$7,0))*INDEX('SF Data'!AN:AN,MATCH(Main!C44,'SF Data'!C:C,0))/100)</f>
        <v>#N/A</v>
      </c>
      <c r="Q10" s="76" t="e">
        <f>INDEX('SF Data'!AE:AE,MATCH(Main!C44,'SF Data'!C:C,0))</f>
        <v>#N/A</v>
      </c>
      <c r="R10" s="76" t="e">
        <f t="shared" si="2"/>
        <v>#N/A</v>
      </c>
      <c r="S10" s="76" t="e">
        <f>INDEX($B$3:$B$5,Main!$B44)</f>
        <v>#VALUE!</v>
      </c>
      <c r="T10" s="76" t="e">
        <f>INDEX('SF Resolution'!F:F,MATCH(O10,'SF Resolution'!A:A,0))</f>
        <v>#N/A</v>
      </c>
      <c r="U10" s="76" t="e">
        <f>INDEX('SF Data'!L:L,MATCH(Main!C44,'SF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Main!D45</f>
        <v>0</v>
      </c>
      <c r="K11" s="83" t="str">
        <f>Main!B45</f>
        <v/>
      </c>
      <c r="L11" s="83">
        <f>Main!E45</f>
        <v>0</v>
      </c>
      <c r="M11" s="83">
        <f>Main!F45</f>
        <v>0</v>
      </c>
      <c r="N11" s="83">
        <f>IF(Main!B45=3,"BOSS",Main!G45)</f>
        <v>0</v>
      </c>
      <c r="O11" s="82" t="e">
        <f>(INDEX('SF Data'!$M:$M,MATCH(Main!C45,'SF Data'!$C:$C,0))&amp;"0"&amp;M11)*1</f>
        <v>#N/A</v>
      </c>
      <c r="P11" s="83" t="e">
        <f>IF(N11="BOSS",100,INDEX($B$8:$G$8,MATCH(N11,$B$7:$G$7,0))*INDEX('SF Data'!AN:AN,MATCH(Main!C45,'SF Data'!C:C,0))/100)</f>
        <v>#N/A</v>
      </c>
      <c r="Q11" s="83" t="e">
        <f>INDEX('SF Data'!AE:AE,MATCH(Main!C45,'SF Data'!C:C,0))</f>
        <v>#N/A</v>
      </c>
      <c r="R11" s="83" t="e">
        <f t="shared" si="2"/>
        <v>#N/A</v>
      </c>
      <c r="S11" s="83" t="e">
        <f>INDEX($B$3:$B$5,Main!$B45)</f>
        <v>#VALUE!</v>
      </c>
      <c r="T11" s="83" t="e">
        <f>INDEX('SF Resolution'!F:F,MATCH(O11,'SF Resolution'!A:A,0))</f>
        <v>#N/A</v>
      </c>
      <c r="U11" s="83" t="e">
        <f>INDEX('SF Data'!L:L,MATCH(Main!C45,'SF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Main!D64</f>
        <v>100</v>
      </c>
      <c r="K12" s="69">
        <v>3</v>
      </c>
      <c r="L12" s="69">
        <f>Main!E64</f>
        <v>5</v>
      </c>
      <c r="M12" s="69">
        <f>Main!F64</f>
        <v>4</v>
      </c>
      <c r="N12" s="69" t="s">
        <v>1087</v>
      </c>
      <c r="O12" s="68">
        <f>(INDEX('SF Data'!$M:$M,MATCH(Main!C64,'SF Data'!$C:$C,0))&amp;"0"&amp;M12)*1</f>
        <v>10604</v>
      </c>
      <c r="P12" s="69">
        <v>100</v>
      </c>
      <c r="Q12" s="69">
        <f>INDEX('SF Data'!AE:AE,MATCH(Main!C64,'SF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Data'!L:L,MATCH(Main!C64,'SF Data'!C:C,0))</f>
        <v>1</v>
      </c>
      <c r="V12" s="70">
        <f>INDEX('SF Resolution'!G:G,MATCH(O12,'SF Resolution'!A:A,0))</f>
        <v>384</v>
      </c>
      <c r="X12" s="22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Main!D65</f>
        <v>100</v>
      </c>
      <c r="K13" s="76">
        <v>3</v>
      </c>
      <c r="L13" s="76">
        <f>Main!E65</f>
        <v>5</v>
      </c>
      <c r="M13" s="76">
        <f>Main!F65</f>
        <v>4</v>
      </c>
      <c r="N13" s="76" t="s">
        <v>1087</v>
      </c>
      <c r="O13" s="75">
        <f>(INDEX('SF Data'!$M:$M,MATCH(Main!C65,'SF Data'!$C:$C,0))&amp;"0"&amp;M13)*1</f>
        <v>10504</v>
      </c>
      <c r="P13" s="76">
        <v>100</v>
      </c>
      <c r="Q13" s="76">
        <f>INDEX('SF Data'!AE:AE,MATCH(Main!C65,'SF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Data'!L:L,MATCH(Main!C65,'SF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Main!D66</f>
        <v>100</v>
      </c>
      <c r="K14" s="76">
        <v>3</v>
      </c>
      <c r="L14" s="76">
        <f>Main!E66</f>
        <v>5</v>
      </c>
      <c r="M14" s="76">
        <f>Main!F66</f>
        <v>4</v>
      </c>
      <c r="N14" s="76" t="s">
        <v>1087</v>
      </c>
      <c r="O14" s="75">
        <f>(INDEX('SF Data'!$M:$M,MATCH(Main!C66,'SF Data'!$C:$C,0))&amp;"0"&amp;M14)*1</f>
        <v>10904</v>
      </c>
      <c r="P14" s="76">
        <v>100</v>
      </c>
      <c r="Q14" s="76">
        <f>INDEX('SF Data'!AE:AE,MATCH(Main!C66,'SF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Data'!L:L,MATCH(Main!C66,'SF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Main!D67</f>
        <v>100</v>
      </c>
      <c r="K15" s="76">
        <v>3</v>
      </c>
      <c r="L15" s="76">
        <f>Main!E67</f>
        <v>5</v>
      </c>
      <c r="M15" s="76">
        <f>Main!F67</f>
        <v>4</v>
      </c>
      <c r="N15" s="76" t="s">
        <v>1087</v>
      </c>
      <c r="O15" s="75">
        <f>(INDEX('SF Data'!$M:$M,MATCH(Main!C67,'SF Data'!$C:$C,0))&amp;"0"&amp;M15)*1</f>
        <v>11404</v>
      </c>
      <c r="P15" s="76">
        <v>100</v>
      </c>
      <c r="Q15" s="76">
        <f>INDEX('SF Data'!AE:AE,MATCH(Main!C67,'SF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Data'!L:L,MATCH(Main!C67,'SF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Main!D68</f>
        <v>100</v>
      </c>
      <c r="K16" s="83">
        <v>3</v>
      </c>
      <c r="L16" s="83">
        <f>Main!E68</f>
        <v>5</v>
      </c>
      <c r="M16" s="83">
        <f>Main!F68</f>
        <v>4</v>
      </c>
      <c r="N16" s="83" t="s">
        <v>1087</v>
      </c>
      <c r="O16" s="82">
        <f>(INDEX('SF Data'!$M:$M,MATCH(Main!C68,'SF Data'!$C:$C,0))&amp;"0"&amp;M16)*1</f>
        <v>11304</v>
      </c>
      <c r="P16" s="83">
        <v>100</v>
      </c>
      <c r="Q16" s="83">
        <f>INDEX('SF Data'!AE:AE,MATCH(Main!C68,'SF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Data'!L:L,MATCH(Main!C68,'SF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1115</v>
      </c>
      <c r="T17" s="19"/>
      <c r="U17" s="11"/>
      <c r="X17" s="1"/>
      <c r="Y17" s="29"/>
    </row>
    <row r="18" spans="1:25" x14ac:dyDescent="0.25">
      <c r="A18" s="147" t="s">
        <v>1116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T20" s="19"/>
      <c r="U20" s="11"/>
      <c r="X20" s="1"/>
      <c r="Y20" s="29"/>
    </row>
    <row r="21" spans="1:25" x14ac:dyDescent="0.25"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mergeCells count="1">
    <mergeCell ref="A7:A8"/>
  </mergeCells>
  <hyperlinks>
    <hyperlink ref="A18" r:id="rId1" xr:uid="{3AC34006-64FD-49BC-8CB8-8C14F4BE9691}"/>
  </hyperlinks>
  <pageMargins left="0.7" right="0.7" top="0.75" bottom="0.75" header="0.3" footer="0.3"/>
  <pageSetup orientation="portrait" horizontalDpi="0" verticalDpi="0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9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323</v>
      </c>
      <c r="C1" s="98" t="s">
        <v>61</v>
      </c>
      <c r="D1" s="43" t="s">
        <v>586</v>
      </c>
      <c r="E1" s="98" t="s">
        <v>637</v>
      </c>
      <c r="F1" s="98" t="s">
        <v>638</v>
      </c>
      <c r="G1" s="98" t="s">
        <v>639</v>
      </c>
      <c r="H1" s="98" t="s">
        <v>640</v>
      </c>
      <c r="I1" s="98" t="s">
        <v>641</v>
      </c>
      <c r="J1" s="98" t="s">
        <v>313</v>
      </c>
      <c r="K1" s="98" t="s">
        <v>588</v>
      </c>
    </row>
    <row r="2" spans="1:11" x14ac:dyDescent="0.25">
      <c r="A2" s="1">
        <v>9</v>
      </c>
      <c r="B2" t="s">
        <v>649</v>
      </c>
      <c r="C2" s="1">
        <v>4</v>
      </c>
      <c r="D2" t="s">
        <v>597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628</v>
      </c>
      <c r="C3" s="1">
        <v>2</v>
      </c>
      <c r="D3" t="s">
        <v>629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643</v>
      </c>
      <c r="C4" s="1">
        <v>3</v>
      </c>
      <c r="D4" t="s">
        <v>591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648</v>
      </c>
      <c r="C5" s="1">
        <v>4</v>
      </c>
      <c r="D5" t="s">
        <v>596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665</v>
      </c>
      <c r="C6" s="1">
        <v>6</v>
      </c>
      <c r="D6" t="s">
        <v>617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942</v>
      </c>
      <c r="C7" s="1">
        <v>3</v>
      </c>
      <c r="D7" t="s">
        <v>614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661</v>
      </c>
      <c r="C8" s="1">
        <v>6</v>
      </c>
      <c r="D8" t="s">
        <v>612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667</v>
      </c>
      <c r="C9" s="1">
        <v>2</v>
      </c>
      <c r="D9" t="s">
        <v>619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623</v>
      </c>
      <c r="C10" s="1">
        <v>3</v>
      </c>
      <c r="D10" t="s">
        <v>624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662</v>
      </c>
      <c r="C11" s="1">
        <v>6</v>
      </c>
      <c r="D11" t="s">
        <v>613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655</v>
      </c>
      <c r="C12" s="1">
        <v>1</v>
      </c>
      <c r="D12" t="s">
        <v>604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654</v>
      </c>
      <c r="C13" s="1">
        <v>6</v>
      </c>
      <c r="D13" t="s">
        <v>603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659</v>
      </c>
      <c r="C14" s="1">
        <v>2</v>
      </c>
      <c r="D14" t="s">
        <v>608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645</v>
      </c>
      <c r="C15" s="1">
        <v>5</v>
      </c>
      <c r="D15" t="s">
        <v>593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666</v>
      </c>
      <c r="C16" s="1">
        <v>6</v>
      </c>
      <c r="D16" t="s">
        <v>618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660</v>
      </c>
      <c r="C17" s="1">
        <v>2</v>
      </c>
      <c r="D17" t="s">
        <v>609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642</v>
      </c>
      <c r="C18" s="1">
        <v>2</v>
      </c>
      <c r="D18" t="s">
        <v>590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658</v>
      </c>
      <c r="C19" s="1">
        <v>2</v>
      </c>
      <c r="D19" t="s">
        <v>607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657</v>
      </c>
      <c r="C20" s="1">
        <v>1</v>
      </c>
      <c r="D20" t="s">
        <v>606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621</v>
      </c>
      <c r="C21" s="1">
        <v>6</v>
      </c>
      <c r="D21" t="s">
        <v>622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1657</v>
      </c>
      <c r="C22" s="1">
        <v>2</v>
      </c>
      <c r="D22" t="s">
        <v>1658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600</v>
      </c>
      <c r="C23" s="1">
        <v>6</v>
      </c>
      <c r="D23" t="s">
        <v>601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610</v>
      </c>
      <c r="C24" s="1">
        <v>6</v>
      </c>
      <c r="D24" t="s">
        <v>611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651</v>
      </c>
      <c r="C25" s="1">
        <v>5</v>
      </c>
      <c r="D25" t="s">
        <v>599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669</v>
      </c>
      <c r="C26" s="1">
        <v>2</v>
      </c>
      <c r="D26" t="s">
        <v>627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664</v>
      </c>
      <c r="C27" s="1">
        <v>1</v>
      </c>
      <c r="D27" t="s">
        <v>616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650</v>
      </c>
      <c r="C28" s="1">
        <v>5</v>
      </c>
      <c r="D28" t="s">
        <v>598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656</v>
      </c>
      <c r="C29" s="1">
        <v>1</v>
      </c>
      <c r="D29" t="s">
        <v>605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653</v>
      </c>
      <c r="C30" s="1">
        <v>6</v>
      </c>
      <c r="D30" t="s">
        <v>602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620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670</v>
      </c>
      <c r="C32" s="1">
        <v>2</v>
      </c>
      <c r="D32" t="s">
        <v>626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644</v>
      </c>
      <c r="C33" s="1">
        <v>3</v>
      </c>
      <c r="D33" t="s">
        <v>592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647</v>
      </c>
      <c r="C34" s="1">
        <v>4</v>
      </c>
      <c r="D34" t="s">
        <v>595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668</v>
      </c>
      <c r="C35" s="1">
        <v>6</v>
      </c>
      <c r="D35" t="s">
        <v>625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646</v>
      </c>
      <c r="C36" s="1">
        <v>3</v>
      </c>
      <c r="D36" t="s">
        <v>594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25</v>
      </c>
      <c r="B37" t="s">
        <v>663</v>
      </c>
      <c r="C37" s="1">
        <v>3</v>
      </c>
      <c r="D37" t="s">
        <v>615</v>
      </c>
      <c r="E37" s="99">
        <v>0</v>
      </c>
      <c r="F37" s="99">
        <v>100</v>
      </c>
      <c r="G37" s="99">
        <v>500</v>
      </c>
      <c r="H37" s="99">
        <v>1500</v>
      </c>
      <c r="I37" s="99">
        <v>3000</v>
      </c>
      <c r="J37" s="1">
        <v>1</v>
      </c>
      <c r="K37" s="1">
        <v>0</v>
      </c>
    </row>
    <row r="38" spans="1:11" x14ac:dyDescent="0.25">
      <c r="A38" s="1">
        <v>1</v>
      </c>
      <c r="B38" t="s">
        <v>652</v>
      </c>
      <c r="C38" s="1">
        <v>2</v>
      </c>
      <c r="D38" t="s">
        <v>589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30</v>
      </c>
      <c r="B39" t="s">
        <v>1770</v>
      </c>
      <c r="C39" s="1">
        <v>6</v>
      </c>
      <c r="D39" t="s">
        <v>1771</v>
      </c>
      <c r="E39" s="99">
        <v>0</v>
      </c>
      <c r="F39" s="99">
        <v>100</v>
      </c>
      <c r="G39" s="99">
        <v>200</v>
      </c>
      <c r="H39" s="99">
        <v>350</v>
      </c>
      <c r="I39" s="99">
        <v>550</v>
      </c>
      <c r="J39" s="1">
        <v>1</v>
      </c>
      <c r="K39" s="1">
        <v>1</v>
      </c>
    </row>
  </sheetData>
  <autoFilter ref="A1:K38" xr:uid="{E8DDA3D5-6745-4184-9D68-AAC802051D8B}">
    <sortState ref="A2:K39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585</v>
      </c>
      <c r="B1" s="43" t="s">
        <v>705</v>
      </c>
      <c r="C1" s="43" t="s">
        <v>706</v>
      </c>
    </row>
    <row r="2" spans="1:3" x14ac:dyDescent="0.25">
      <c r="A2" t="s">
        <v>675</v>
      </c>
      <c r="B2" s="1">
        <v>910103</v>
      </c>
      <c r="C2" t="s">
        <v>676</v>
      </c>
    </row>
    <row r="3" spans="1:3" x14ac:dyDescent="0.25">
      <c r="A3" t="s">
        <v>677</v>
      </c>
      <c r="B3" s="1">
        <v>910104</v>
      </c>
      <c r="C3" t="s">
        <v>678</v>
      </c>
    </row>
    <row r="4" spans="1:3" x14ac:dyDescent="0.25">
      <c r="A4" t="s">
        <v>695</v>
      </c>
      <c r="B4" s="1">
        <v>910113</v>
      </c>
      <c r="C4" t="s">
        <v>696</v>
      </c>
    </row>
    <row r="5" spans="1:3" x14ac:dyDescent="0.25">
      <c r="A5" t="s">
        <v>683</v>
      </c>
      <c r="B5" s="1">
        <v>910107</v>
      </c>
      <c r="C5" t="s">
        <v>684</v>
      </c>
    </row>
    <row r="6" spans="1:3" x14ac:dyDescent="0.25">
      <c r="A6" t="s">
        <v>685</v>
      </c>
      <c r="B6" s="1">
        <v>910108</v>
      </c>
      <c r="C6" t="s">
        <v>686</v>
      </c>
    </row>
    <row r="7" spans="1:3" x14ac:dyDescent="0.25">
      <c r="A7" t="s">
        <v>693</v>
      </c>
      <c r="B7" s="1">
        <v>910112</v>
      </c>
      <c r="C7" t="s">
        <v>694</v>
      </c>
    </row>
    <row r="8" spans="1:3" x14ac:dyDescent="0.25">
      <c r="A8" t="s">
        <v>691</v>
      </c>
      <c r="B8" s="1">
        <v>910111</v>
      </c>
      <c r="C8" t="s">
        <v>692</v>
      </c>
    </row>
    <row r="9" spans="1:3" x14ac:dyDescent="0.25">
      <c r="A9" t="s">
        <v>687</v>
      </c>
      <c r="B9" s="1">
        <v>910109</v>
      </c>
      <c r="C9" t="s">
        <v>688</v>
      </c>
    </row>
    <row r="10" spans="1:3" x14ac:dyDescent="0.25">
      <c r="A10" t="s">
        <v>689</v>
      </c>
      <c r="B10" s="1">
        <v>910110</v>
      </c>
      <c r="C10" t="s">
        <v>690</v>
      </c>
    </row>
    <row r="11" spans="1:3" x14ac:dyDescent="0.25">
      <c r="A11" t="s">
        <v>671</v>
      </c>
      <c r="B11" s="1">
        <v>910101</v>
      </c>
      <c r="C11" t="s">
        <v>672</v>
      </c>
    </row>
    <row r="12" spans="1:3" x14ac:dyDescent="0.25">
      <c r="A12" t="s">
        <v>673</v>
      </c>
      <c r="B12" s="1">
        <v>910102</v>
      </c>
      <c r="C12" t="s">
        <v>674</v>
      </c>
    </row>
    <row r="13" spans="1:3" x14ac:dyDescent="0.25">
      <c r="A13" t="s">
        <v>679</v>
      </c>
      <c r="B13" s="1">
        <v>910105</v>
      </c>
      <c r="C13" t="s">
        <v>680</v>
      </c>
    </row>
    <row r="14" spans="1:3" x14ac:dyDescent="0.25">
      <c r="A14" t="s">
        <v>681</v>
      </c>
      <c r="B14" s="1">
        <v>910106</v>
      </c>
      <c r="C14" t="s">
        <v>682</v>
      </c>
    </row>
    <row r="15" spans="1:3" x14ac:dyDescent="0.25">
      <c r="A15" t="s">
        <v>703</v>
      </c>
      <c r="B15" s="1">
        <v>910117</v>
      </c>
      <c r="C15" t="s">
        <v>704</v>
      </c>
    </row>
    <row r="16" spans="1:3" x14ac:dyDescent="0.25">
      <c r="A16" t="s">
        <v>701</v>
      </c>
      <c r="B16" s="1">
        <v>910116</v>
      </c>
      <c r="C16" t="s">
        <v>702</v>
      </c>
    </row>
    <row r="17" spans="1:3" x14ac:dyDescent="0.25">
      <c r="A17" t="s">
        <v>697</v>
      </c>
      <c r="B17" s="1">
        <v>910114</v>
      </c>
      <c r="C17" t="s">
        <v>698</v>
      </c>
    </row>
    <row r="18" spans="1:3" x14ac:dyDescent="0.25">
      <c r="A18" t="s">
        <v>699</v>
      </c>
      <c r="B18" s="1">
        <v>910115</v>
      </c>
      <c r="C18" t="s">
        <v>700</v>
      </c>
    </row>
    <row r="19" spans="1:3" x14ac:dyDescent="0.25">
      <c r="A19" t="s">
        <v>665</v>
      </c>
      <c r="B19" s="99">
        <v>910124</v>
      </c>
      <c r="C19" t="s">
        <v>1003</v>
      </c>
    </row>
    <row r="20" spans="1:3" x14ac:dyDescent="0.25">
      <c r="A20" t="s">
        <v>661</v>
      </c>
      <c r="B20" s="99">
        <v>910122</v>
      </c>
      <c r="C20" t="s">
        <v>1003</v>
      </c>
    </row>
    <row r="21" spans="1:3" x14ac:dyDescent="0.25">
      <c r="A21" t="s">
        <v>1001</v>
      </c>
      <c r="B21" s="99">
        <v>902385</v>
      </c>
      <c r="C21" t="s">
        <v>1003</v>
      </c>
    </row>
    <row r="22" spans="1:3" x14ac:dyDescent="0.25">
      <c r="A22" t="s">
        <v>659</v>
      </c>
      <c r="B22" s="99">
        <v>910119</v>
      </c>
      <c r="C22" t="s">
        <v>1003</v>
      </c>
    </row>
    <row r="23" spans="1:3" x14ac:dyDescent="0.25">
      <c r="A23" t="s">
        <v>660</v>
      </c>
      <c r="B23" s="99">
        <v>910120</v>
      </c>
      <c r="C23" t="s">
        <v>1003</v>
      </c>
    </row>
    <row r="24" spans="1:3" x14ac:dyDescent="0.25">
      <c r="A24" t="s">
        <v>658</v>
      </c>
      <c r="B24" s="99">
        <v>910118</v>
      </c>
      <c r="C24" t="s">
        <v>1003</v>
      </c>
    </row>
    <row r="25" spans="1:3" x14ac:dyDescent="0.25">
      <c r="A25" t="s">
        <v>1000</v>
      </c>
      <c r="B25" s="99">
        <v>900906</v>
      </c>
      <c r="C25" t="s">
        <v>1003</v>
      </c>
    </row>
    <row r="26" spans="1:3" x14ac:dyDescent="0.25">
      <c r="A26" t="s">
        <v>1002</v>
      </c>
      <c r="B26" s="99">
        <v>910121</v>
      </c>
      <c r="C26" t="s">
        <v>1003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1"/>
  <sheetViews>
    <sheetView workbookViewId="0">
      <selection activeCell="C27" sqref="C27"/>
    </sheetView>
  </sheetViews>
  <sheetFormatPr defaultRowHeight="15" x14ac:dyDescent="0.25"/>
  <cols>
    <col min="1" max="1" width="18.5703125" bestFit="1" customWidth="1"/>
    <col min="5" max="5" width="12.28515625" bestFit="1" customWidth="1"/>
  </cols>
  <sheetData>
    <row r="1" spans="1:7" x14ac:dyDescent="0.25">
      <c r="A1" s="43" t="s">
        <v>790</v>
      </c>
      <c r="B1" s="43" t="s">
        <v>957</v>
      </c>
      <c r="C1" s="43" t="s">
        <v>958</v>
      </c>
      <c r="E1" s="43"/>
      <c r="F1" s="43"/>
      <c r="G1" s="43"/>
    </row>
    <row r="2" spans="1:7" x14ac:dyDescent="0.25">
      <c r="A2" s="9" t="s">
        <v>651</v>
      </c>
      <c r="B2" s="1">
        <v>10086</v>
      </c>
      <c r="C2" s="1">
        <v>9</v>
      </c>
      <c r="E2" s="9"/>
      <c r="F2" s="1"/>
      <c r="G2" s="1"/>
    </row>
    <row r="3" spans="1:7" x14ac:dyDescent="0.25">
      <c r="A3" s="9" t="s">
        <v>654</v>
      </c>
      <c r="B3" s="1">
        <v>6</v>
      </c>
      <c r="C3" s="1">
        <v>12</v>
      </c>
      <c r="E3" s="9"/>
      <c r="F3" s="1"/>
      <c r="G3" s="1"/>
    </row>
    <row r="4" spans="1:7" x14ac:dyDescent="0.25">
      <c r="A4" s="9" t="s">
        <v>668</v>
      </c>
      <c r="B4" s="1">
        <v>1004</v>
      </c>
      <c r="C4" s="1">
        <v>1004</v>
      </c>
      <c r="E4" s="9"/>
      <c r="F4" s="1"/>
      <c r="G4" s="1"/>
    </row>
    <row r="5" spans="1:7" x14ac:dyDescent="0.25">
      <c r="A5" s="9" t="s">
        <v>645</v>
      </c>
      <c r="B5" s="1">
        <v>5</v>
      </c>
      <c r="C5" s="1">
        <v>6</v>
      </c>
      <c r="E5" s="9"/>
      <c r="F5" s="1"/>
      <c r="G5" s="1"/>
    </row>
    <row r="6" spans="1:7" x14ac:dyDescent="0.25">
      <c r="A6" s="9" t="s">
        <v>959</v>
      </c>
      <c r="B6" s="1">
        <v>1700</v>
      </c>
      <c r="C6" s="1">
        <v>17</v>
      </c>
      <c r="E6" s="9"/>
      <c r="F6" s="1"/>
      <c r="G6" s="1"/>
    </row>
    <row r="7" spans="1:7" x14ac:dyDescent="0.25">
      <c r="A7" s="9" t="s">
        <v>960</v>
      </c>
      <c r="B7" s="1">
        <v>1701</v>
      </c>
      <c r="C7" s="1">
        <v>17</v>
      </c>
      <c r="E7" s="9"/>
      <c r="F7" s="1"/>
      <c r="G7" s="1"/>
    </row>
    <row r="8" spans="1:7" x14ac:dyDescent="0.25">
      <c r="A8" s="9" t="s">
        <v>961</v>
      </c>
      <c r="B8" s="1">
        <v>1702</v>
      </c>
      <c r="C8" s="1">
        <v>17</v>
      </c>
      <c r="E8" s="9"/>
      <c r="F8" s="1"/>
      <c r="G8" s="1"/>
    </row>
    <row r="9" spans="1:7" x14ac:dyDescent="0.25">
      <c r="A9" s="9" t="s">
        <v>1753</v>
      </c>
      <c r="B9" s="1">
        <v>50005</v>
      </c>
      <c r="C9" s="1">
        <v>30007</v>
      </c>
      <c r="E9" s="9"/>
      <c r="F9" s="1"/>
      <c r="G9" s="1"/>
    </row>
    <row r="10" spans="1:7" x14ac:dyDescent="0.25">
      <c r="A10" s="9" t="s">
        <v>665</v>
      </c>
      <c r="B10" s="1">
        <v>1801</v>
      </c>
      <c r="C10" s="1">
        <v>18</v>
      </c>
    </row>
    <row r="11" spans="1:7" x14ac:dyDescent="0.25">
      <c r="A11" s="9"/>
      <c r="C11" s="1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69"/>
  <sheetViews>
    <sheetView topLeftCell="AB1" workbookViewId="0">
      <pane ySplit="1" topLeftCell="A248" activePane="bottomLeft" state="frozen"/>
      <selection pane="bottomLeft" activeCell="AG266" sqref="AG266:AG269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1862</v>
      </c>
      <c r="C1" s="43" t="s">
        <v>1863</v>
      </c>
      <c r="D1" s="43" t="s">
        <v>220</v>
      </c>
      <c r="E1" s="43" t="s">
        <v>313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314</v>
      </c>
      <c r="K1" s="43" t="s">
        <v>40</v>
      </c>
      <c r="L1" s="43" t="s">
        <v>315</v>
      </c>
      <c r="M1" s="43" t="s">
        <v>316</v>
      </c>
      <c r="N1" s="43" t="s">
        <v>221</v>
      </c>
      <c r="O1" s="43" t="s">
        <v>279</v>
      </c>
      <c r="P1" s="43" t="s">
        <v>317</v>
      </c>
      <c r="Q1" s="43" t="s">
        <v>318</v>
      </c>
      <c r="R1" s="43" t="s">
        <v>319</v>
      </c>
      <c r="S1" s="43" t="s">
        <v>320</v>
      </c>
      <c r="T1" s="43" t="s">
        <v>321</v>
      </c>
      <c r="U1" s="43" t="s">
        <v>322</v>
      </c>
      <c r="V1" s="43" t="s">
        <v>1886</v>
      </c>
      <c r="W1" s="43" t="s">
        <v>1864</v>
      </c>
      <c r="X1" s="43" t="s">
        <v>1865</v>
      </c>
      <c r="Y1" s="43" t="s">
        <v>1866</v>
      </c>
      <c r="Z1" s="43" t="s">
        <v>1867</v>
      </c>
      <c r="AA1" s="43" t="s">
        <v>1868</v>
      </c>
      <c r="AB1" s="43" t="s">
        <v>1869</v>
      </c>
      <c r="AC1" s="43" t="s">
        <v>1870</v>
      </c>
      <c r="AD1" s="43" t="s">
        <v>1871</v>
      </c>
      <c r="AE1" s="43" t="s">
        <v>1872</v>
      </c>
      <c r="AF1" s="43" t="s">
        <v>1873</v>
      </c>
      <c r="AG1" s="43" t="s">
        <v>323</v>
      </c>
      <c r="AH1" s="43" t="s">
        <v>324</v>
      </c>
      <c r="AI1" s="43" t="s">
        <v>1874</v>
      </c>
      <c r="AJ1" s="43" t="s">
        <v>1875</v>
      </c>
      <c r="AK1" s="43" t="s">
        <v>325</v>
      </c>
      <c r="AL1" s="43" t="s">
        <v>1876</v>
      </c>
      <c r="AM1" s="43" t="s">
        <v>1877</v>
      </c>
      <c r="AN1" s="43" t="s">
        <v>1878</v>
      </c>
      <c r="AO1" s="43" t="s">
        <v>1879</v>
      </c>
      <c r="AP1" s="43" t="s">
        <v>1880</v>
      </c>
      <c r="AQ1" s="43" t="s">
        <v>1881</v>
      </c>
      <c r="AR1" s="43" t="s">
        <v>1518</v>
      </c>
      <c r="AS1" s="43" t="s">
        <v>1882</v>
      </c>
      <c r="AT1" s="10" t="s">
        <v>635</v>
      </c>
      <c r="AU1" s="10" t="s">
        <v>1883</v>
      </c>
      <c r="AV1" s="10" t="s">
        <v>1884</v>
      </c>
      <c r="AW1" s="10" t="s">
        <v>1885</v>
      </c>
    </row>
    <row r="2" spans="1:49" x14ac:dyDescent="0.25">
      <c r="A2" s="1">
        <v>1</v>
      </c>
      <c r="B2" s="1" t="s">
        <v>1887</v>
      </c>
      <c r="C2" s="1" t="s">
        <v>1888</v>
      </c>
      <c r="D2" s="1">
        <v>2</v>
      </c>
      <c r="E2" s="1">
        <v>1</v>
      </c>
      <c r="F2" s="1">
        <v>1</v>
      </c>
      <c r="G2" s="1" t="s">
        <v>330</v>
      </c>
      <c r="H2" s="1" t="s">
        <v>330</v>
      </c>
      <c r="I2" s="1" t="s">
        <v>330</v>
      </c>
      <c r="J2" s="1" t="s">
        <v>330</v>
      </c>
      <c r="K2" s="1" t="s">
        <v>330</v>
      </c>
      <c r="L2" s="1" t="s">
        <v>330</v>
      </c>
      <c r="M2" s="1" t="s">
        <v>326</v>
      </c>
      <c r="N2" s="1" t="s">
        <v>330</v>
      </c>
      <c r="O2" s="1" t="s">
        <v>330</v>
      </c>
      <c r="P2" s="1" t="s">
        <v>330</v>
      </c>
      <c r="Q2" s="1" t="s">
        <v>330</v>
      </c>
      <c r="R2" s="1" t="s">
        <v>330</v>
      </c>
      <c r="S2" s="1" t="s">
        <v>330</v>
      </c>
      <c r="T2" s="1" t="s">
        <v>330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521</v>
      </c>
      <c r="AH2" s="1">
        <v>300</v>
      </c>
      <c r="AI2" s="1" t="s">
        <v>1889</v>
      </c>
      <c r="AJ2" s="1">
        <v>0</v>
      </c>
      <c r="AK2" s="1" t="s">
        <v>330</v>
      </c>
      <c r="AL2" s="1" t="s">
        <v>1890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330</v>
      </c>
      <c r="AS2" s="1">
        <v>0</v>
      </c>
      <c r="AT2" s="1" t="s">
        <v>1891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1892</v>
      </c>
      <c r="C3" s="1" t="s">
        <v>1893</v>
      </c>
      <c r="D3" s="1">
        <v>3</v>
      </c>
      <c r="E3" s="1">
        <v>1</v>
      </c>
      <c r="F3" s="1">
        <v>1</v>
      </c>
      <c r="G3" s="1" t="s">
        <v>330</v>
      </c>
      <c r="H3" s="1" t="s">
        <v>330</v>
      </c>
      <c r="I3" s="1" t="s">
        <v>330</v>
      </c>
      <c r="J3" s="1" t="s">
        <v>330</v>
      </c>
      <c r="K3" s="1" t="s">
        <v>330</v>
      </c>
      <c r="L3" s="1" t="s">
        <v>330</v>
      </c>
      <c r="M3" s="1" t="s">
        <v>327</v>
      </c>
      <c r="N3" s="1" t="s">
        <v>330</v>
      </c>
      <c r="O3" s="1" t="s">
        <v>330</v>
      </c>
      <c r="P3" s="1" t="s">
        <v>330</v>
      </c>
      <c r="Q3" s="1" t="s">
        <v>330</v>
      </c>
      <c r="R3" s="1" t="s">
        <v>330</v>
      </c>
      <c r="S3" s="1" t="s">
        <v>330</v>
      </c>
      <c r="T3" s="1" t="s">
        <v>330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522</v>
      </c>
      <c r="AH3" s="1">
        <v>1200</v>
      </c>
      <c r="AI3" s="1" t="s">
        <v>1889</v>
      </c>
      <c r="AJ3" s="1">
        <v>0</v>
      </c>
      <c r="AK3" s="1" t="s">
        <v>330</v>
      </c>
      <c r="AL3" s="1" t="s">
        <v>1894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1519</v>
      </c>
      <c r="AS3" s="1">
        <v>0</v>
      </c>
      <c r="AT3" s="1" t="s">
        <v>1891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1895</v>
      </c>
      <c r="C4" s="1" t="s">
        <v>1896</v>
      </c>
      <c r="D4" s="1">
        <v>4</v>
      </c>
      <c r="E4" s="1">
        <v>1</v>
      </c>
      <c r="F4" s="1">
        <v>1</v>
      </c>
      <c r="G4" s="1" t="s">
        <v>330</v>
      </c>
      <c r="H4" s="1" t="s">
        <v>330</v>
      </c>
      <c r="I4" s="1" t="s">
        <v>330</v>
      </c>
      <c r="J4" s="1" t="s">
        <v>330</v>
      </c>
      <c r="K4" s="1" t="s">
        <v>330</v>
      </c>
      <c r="L4" s="1" t="s">
        <v>330</v>
      </c>
      <c r="M4" s="1" t="s">
        <v>328</v>
      </c>
      <c r="N4" s="1" t="s">
        <v>330</v>
      </c>
      <c r="O4" s="1" t="s">
        <v>330</v>
      </c>
      <c r="P4" s="1" t="s">
        <v>330</v>
      </c>
      <c r="Q4" s="1" t="s">
        <v>330</v>
      </c>
      <c r="R4" s="1" t="s">
        <v>330</v>
      </c>
      <c r="S4" s="1" t="s">
        <v>330</v>
      </c>
      <c r="T4" s="1" t="s">
        <v>330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523</v>
      </c>
      <c r="AH4" s="1">
        <v>2100</v>
      </c>
      <c r="AI4" s="1" t="s">
        <v>1889</v>
      </c>
      <c r="AJ4" s="1">
        <v>0</v>
      </c>
      <c r="AK4" s="1" t="s">
        <v>330</v>
      </c>
      <c r="AL4" s="1" t="s">
        <v>1897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1519</v>
      </c>
      <c r="AS4" s="1">
        <v>0</v>
      </c>
      <c r="AT4" s="1" t="s">
        <v>1891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1898</v>
      </c>
      <c r="C5" s="1" t="s">
        <v>1899</v>
      </c>
      <c r="D5" s="1">
        <v>5</v>
      </c>
      <c r="E5" s="1">
        <v>1</v>
      </c>
      <c r="F5" s="1">
        <v>1</v>
      </c>
      <c r="G5" s="1" t="s">
        <v>330</v>
      </c>
      <c r="H5" s="1" t="s">
        <v>330</v>
      </c>
      <c r="I5" s="1" t="s">
        <v>330</v>
      </c>
      <c r="J5" s="1" t="s">
        <v>330</v>
      </c>
      <c r="K5" s="1" t="s">
        <v>330</v>
      </c>
      <c r="L5" s="1" t="s">
        <v>330</v>
      </c>
      <c r="M5" s="1" t="s">
        <v>329</v>
      </c>
      <c r="N5" s="1" t="s">
        <v>330</v>
      </c>
      <c r="O5" s="1" t="s">
        <v>330</v>
      </c>
      <c r="P5" s="1" t="s">
        <v>330</v>
      </c>
      <c r="Q5" s="1" t="s">
        <v>330</v>
      </c>
      <c r="R5" s="1" t="s">
        <v>330</v>
      </c>
      <c r="S5" s="1" t="s">
        <v>330</v>
      </c>
      <c r="T5" s="1" t="s">
        <v>330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524</v>
      </c>
      <c r="AH5" s="1">
        <v>2700</v>
      </c>
      <c r="AI5" s="1" t="s">
        <v>1889</v>
      </c>
      <c r="AJ5" s="1">
        <v>0</v>
      </c>
      <c r="AK5" s="1" t="s">
        <v>330</v>
      </c>
      <c r="AL5" s="1" t="s">
        <v>1900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1519</v>
      </c>
      <c r="AS5" s="1">
        <v>0</v>
      </c>
      <c r="AT5" s="1" t="s">
        <v>1891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1901</v>
      </c>
      <c r="C6" s="1" t="s">
        <v>1902</v>
      </c>
      <c r="D6" s="1">
        <v>2</v>
      </c>
      <c r="E6" s="1">
        <v>1</v>
      </c>
      <c r="F6" s="1">
        <v>2</v>
      </c>
      <c r="G6" s="1" t="s">
        <v>331</v>
      </c>
      <c r="H6" s="1" t="s">
        <v>331</v>
      </c>
      <c r="I6" s="1" t="s">
        <v>330</v>
      </c>
      <c r="J6" s="1" t="s">
        <v>330</v>
      </c>
      <c r="K6" s="1" t="s">
        <v>332</v>
      </c>
      <c r="L6" s="1" t="s">
        <v>330</v>
      </c>
      <c r="M6" s="1" t="s">
        <v>330</v>
      </c>
      <c r="N6" s="1" t="s">
        <v>330</v>
      </c>
      <c r="O6" s="1" t="s">
        <v>330</v>
      </c>
      <c r="P6" s="1" t="s">
        <v>330</v>
      </c>
      <c r="Q6" s="1" t="s">
        <v>330</v>
      </c>
      <c r="R6" s="1" t="s">
        <v>330</v>
      </c>
      <c r="S6" s="1" t="s">
        <v>330</v>
      </c>
      <c r="T6" s="1" t="s">
        <v>330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525</v>
      </c>
      <c r="AH6" s="1">
        <v>480</v>
      </c>
      <c r="AI6" s="1" t="s">
        <v>719</v>
      </c>
      <c r="AJ6" s="1">
        <v>0</v>
      </c>
      <c r="AK6" s="1" t="s">
        <v>330</v>
      </c>
      <c r="AL6" s="1" t="s">
        <v>1903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330</v>
      </c>
      <c r="AS6" s="1">
        <v>0</v>
      </c>
      <c r="AT6" s="1" t="s">
        <v>1891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1904</v>
      </c>
      <c r="C7" s="1" t="s">
        <v>1905</v>
      </c>
      <c r="D7" s="1">
        <v>3</v>
      </c>
      <c r="E7" s="1">
        <v>1</v>
      </c>
      <c r="F7" s="1">
        <v>2</v>
      </c>
      <c r="G7" s="1" t="s">
        <v>333</v>
      </c>
      <c r="H7" s="1" t="s">
        <v>334</v>
      </c>
      <c r="I7" s="1" t="s">
        <v>330</v>
      </c>
      <c r="J7" s="1" t="s">
        <v>330</v>
      </c>
      <c r="K7" s="1" t="s">
        <v>335</v>
      </c>
      <c r="L7" s="1" t="s">
        <v>330</v>
      </c>
      <c r="M7" s="1" t="s">
        <v>330</v>
      </c>
      <c r="N7" s="1" t="s">
        <v>330</v>
      </c>
      <c r="O7" s="1" t="s">
        <v>330</v>
      </c>
      <c r="P7" s="1" t="s">
        <v>330</v>
      </c>
      <c r="Q7" s="1" t="s">
        <v>330</v>
      </c>
      <c r="R7" s="1" t="s">
        <v>330</v>
      </c>
      <c r="S7" s="1" t="s">
        <v>330</v>
      </c>
      <c r="T7" s="1" t="s">
        <v>330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526</v>
      </c>
      <c r="AH7" s="1">
        <v>1380</v>
      </c>
      <c r="AI7" s="1" t="s">
        <v>719</v>
      </c>
      <c r="AJ7" s="1">
        <v>0</v>
      </c>
      <c r="AK7" s="1" t="s">
        <v>330</v>
      </c>
      <c r="AL7" s="1" t="s">
        <v>1906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1520</v>
      </c>
      <c r="AS7" s="1">
        <v>0</v>
      </c>
      <c r="AT7" s="1" t="s">
        <v>1891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1907</v>
      </c>
      <c r="C8" s="1" t="s">
        <v>1908</v>
      </c>
      <c r="D8" s="1">
        <v>4</v>
      </c>
      <c r="E8" s="1">
        <v>1</v>
      </c>
      <c r="F8" s="1">
        <v>2</v>
      </c>
      <c r="G8" s="1" t="s">
        <v>336</v>
      </c>
      <c r="H8" s="1" t="s">
        <v>337</v>
      </c>
      <c r="I8" s="1" t="s">
        <v>330</v>
      </c>
      <c r="J8" s="1" t="s">
        <v>330</v>
      </c>
      <c r="K8" s="1" t="s">
        <v>338</v>
      </c>
      <c r="L8" s="1" t="s">
        <v>330</v>
      </c>
      <c r="M8" s="1" t="s">
        <v>330</v>
      </c>
      <c r="N8" s="1" t="s">
        <v>330</v>
      </c>
      <c r="O8" s="1" t="s">
        <v>330</v>
      </c>
      <c r="P8" s="1" t="s">
        <v>330</v>
      </c>
      <c r="Q8" s="1" t="s">
        <v>330</v>
      </c>
      <c r="R8" s="1" t="s">
        <v>330</v>
      </c>
      <c r="S8" s="1" t="s">
        <v>330</v>
      </c>
      <c r="T8" s="1" t="s">
        <v>330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527</v>
      </c>
      <c r="AH8" s="1">
        <v>2280</v>
      </c>
      <c r="AI8" s="1" t="s">
        <v>719</v>
      </c>
      <c r="AJ8" s="1">
        <v>0</v>
      </c>
      <c r="AK8" s="1" t="s">
        <v>330</v>
      </c>
      <c r="AL8" s="1" t="s">
        <v>1909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1521</v>
      </c>
      <c r="AS8" s="1">
        <v>0</v>
      </c>
      <c r="AT8" s="1" t="s">
        <v>1891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1910</v>
      </c>
      <c r="C9" s="1" t="s">
        <v>1911</v>
      </c>
      <c r="D9" s="1">
        <v>5</v>
      </c>
      <c r="E9" s="1">
        <v>1</v>
      </c>
      <c r="F9" s="1">
        <v>2</v>
      </c>
      <c r="G9" s="1" t="s">
        <v>339</v>
      </c>
      <c r="H9" s="1" t="s">
        <v>340</v>
      </c>
      <c r="I9" s="1" t="s">
        <v>330</v>
      </c>
      <c r="J9" s="1" t="s">
        <v>330</v>
      </c>
      <c r="K9" s="1" t="s">
        <v>341</v>
      </c>
      <c r="L9" s="1" t="s">
        <v>330</v>
      </c>
      <c r="M9" s="1" t="s">
        <v>330</v>
      </c>
      <c r="N9" s="1" t="s">
        <v>330</v>
      </c>
      <c r="O9" s="1" t="s">
        <v>330</v>
      </c>
      <c r="P9" s="1" t="s">
        <v>330</v>
      </c>
      <c r="Q9" s="1" t="s">
        <v>330</v>
      </c>
      <c r="R9" s="1" t="s">
        <v>330</v>
      </c>
      <c r="S9" s="1" t="s">
        <v>330</v>
      </c>
      <c r="T9" s="1" t="s">
        <v>330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528</v>
      </c>
      <c r="AH9" s="1">
        <v>2880</v>
      </c>
      <c r="AI9" s="1" t="s">
        <v>719</v>
      </c>
      <c r="AJ9" s="1">
        <v>0</v>
      </c>
      <c r="AK9" s="1" t="s">
        <v>330</v>
      </c>
      <c r="AL9" s="1" t="s">
        <v>1912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1521</v>
      </c>
      <c r="AS9" s="1">
        <v>0</v>
      </c>
      <c r="AT9" s="1" t="s">
        <v>1891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1913</v>
      </c>
      <c r="C10" s="1" t="s">
        <v>1914</v>
      </c>
      <c r="D10" s="1">
        <v>2</v>
      </c>
      <c r="E10" s="1">
        <v>1</v>
      </c>
      <c r="F10" s="1">
        <v>3</v>
      </c>
      <c r="G10" s="1" t="s">
        <v>330</v>
      </c>
      <c r="H10" s="1" t="s">
        <v>336</v>
      </c>
      <c r="I10" s="1" t="s">
        <v>330</v>
      </c>
      <c r="J10" s="1" t="s">
        <v>330</v>
      </c>
      <c r="K10" s="1" t="s">
        <v>332</v>
      </c>
      <c r="L10" s="1" t="s">
        <v>330</v>
      </c>
      <c r="M10" s="1" t="s">
        <v>330</v>
      </c>
      <c r="N10" s="1" t="s">
        <v>330</v>
      </c>
      <c r="O10" s="1" t="s">
        <v>330</v>
      </c>
      <c r="P10" s="1" t="s">
        <v>330</v>
      </c>
      <c r="Q10" s="1" t="s">
        <v>330</v>
      </c>
      <c r="R10" s="1" t="s">
        <v>330</v>
      </c>
      <c r="S10" s="1" t="s">
        <v>330</v>
      </c>
      <c r="T10" s="1" t="s">
        <v>330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529</v>
      </c>
      <c r="AH10" s="1">
        <v>600</v>
      </c>
      <c r="AI10" s="1" t="s">
        <v>1915</v>
      </c>
      <c r="AJ10" s="1">
        <v>0</v>
      </c>
      <c r="AK10" s="1" t="s">
        <v>330</v>
      </c>
      <c r="AL10" s="1" t="s">
        <v>1916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330</v>
      </c>
      <c r="AS10" s="1">
        <v>0</v>
      </c>
      <c r="AT10" s="1" t="s">
        <v>1891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1917</v>
      </c>
      <c r="C11" s="1" t="s">
        <v>1918</v>
      </c>
      <c r="D11" s="1">
        <v>3</v>
      </c>
      <c r="E11" s="1">
        <v>1</v>
      </c>
      <c r="F11" s="1">
        <v>3</v>
      </c>
      <c r="G11" s="1" t="s">
        <v>330</v>
      </c>
      <c r="H11" s="1" t="s">
        <v>339</v>
      </c>
      <c r="I11" s="1" t="s">
        <v>330</v>
      </c>
      <c r="J11" s="1" t="s">
        <v>330</v>
      </c>
      <c r="K11" s="1" t="s">
        <v>342</v>
      </c>
      <c r="L11" s="1" t="s">
        <v>330</v>
      </c>
      <c r="M11" s="1" t="s">
        <v>330</v>
      </c>
      <c r="N11" s="1" t="s">
        <v>330</v>
      </c>
      <c r="O11" s="1" t="s">
        <v>330</v>
      </c>
      <c r="P11" s="1" t="s">
        <v>330</v>
      </c>
      <c r="Q11" s="1" t="s">
        <v>330</v>
      </c>
      <c r="R11" s="1" t="s">
        <v>330</v>
      </c>
      <c r="S11" s="1" t="s">
        <v>330</v>
      </c>
      <c r="T11" s="1" t="s">
        <v>330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530</v>
      </c>
      <c r="AH11" s="1">
        <v>1500</v>
      </c>
      <c r="AI11" s="1" t="s">
        <v>1915</v>
      </c>
      <c r="AJ11" s="1">
        <v>0</v>
      </c>
      <c r="AK11" s="1" t="s">
        <v>330</v>
      </c>
      <c r="AL11" s="1" t="s">
        <v>1919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1522</v>
      </c>
      <c r="AS11" s="1">
        <v>0</v>
      </c>
      <c r="AT11" s="1" t="s">
        <v>1891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1920</v>
      </c>
      <c r="C12" s="1" t="s">
        <v>1921</v>
      </c>
      <c r="D12" s="1">
        <v>4</v>
      </c>
      <c r="E12" s="1">
        <v>1</v>
      </c>
      <c r="F12" s="1">
        <v>3</v>
      </c>
      <c r="G12" s="1" t="s">
        <v>330</v>
      </c>
      <c r="H12" s="1" t="s">
        <v>343</v>
      </c>
      <c r="I12" s="1" t="s">
        <v>330</v>
      </c>
      <c r="J12" s="1" t="s">
        <v>330</v>
      </c>
      <c r="K12" s="1" t="s">
        <v>344</v>
      </c>
      <c r="L12" s="1" t="s">
        <v>330</v>
      </c>
      <c r="M12" s="1" t="s">
        <v>330</v>
      </c>
      <c r="N12" s="1" t="s">
        <v>330</v>
      </c>
      <c r="O12" s="1" t="s">
        <v>330</v>
      </c>
      <c r="P12" s="1" t="s">
        <v>330</v>
      </c>
      <c r="Q12" s="1" t="s">
        <v>330</v>
      </c>
      <c r="R12" s="1" t="s">
        <v>330</v>
      </c>
      <c r="S12" s="1" t="s">
        <v>330</v>
      </c>
      <c r="T12" s="1" t="s">
        <v>330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531</v>
      </c>
      <c r="AH12" s="1">
        <v>2400</v>
      </c>
      <c r="AI12" s="1" t="s">
        <v>1915</v>
      </c>
      <c r="AJ12" s="1">
        <v>0</v>
      </c>
      <c r="AK12" s="1" t="s">
        <v>330</v>
      </c>
      <c r="AL12" s="1" t="s">
        <v>1922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1522</v>
      </c>
      <c r="AS12" s="1">
        <v>0</v>
      </c>
      <c r="AT12" s="1" t="s">
        <v>1891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1923</v>
      </c>
      <c r="C13" s="1" t="s">
        <v>1924</v>
      </c>
      <c r="D13" s="1">
        <v>5</v>
      </c>
      <c r="E13" s="1">
        <v>1</v>
      </c>
      <c r="F13" s="1">
        <v>3</v>
      </c>
      <c r="G13" s="1" t="s">
        <v>330</v>
      </c>
      <c r="H13" s="1" t="s">
        <v>345</v>
      </c>
      <c r="I13" s="1" t="s">
        <v>330</v>
      </c>
      <c r="J13" s="1" t="s">
        <v>330</v>
      </c>
      <c r="K13" s="1" t="s">
        <v>346</v>
      </c>
      <c r="L13" s="1" t="s">
        <v>330</v>
      </c>
      <c r="M13" s="1" t="s">
        <v>330</v>
      </c>
      <c r="N13" s="1" t="s">
        <v>330</v>
      </c>
      <c r="O13" s="1" t="s">
        <v>330</v>
      </c>
      <c r="P13" s="1" t="s">
        <v>330</v>
      </c>
      <c r="Q13" s="1" t="s">
        <v>330</v>
      </c>
      <c r="R13" s="1" t="s">
        <v>330</v>
      </c>
      <c r="S13" s="1" t="s">
        <v>330</v>
      </c>
      <c r="T13" s="1" t="s">
        <v>330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532</v>
      </c>
      <c r="AH13" s="1">
        <v>3000</v>
      </c>
      <c r="AI13" s="1" t="s">
        <v>1915</v>
      </c>
      <c r="AJ13" s="1">
        <v>0</v>
      </c>
      <c r="AK13" s="1" t="s">
        <v>330</v>
      </c>
      <c r="AL13" s="1" t="s">
        <v>1925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1522</v>
      </c>
      <c r="AS13" s="1">
        <v>0</v>
      </c>
      <c r="AT13" s="1" t="s">
        <v>1891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1926</v>
      </c>
      <c r="C14" s="1" t="s">
        <v>1927</v>
      </c>
      <c r="D14" s="1">
        <v>2</v>
      </c>
      <c r="E14" s="1">
        <v>1</v>
      </c>
      <c r="F14" s="1">
        <v>4</v>
      </c>
      <c r="G14" s="1" t="s">
        <v>330</v>
      </c>
      <c r="H14" s="1" t="s">
        <v>330</v>
      </c>
      <c r="I14" s="1" t="s">
        <v>330</v>
      </c>
      <c r="J14" s="1" t="s">
        <v>330</v>
      </c>
      <c r="K14" s="1" t="s">
        <v>330</v>
      </c>
      <c r="L14" s="1" t="s">
        <v>330</v>
      </c>
      <c r="M14" s="1" t="s">
        <v>330</v>
      </c>
      <c r="N14" s="1" t="s">
        <v>330</v>
      </c>
      <c r="O14" s="1" t="s">
        <v>330</v>
      </c>
      <c r="P14" s="1" t="s">
        <v>330</v>
      </c>
      <c r="Q14" s="1" t="s">
        <v>330</v>
      </c>
      <c r="R14" s="1" t="s">
        <v>330</v>
      </c>
      <c r="S14" s="1" t="s">
        <v>347</v>
      </c>
      <c r="T14" s="1" t="s">
        <v>330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533</v>
      </c>
      <c r="AH14" s="1">
        <v>540</v>
      </c>
      <c r="AI14" s="1" t="s">
        <v>1928</v>
      </c>
      <c r="AJ14" s="1">
        <v>0</v>
      </c>
      <c r="AK14" s="1" t="s">
        <v>330</v>
      </c>
      <c r="AL14" s="1" t="s">
        <v>1929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330</v>
      </c>
      <c r="AS14" s="1">
        <v>0</v>
      </c>
      <c r="AT14" s="1" t="s">
        <v>1891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1930</v>
      </c>
      <c r="C15" s="1" t="s">
        <v>1931</v>
      </c>
      <c r="D15" s="1">
        <v>3</v>
      </c>
      <c r="E15" s="1">
        <v>1</v>
      </c>
      <c r="F15" s="1">
        <v>4</v>
      </c>
      <c r="G15" s="1" t="s">
        <v>330</v>
      </c>
      <c r="H15" s="1" t="s">
        <v>330</v>
      </c>
      <c r="I15" s="1" t="s">
        <v>330</v>
      </c>
      <c r="J15" s="1" t="s">
        <v>330</v>
      </c>
      <c r="K15" s="1" t="s">
        <v>330</v>
      </c>
      <c r="L15" s="1" t="s">
        <v>330</v>
      </c>
      <c r="M15" s="1" t="s">
        <v>330</v>
      </c>
      <c r="N15" s="1" t="s">
        <v>330</v>
      </c>
      <c r="O15" s="1" t="s">
        <v>330</v>
      </c>
      <c r="P15" s="1" t="s">
        <v>330</v>
      </c>
      <c r="Q15" s="1" t="s">
        <v>330</v>
      </c>
      <c r="R15" s="1" t="s">
        <v>330</v>
      </c>
      <c r="S15" s="1" t="s">
        <v>348</v>
      </c>
      <c r="T15" s="1" t="s">
        <v>330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534</v>
      </c>
      <c r="AH15" s="1">
        <v>1440</v>
      </c>
      <c r="AI15" s="1" t="s">
        <v>1928</v>
      </c>
      <c r="AJ15" s="1">
        <v>0</v>
      </c>
      <c r="AK15" s="1" t="s">
        <v>330</v>
      </c>
      <c r="AL15" s="1" t="s">
        <v>1932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330</v>
      </c>
      <c r="AS15" s="1">
        <v>0</v>
      </c>
      <c r="AT15" s="1" t="s">
        <v>1891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1933</v>
      </c>
      <c r="C16" s="1" t="s">
        <v>1934</v>
      </c>
      <c r="D16" s="1">
        <v>4</v>
      </c>
      <c r="E16" s="1">
        <v>1</v>
      </c>
      <c r="F16" s="1">
        <v>4</v>
      </c>
      <c r="G16" s="1" t="s">
        <v>330</v>
      </c>
      <c r="H16" s="1" t="s">
        <v>330</v>
      </c>
      <c r="I16" s="1" t="s">
        <v>330</v>
      </c>
      <c r="J16" s="1" t="s">
        <v>330</v>
      </c>
      <c r="K16" s="1" t="s">
        <v>330</v>
      </c>
      <c r="L16" s="1" t="s">
        <v>330</v>
      </c>
      <c r="M16" s="1" t="s">
        <v>330</v>
      </c>
      <c r="N16" s="1" t="s">
        <v>330</v>
      </c>
      <c r="O16" s="1" t="s">
        <v>330</v>
      </c>
      <c r="P16" s="1" t="s">
        <v>330</v>
      </c>
      <c r="Q16" s="1" t="s">
        <v>330</v>
      </c>
      <c r="R16" s="1" t="s">
        <v>330</v>
      </c>
      <c r="S16" s="1" t="s">
        <v>349</v>
      </c>
      <c r="T16" s="1" t="s">
        <v>330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535</v>
      </c>
      <c r="AH16" s="1">
        <v>2340</v>
      </c>
      <c r="AI16" s="1" t="s">
        <v>1928</v>
      </c>
      <c r="AJ16" s="1">
        <v>0</v>
      </c>
      <c r="AK16" s="1" t="s">
        <v>330</v>
      </c>
      <c r="AL16" s="1" t="s">
        <v>1935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330</v>
      </c>
      <c r="AS16" s="1">
        <v>0</v>
      </c>
      <c r="AT16" s="1" t="s">
        <v>1891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1936</v>
      </c>
      <c r="C17" s="1" t="s">
        <v>1937</v>
      </c>
      <c r="D17" s="1">
        <v>5</v>
      </c>
      <c r="E17" s="1">
        <v>1</v>
      </c>
      <c r="F17" s="1">
        <v>4</v>
      </c>
      <c r="G17" s="1" t="s">
        <v>330</v>
      </c>
      <c r="H17" s="1" t="s">
        <v>330</v>
      </c>
      <c r="I17" s="1" t="s">
        <v>330</v>
      </c>
      <c r="J17" s="1" t="s">
        <v>330</v>
      </c>
      <c r="K17" s="1" t="s">
        <v>330</v>
      </c>
      <c r="L17" s="1" t="s">
        <v>330</v>
      </c>
      <c r="M17" s="1" t="s">
        <v>330</v>
      </c>
      <c r="N17" s="1" t="s">
        <v>330</v>
      </c>
      <c r="O17" s="1" t="s">
        <v>330</v>
      </c>
      <c r="P17" s="1" t="s">
        <v>330</v>
      </c>
      <c r="Q17" s="1" t="s">
        <v>330</v>
      </c>
      <c r="R17" s="1" t="s">
        <v>330</v>
      </c>
      <c r="S17" s="1" t="s">
        <v>350</v>
      </c>
      <c r="T17" s="1" t="s">
        <v>330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536</v>
      </c>
      <c r="AH17" s="1">
        <v>2940</v>
      </c>
      <c r="AI17" s="1" t="s">
        <v>1928</v>
      </c>
      <c r="AJ17" s="1">
        <v>0</v>
      </c>
      <c r="AK17" s="1" t="s">
        <v>330</v>
      </c>
      <c r="AL17" s="1" t="s">
        <v>1938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330</v>
      </c>
      <c r="AS17" s="1">
        <v>0</v>
      </c>
      <c r="AT17" s="1" t="s">
        <v>1891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1939</v>
      </c>
      <c r="C18" s="1" t="s">
        <v>1940</v>
      </c>
      <c r="D18" s="1">
        <v>2</v>
      </c>
      <c r="E18" s="1">
        <v>2</v>
      </c>
      <c r="F18" s="1">
        <v>5</v>
      </c>
      <c r="G18" s="1" t="s">
        <v>330</v>
      </c>
      <c r="H18" s="1" t="s">
        <v>330</v>
      </c>
      <c r="I18" s="1" t="s">
        <v>330</v>
      </c>
      <c r="J18" s="1" t="s">
        <v>330</v>
      </c>
      <c r="K18" s="1" t="s">
        <v>330</v>
      </c>
      <c r="L18" s="1" t="s">
        <v>330</v>
      </c>
      <c r="M18" s="1" t="s">
        <v>330</v>
      </c>
      <c r="N18" s="1" t="s">
        <v>351</v>
      </c>
      <c r="O18" s="1" t="s">
        <v>330</v>
      </c>
      <c r="P18" s="1" t="s">
        <v>330</v>
      </c>
      <c r="Q18" s="1" t="s">
        <v>330</v>
      </c>
      <c r="R18" s="1" t="s">
        <v>330</v>
      </c>
      <c r="S18" s="1" t="s">
        <v>330</v>
      </c>
      <c r="T18" s="1" t="s">
        <v>330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537</v>
      </c>
      <c r="AH18" s="1">
        <v>900</v>
      </c>
      <c r="AI18" s="1" t="s">
        <v>1928</v>
      </c>
      <c r="AJ18" s="1">
        <v>0</v>
      </c>
      <c r="AK18" s="1" t="s">
        <v>330</v>
      </c>
      <c r="AL18" s="1" t="s">
        <v>1941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330</v>
      </c>
      <c r="AS18" s="1">
        <v>0</v>
      </c>
      <c r="AT18" s="1" t="s">
        <v>1891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1942</v>
      </c>
      <c r="C19" s="1" t="s">
        <v>1943</v>
      </c>
      <c r="D19" s="1">
        <v>3</v>
      </c>
      <c r="E19" s="1">
        <v>2</v>
      </c>
      <c r="F19" s="1">
        <v>5</v>
      </c>
      <c r="G19" s="1" t="s">
        <v>330</v>
      </c>
      <c r="H19" s="1" t="s">
        <v>330</v>
      </c>
      <c r="I19" s="1" t="s">
        <v>330</v>
      </c>
      <c r="J19" s="1" t="s">
        <v>330</v>
      </c>
      <c r="K19" s="1" t="s">
        <v>330</v>
      </c>
      <c r="L19" s="1" t="s">
        <v>330</v>
      </c>
      <c r="M19" s="1" t="s">
        <v>330</v>
      </c>
      <c r="N19" s="1" t="s">
        <v>352</v>
      </c>
      <c r="O19" s="1" t="s">
        <v>330</v>
      </c>
      <c r="P19" s="1" t="s">
        <v>330</v>
      </c>
      <c r="Q19" s="1" t="s">
        <v>330</v>
      </c>
      <c r="R19" s="1" t="s">
        <v>330</v>
      </c>
      <c r="S19" s="1" t="s">
        <v>330</v>
      </c>
      <c r="T19" s="1" t="s">
        <v>330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538</v>
      </c>
      <c r="AH19" s="1">
        <v>1800</v>
      </c>
      <c r="AI19" s="1" t="s">
        <v>1928</v>
      </c>
      <c r="AJ19" s="1">
        <v>0</v>
      </c>
      <c r="AK19" s="1" t="s">
        <v>330</v>
      </c>
      <c r="AL19" s="1" t="s">
        <v>1944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1523</v>
      </c>
      <c r="AS19" s="1">
        <v>0</v>
      </c>
      <c r="AT19" s="1" t="s">
        <v>1891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1945</v>
      </c>
      <c r="C20" s="1" t="s">
        <v>1946</v>
      </c>
      <c r="D20" s="1">
        <v>4</v>
      </c>
      <c r="E20" s="1">
        <v>2</v>
      </c>
      <c r="F20" s="1">
        <v>5</v>
      </c>
      <c r="G20" s="1" t="s">
        <v>330</v>
      </c>
      <c r="H20" s="1" t="s">
        <v>330</v>
      </c>
      <c r="I20" s="1" t="s">
        <v>330</v>
      </c>
      <c r="J20" s="1" t="s">
        <v>330</v>
      </c>
      <c r="K20" s="1" t="s">
        <v>330</v>
      </c>
      <c r="L20" s="1" t="s">
        <v>330</v>
      </c>
      <c r="M20" s="1" t="s">
        <v>330</v>
      </c>
      <c r="N20" s="1" t="s">
        <v>353</v>
      </c>
      <c r="O20" s="1" t="s">
        <v>330</v>
      </c>
      <c r="P20" s="1" t="s">
        <v>330</v>
      </c>
      <c r="Q20" s="1" t="s">
        <v>330</v>
      </c>
      <c r="R20" s="1" t="s">
        <v>330</v>
      </c>
      <c r="S20" s="1" t="s">
        <v>330</v>
      </c>
      <c r="T20" s="1" t="s">
        <v>330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539</v>
      </c>
      <c r="AH20" s="1">
        <v>2700</v>
      </c>
      <c r="AI20" s="1" t="s">
        <v>1928</v>
      </c>
      <c r="AJ20" s="1">
        <v>0</v>
      </c>
      <c r="AK20" s="1" t="s">
        <v>330</v>
      </c>
      <c r="AL20" s="1" t="s">
        <v>1947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1523</v>
      </c>
      <c r="AS20" s="1">
        <v>0</v>
      </c>
      <c r="AT20" s="1" t="s">
        <v>1891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1948</v>
      </c>
      <c r="C21" s="1" t="s">
        <v>1949</v>
      </c>
      <c r="D21" s="1">
        <v>5</v>
      </c>
      <c r="E21" s="1">
        <v>2</v>
      </c>
      <c r="F21" s="1">
        <v>5</v>
      </c>
      <c r="G21" s="1" t="s">
        <v>330</v>
      </c>
      <c r="H21" s="1" t="s">
        <v>330</v>
      </c>
      <c r="I21" s="1" t="s">
        <v>330</v>
      </c>
      <c r="J21" s="1" t="s">
        <v>330</v>
      </c>
      <c r="K21" s="1" t="s">
        <v>330</v>
      </c>
      <c r="L21" s="1" t="s">
        <v>330</v>
      </c>
      <c r="M21" s="1" t="s">
        <v>330</v>
      </c>
      <c r="N21" s="1" t="s">
        <v>354</v>
      </c>
      <c r="O21" s="1" t="s">
        <v>330</v>
      </c>
      <c r="P21" s="1" t="s">
        <v>330</v>
      </c>
      <c r="Q21" s="1" t="s">
        <v>330</v>
      </c>
      <c r="R21" s="1" t="s">
        <v>330</v>
      </c>
      <c r="S21" s="1" t="s">
        <v>330</v>
      </c>
      <c r="T21" s="1" t="s">
        <v>330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540</v>
      </c>
      <c r="AH21" s="1">
        <v>3300</v>
      </c>
      <c r="AI21" s="1" t="s">
        <v>1928</v>
      </c>
      <c r="AJ21" s="1">
        <v>0</v>
      </c>
      <c r="AK21" s="1" t="s">
        <v>330</v>
      </c>
      <c r="AL21" s="1" t="s">
        <v>1950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1523</v>
      </c>
      <c r="AS21" s="1">
        <v>0</v>
      </c>
      <c r="AT21" s="1" t="s">
        <v>1891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5598</v>
      </c>
      <c r="C22" s="1" t="s">
        <v>5599</v>
      </c>
      <c r="D22" s="1">
        <v>2</v>
      </c>
      <c r="E22" s="1">
        <v>2</v>
      </c>
      <c r="F22" s="1">
        <v>6</v>
      </c>
      <c r="G22" s="1" t="s">
        <v>330</v>
      </c>
      <c r="H22" s="1" t="s">
        <v>330</v>
      </c>
      <c r="I22" s="1" t="s">
        <v>330</v>
      </c>
      <c r="J22" s="1" t="s">
        <v>330</v>
      </c>
      <c r="K22" s="1" t="s">
        <v>330</v>
      </c>
      <c r="L22" s="1" t="s">
        <v>330</v>
      </c>
      <c r="M22" s="1" t="s">
        <v>330</v>
      </c>
      <c r="N22" s="1" t="s">
        <v>330</v>
      </c>
      <c r="O22" s="1" t="s">
        <v>330</v>
      </c>
      <c r="P22" s="1" t="s">
        <v>330</v>
      </c>
      <c r="Q22" s="1" t="s">
        <v>330</v>
      </c>
      <c r="R22" s="1" t="s">
        <v>330</v>
      </c>
      <c r="S22" s="1" t="s">
        <v>330</v>
      </c>
      <c r="T22" s="1" t="s">
        <v>330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905</v>
      </c>
      <c r="AH22" s="1">
        <v>840</v>
      </c>
      <c r="AI22" s="1" t="s">
        <v>330</v>
      </c>
      <c r="AJ22" s="1">
        <v>0</v>
      </c>
      <c r="AK22" s="1" t="s">
        <v>330</v>
      </c>
      <c r="AL22" s="1" t="s">
        <v>5600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330</v>
      </c>
      <c r="AS22" s="1">
        <v>0</v>
      </c>
      <c r="AT22" s="1" t="s">
        <v>1891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5601</v>
      </c>
      <c r="C23" s="1" t="s">
        <v>5602</v>
      </c>
      <c r="D23" s="1">
        <v>3</v>
      </c>
      <c r="E23" s="1">
        <v>2</v>
      </c>
      <c r="F23" s="1">
        <v>6</v>
      </c>
      <c r="G23" s="1" t="s">
        <v>330</v>
      </c>
      <c r="H23" s="1" t="s">
        <v>330</v>
      </c>
      <c r="I23" s="1" t="s">
        <v>330</v>
      </c>
      <c r="J23" s="1" t="s">
        <v>330</v>
      </c>
      <c r="K23" s="1" t="s">
        <v>330</v>
      </c>
      <c r="L23" s="1" t="s">
        <v>330</v>
      </c>
      <c r="M23" s="1" t="s">
        <v>330</v>
      </c>
      <c r="N23" s="1" t="s">
        <v>330</v>
      </c>
      <c r="O23" s="1" t="s">
        <v>330</v>
      </c>
      <c r="P23" s="1" t="s">
        <v>330</v>
      </c>
      <c r="Q23" s="1" t="s">
        <v>330</v>
      </c>
      <c r="R23" s="1" t="s">
        <v>330</v>
      </c>
      <c r="S23" s="1" t="s">
        <v>330</v>
      </c>
      <c r="T23" s="1" t="s">
        <v>330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5603</v>
      </c>
      <c r="AH23" s="1">
        <v>1740</v>
      </c>
      <c r="AI23" s="1" t="s">
        <v>330</v>
      </c>
      <c r="AJ23" s="1">
        <v>0</v>
      </c>
      <c r="AK23" s="1" t="s">
        <v>330</v>
      </c>
      <c r="AL23" s="1" t="s">
        <v>5604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330</v>
      </c>
      <c r="AS23" s="1">
        <v>0</v>
      </c>
      <c r="AT23" s="1" t="s">
        <v>1891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5605</v>
      </c>
      <c r="C24" s="1" t="s">
        <v>5606</v>
      </c>
      <c r="D24" s="1">
        <v>4</v>
      </c>
      <c r="E24" s="1">
        <v>2</v>
      </c>
      <c r="F24" s="1">
        <v>6</v>
      </c>
      <c r="G24" s="1" t="s">
        <v>330</v>
      </c>
      <c r="H24" s="1" t="s">
        <v>330</v>
      </c>
      <c r="I24" s="1" t="s">
        <v>330</v>
      </c>
      <c r="J24" s="1" t="s">
        <v>330</v>
      </c>
      <c r="K24" s="1" t="s">
        <v>330</v>
      </c>
      <c r="L24" s="1" t="s">
        <v>330</v>
      </c>
      <c r="M24" s="1" t="s">
        <v>330</v>
      </c>
      <c r="N24" s="1" t="s">
        <v>330</v>
      </c>
      <c r="O24" s="1" t="s">
        <v>330</v>
      </c>
      <c r="P24" s="1" t="s">
        <v>330</v>
      </c>
      <c r="Q24" s="1" t="s">
        <v>330</v>
      </c>
      <c r="R24" s="1" t="s">
        <v>330</v>
      </c>
      <c r="S24" s="1" t="s">
        <v>330</v>
      </c>
      <c r="T24" s="1" t="s">
        <v>330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4995</v>
      </c>
      <c r="AH24" s="1">
        <v>2640</v>
      </c>
      <c r="AI24" s="1" t="s">
        <v>330</v>
      </c>
      <c r="AJ24" s="1">
        <v>0</v>
      </c>
      <c r="AK24" s="1" t="s">
        <v>330</v>
      </c>
      <c r="AL24" s="1" t="s">
        <v>5607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330</v>
      </c>
      <c r="AS24" s="1">
        <v>0</v>
      </c>
      <c r="AT24" s="1" t="s">
        <v>1891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5608</v>
      </c>
      <c r="C25" s="1" t="s">
        <v>5609</v>
      </c>
      <c r="D25" s="1">
        <v>5</v>
      </c>
      <c r="E25" s="1">
        <v>2</v>
      </c>
      <c r="F25" s="1">
        <v>6</v>
      </c>
      <c r="G25" s="1" t="s">
        <v>330</v>
      </c>
      <c r="H25" s="1" t="s">
        <v>330</v>
      </c>
      <c r="I25" s="1" t="s">
        <v>330</v>
      </c>
      <c r="J25" s="1" t="s">
        <v>330</v>
      </c>
      <c r="K25" s="1" t="s">
        <v>330</v>
      </c>
      <c r="L25" s="1" t="s">
        <v>330</v>
      </c>
      <c r="M25" s="1" t="s">
        <v>330</v>
      </c>
      <c r="N25" s="1" t="s">
        <v>330</v>
      </c>
      <c r="O25" s="1" t="s">
        <v>330</v>
      </c>
      <c r="P25" s="1" t="s">
        <v>330</v>
      </c>
      <c r="Q25" s="1" t="s">
        <v>330</v>
      </c>
      <c r="R25" s="1" t="s">
        <v>330</v>
      </c>
      <c r="S25" s="1" t="s">
        <v>330</v>
      </c>
      <c r="T25" s="1" t="s">
        <v>330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1524</v>
      </c>
      <c r="AH25" s="1">
        <v>3240</v>
      </c>
      <c r="AI25" s="1" t="s">
        <v>330</v>
      </c>
      <c r="AJ25" s="1">
        <v>0</v>
      </c>
      <c r="AK25" s="1" t="s">
        <v>330</v>
      </c>
      <c r="AL25" s="1" t="s">
        <v>5610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330</v>
      </c>
      <c r="AS25" s="1">
        <v>0</v>
      </c>
      <c r="AT25" s="1" t="s">
        <v>1891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5611</v>
      </c>
      <c r="C26" s="1" t="s">
        <v>5612</v>
      </c>
      <c r="D26" s="1">
        <v>2</v>
      </c>
      <c r="E26" s="1">
        <v>2</v>
      </c>
      <c r="F26" s="1">
        <v>6</v>
      </c>
      <c r="G26" s="1" t="s">
        <v>330</v>
      </c>
      <c r="H26" s="1" t="s">
        <v>330</v>
      </c>
      <c r="I26" s="1" t="s">
        <v>330</v>
      </c>
      <c r="J26" s="1" t="s">
        <v>330</v>
      </c>
      <c r="K26" s="1" t="s">
        <v>330</v>
      </c>
      <c r="L26" s="1" t="s">
        <v>330</v>
      </c>
      <c r="M26" s="1" t="s">
        <v>330</v>
      </c>
      <c r="N26" s="1" t="s">
        <v>330</v>
      </c>
      <c r="O26" s="1" t="s">
        <v>330</v>
      </c>
      <c r="P26" s="1" t="s">
        <v>330</v>
      </c>
      <c r="Q26" s="1" t="s">
        <v>330</v>
      </c>
      <c r="R26" s="1" t="s">
        <v>330</v>
      </c>
      <c r="S26" s="1" t="s">
        <v>330</v>
      </c>
      <c r="T26" s="1" t="s">
        <v>330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5009</v>
      </c>
      <c r="AH26" s="1">
        <v>1020</v>
      </c>
      <c r="AI26" s="1" t="s">
        <v>330</v>
      </c>
      <c r="AJ26" s="1">
        <v>0</v>
      </c>
      <c r="AK26" s="1" t="s">
        <v>330</v>
      </c>
      <c r="AL26" s="1" t="s">
        <v>5613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330</v>
      </c>
      <c r="AS26" s="1">
        <v>0</v>
      </c>
      <c r="AT26" s="1" t="s">
        <v>1891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5614</v>
      </c>
      <c r="C27" s="1" t="s">
        <v>5615</v>
      </c>
      <c r="D27" s="1">
        <v>3</v>
      </c>
      <c r="E27" s="1">
        <v>2</v>
      </c>
      <c r="F27" s="1">
        <v>6</v>
      </c>
      <c r="G27" s="1" t="s">
        <v>330</v>
      </c>
      <c r="H27" s="1" t="s">
        <v>330</v>
      </c>
      <c r="I27" s="1" t="s">
        <v>330</v>
      </c>
      <c r="J27" s="1" t="s">
        <v>330</v>
      </c>
      <c r="K27" s="1" t="s">
        <v>330</v>
      </c>
      <c r="L27" s="1" t="s">
        <v>330</v>
      </c>
      <c r="M27" s="1" t="s">
        <v>330</v>
      </c>
      <c r="N27" s="1" t="s">
        <v>330</v>
      </c>
      <c r="O27" s="1" t="s">
        <v>330</v>
      </c>
      <c r="P27" s="1" t="s">
        <v>330</v>
      </c>
      <c r="Q27" s="1" t="s">
        <v>330</v>
      </c>
      <c r="R27" s="1" t="s">
        <v>330</v>
      </c>
      <c r="S27" s="1" t="s">
        <v>330</v>
      </c>
      <c r="T27" s="1" t="s">
        <v>330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5616</v>
      </c>
      <c r="AH27" s="1">
        <v>1920</v>
      </c>
      <c r="AI27" s="1" t="s">
        <v>330</v>
      </c>
      <c r="AJ27" s="1">
        <v>0</v>
      </c>
      <c r="AK27" s="1" t="s">
        <v>330</v>
      </c>
      <c r="AL27" s="1" t="s">
        <v>5617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330</v>
      </c>
      <c r="AS27" s="1">
        <v>0</v>
      </c>
      <c r="AT27" s="1" t="s">
        <v>1891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5618</v>
      </c>
      <c r="C28" s="1" t="s">
        <v>5619</v>
      </c>
      <c r="D28" s="1">
        <v>4</v>
      </c>
      <c r="E28" s="1">
        <v>2</v>
      </c>
      <c r="F28" s="1">
        <v>6</v>
      </c>
      <c r="G28" s="1" t="s">
        <v>330</v>
      </c>
      <c r="H28" s="1" t="s">
        <v>330</v>
      </c>
      <c r="I28" s="1" t="s">
        <v>330</v>
      </c>
      <c r="J28" s="1" t="s">
        <v>330</v>
      </c>
      <c r="K28" s="1" t="s">
        <v>330</v>
      </c>
      <c r="L28" s="1" t="s">
        <v>330</v>
      </c>
      <c r="M28" s="1" t="s">
        <v>330</v>
      </c>
      <c r="N28" s="1" t="s">
        <v>330</v>
      </c>
      <c r="O28" s="1" t="s">
        <v>330</v>
      </c>
      <c r="P28" s="1" t="s">
        <v>330</v>
      </c>
      <c r="Q28" s="1" t="s">
        <v>330</v>
      </c>
      <c r="R28" s="1" t="s">
        <v>330</v>
      </c>
      <c r="S28" s="1" t="s">
        <v>330</v>
      </c>
      <c r="T28" s="1" t="s">
        <v>330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355</v>
      </c>
      <c r="AH28" s="1">
        <v>2820</v>
      </c>
      <c r="AI28" s="1" t="s">
        <v>330</v>
      </c>
      <c r="AJ28" s="1">
        <v>0</v>
      </c>
      <c r="AK28" s="1" t="s">
        <v>330</v>
      </c>
      <c r="AL28" s="1" t="s">
        <v>5620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330</v>
      </c>
      <c r="AS28" s="1">
        <v>0</v>
      </c>
      <c r="AT28" s="1" t="s">
        <v>1891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5621</v>
      </c>
      <c r="C29" s="1" t="s">
        <v>5622</v>
      </c>
      <c r="D29" s="1">
        <v>5</v>
      </c>
      <c r="E29" s="1">
        <v>2</v>
      </c>
      <c r="F29" s="1">
        <v>6</v>
      </c>
      <c r="G29" s="1" t="s">
        <v>330</v>
      </c>
      <c r="H29" s="1" t="s">
        <v>330</v>
      </c>
      <c r="I29" s="1" t="s">
        <v>330</v>
      </c>
      <c r="J29" s="1" t="s">
        <v>330</v>
      </c>
      <c r="K29" s="1" t="s">
        <v>330</v>
      </c>
      <c r="L29" s="1" t="s">
        <v>330</v>
      </c>
      <c r="M29" s="1" t="s">
        <v>330</v>
      </c>
      <c r="N29" s="1" t="s">
        <v>330</v>
      </c>
      <c r="O29" s="1" t="s">
        <v>330</v>
      </c>
      <c r="P29" s="1" t="s">
        <v>330</v>
      </c>
      <c r="Q29" s="1" t="s">
        <v>330</v>
      </c>
      <c r="R29" s="1" t="s">
        <v>330</v>
      </c>
      <c r="S29" s="1" t="s">
        <v>330</v>
      </c>
      <c r="T29" s="1" t="s">
        <v>330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5001</v>
      </c>
      <c r="AH29" s="1">
        <v>3420</v>
      </c>
      <c r="AI29" s="1" t="s">
        <v>330</v>
      </c>
      <c r="AJ29" s="1">
        <v>0</v>
      </c>
      <c r="AK29" s="1" t="s">
        <v>330</v>
      </c>
      <c r="AL29" s="1" t="s">
        <v>5623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330</v>
      </c>
      <c r="AS29" s="1">
        <v>0</v>
      </c>
      <c r="AT29" s="1" t="s">
        <v>1891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1951</v>
      </c>
      <c r="C30" s="1" t="s">
        <v>1952</v>
      </c>
      <c r="D30" s="1">
        <v>2</v>
      </c>
      <c r="E30" s="1">
        <v>2</v>
      </c>
      <c r="F30" s="1">
        <v>8</v>
      </c>
      <c r="G30" s="1" t="s">
        <v>334</v>
      </c>
      <c r="H30" s="1" t="s">
        <v>330</v>
      </c>
      <c r="I30" s="1" t="s">
        <v>330</v>
      </c>
      <c r="J30" s="1" t="s">
        <v>330</v>
      </c>
      <c r="K30" s="1" t="s">
        <v>330</v>
      </c>
      <c r="L30" s="1" t="s">
        <v>330</v>
      </c>
      <c r="M30" s="1" t="s">
        <v>330</v>
      </c>
      <c r="N30" s="1" t="s">
        <v>330</v>
      </c>
      <c r="O30" s="1" t="s">
        <v>330</v>
      </c>
      <c r="P30" s="1" t="s">
        <v>330</v>
      </c>
      <c r="Q30" s="1" t="s">
        <v>330</v>
      </c>
      <c r="R30" s="1" t="s">
        <v>330</v>
      </c>
      <c r="S30" s="1" t="s">
        <v>330</v>
      </c>
      <c r="T30" s="1" t="s">
        <v>330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541</v>
      </c>
      <c r="AH30" s="1">
        <v>1080</v>
      </c>
      <c r="AI30" s="1" t="s">
        <v>1953</v>
      </c>
      <c r="AJ30" s="1">
        <v>0</v>
      </c>
      <c r="AK30" s="1" t="s">
        <v>330</v>
      </c>
      <c r="AL30" s="1" t="s">
        <v>1954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330</v>
      </c>
      <c r="AS30" s="1">
        <v>0</v>
      </c>
      <c r="AT30" s="1" t="s">
        <v>1891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1955</v>
      </c>
      <c r="C31" s="1" t="s">
        <v>1956</v>
      </c>
      <c r="D31" s="1">
        <v>3</v>
      </c>
      <c r="E31" s="1">
        <v>2</v>
      </c>
      <c r="F31" s="1">
        <v>8</v>
      </c>
      <c r="G31" s="1" t="s">
        <v>356</v>
      </c>
      <c r="H31" s="1" t="s">
        <v>330</v>
      </c>
      <c r="I31" s="1" t="s">
        <v>330</v>
      </c>
      <c r="J31" s="1" t="s">
        <v>330</v>
      </c>
      <c r="K31" s="1" t="s">
        <v>330</v>
      </c>
      <c r="L31" s="1" t="s">
        <v>330</v>
      </c>
      <c r="M31" s="1" t="s">
        <v>330</v>
      </c>
      <c r="N31" s="1" t="s">
        <v>330</v>
      </c>
      <c r="O31" s="1" t="s">
        <v>330</v>
      </c>
      <c r="P31" s="1" t="s">
        <v>330</v>
      </c>
      <c r="Q31" s="1" t="s">
        <v>330</v>
      </c>
      <c r="R31" s="1" t="s">
        <v>330</v>
      </c>
      <c r="S31" s="1" t="s">
        <v>330</v>
      </c>
      <c r="T31" s="1" t="s">
        <v>330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542</v>
      </c>
      <c r="AH31" s="1">
        <v>1980</v>
      </c>
      <c r="AI31" s="1" t="s">
        <v>1953</v>
      </c>
      <c r="AJ31" s="1">
        <v>0</v>
      </c>
      <c r="AK31" s="1" t="s">
        <v>330</v>
      </c>
      <c r="AL31" s="1" t="s">
        <v>1957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1525</v>
      </c>
      <c r="AS31" s="1">
        <v>0</v>
      </c>
      <c r="AT31" s="1" t="s">
        <v>1891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1958</v>
      </c>
      <c r="C32" s="1" t="s">
        <v>1959</v>
      </c>
      <c r="D32" s="1">
        <v>4</v>
      </c>
      <c r="E32" s="1">
        <v>2</v>
      </c>
      <c r="F32" s="1">
        <v>8</v>
      </c>
      <c r="G32" s="1" t="s">
        <v>357</v>
      </c>
      <c r="H32" s="1" t="s">
        <v>330</v>
      </c>
      <c r="I32" s="1" t="s">
        <v>330</v>
      </c>
      <c r="J32" s="1" t="s">
        <v>330</v>
      </c>
      <c r="K32" s="1" t="s">
        <v>330</v>
      </c>
      <c r="L32" s="1" t="s">
        <v>330</v>
      </c>
      <c r="M32" s="1" t="s">
        <v>330</v>
      </c>
      <c r="N32" s="1" t="s">
        <v>330</v>
      </c>
      <c r="O32" s="1" t="s">
        <v>330</v>
      </c>
      <c r="P32" s="1" t="s">
        <v>330</v>
      </c>
      <c r="Q32" s="1" t="s">
        <v>330</v>
      </c>
      <c r="R32" s="1" t="s">
        <v>330</v>
      </c>
      <c r="S32" s="1" t="s">
        <v>330</v>
      </c>
      <c r="T32" s="1" t="s">
        <v>330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543</v>
      </c>
      <c r="AH32" s="1">
        <v>2880</v>
      </c>
      <c r="AI32" s="1" t="s">
        <v>1953</v>
      </c>
      <c r="AJ32" s="1">
        <v>0</v>
      </c>
      <c r="AK32" s="1" t="s">
        <v>330</v>
      </c>
      <c r="AL32" s="1" t="s">
        <v>1960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1526</v>
      </c>
      <c r="AS32" s="1">
        <v>0</v>
      </c>
      <c r="AT32" s="1" t="s">
        <v>1891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1961</v>
      </c>
      <c r="C33" s="1" t="s">
        <v>1962</v>
      </c>
      <c r="D33" s="1">
        <v>5</v>
      </c>
      <c r="E33" s="1">
        <v>2</v>
      </c>
      <c r="F33" s="1">
        <v>8</v>
      </c>
      <c r="G33" s="1" t="s">
        <v>358</v>
      </c>
      <c r="H33" s="1" t="s">
        <v>330</v>
      </c>
      <c r="I33" s="1" t="s">
        <v>330</v>
      </c>
      <c r="J33" s="1" t="s">
        <v>330</v>
      </c>
      <c r="K33" s="1" t="s">
        <v>330</v>
      </c>
      <c r="L33" s="1" t="s">
        <v>330</v>
      </c>
      <c r="M33" s="1" t="s">
        <v>330</v>
      </c>
      <c r="N33" s="1" t="s">
        <v>330</v>
      </c>
      <c r="O33" s="1" t="s">
        <v>330</v>
      </c>
      <c r="P33" s="1" t="s">
        <v>330</v>
      </c>
      <c r="Q33" s="1" t="s">
        <v>330</v>
      </c>
      <c r="R33" s="1" t="s">
        <v>330</v>
      </c>
      <c r="S33" s="1" t="s">
        <v>330</v>
      </c>
      <c r="T33" s="1" t="s">
        <v>330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544</v>
      </c>
      <c r="AH33" s="1">
        <v>3480</v>
      </c>
      <c r="AI33" s="1" t="s">
        <v>1953</v>
      </c>
      <c r="AJ33" s="1">
        <v>0</v>
      </c>
      <c r="AK33" s="1" t="s">
        <v>330</v>
      </c>
      <c r="AL33" s="1" t="s">
        <v>1963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1527</v>
      </c>
      <c r="AS33" s="1">
        <v>0</v>
      </c>
      <c r="AT33" s="1" t="s">
        <v>1891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5624</v>
      </c>
      <c r="C34" s="1" t="s">
        <v>5625</v>
      </c>
      <c r="D34" s="1">
        <v>2</v>
      </c>
      <c r="E34" s="1">
        <v>3</v>
      </c>
      <c r="F34" s="1">
        <v>9</v>
      </c>
      <c r="G34" s="1" t="s">
        <v>330</v>
      </c>
      <c r="H34" s="1" t="s">
        <v>330</v>
      </c>
      <c r="I34" s="1" t="s">
        <v>330</v>
      </c>
      <c r="J34" s="1" t="s">
        <v>330</v>
      </c>
      <c r="K34" s="1" t="s">
        <v>330</v>
      </c>
      <c r="L34" s="1" t="s">
        <v>330</v>
      </c>
      <c r="M34" s="1" t="s">
        <v>330</v>
      </c>
      <c r="N34" s="1" t="s">
        <v>330</v>
      </c>
      <c r="O34" s="1" t="s">
        <v>330</v>
      </c>
      <c r="P34" s="1" t="s">
        <v>330</v>
      </c>
      <c r="Q34" s="1" t="s">
        <v>330</v>
      </c>
      <c r="R34" s="1" t="s">
        <v>330</v>
      </c>
      <c r="S34" s="1" t="s">
        <v>330</v>
      </c>
      <c r="T34" s="1" t="s">
        <v>330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5090</v>
      </c>
      <c r="AH34" s="1">
        <v>660</v>
      </c>
      <c r="AI34" s="1" t="s">
        <v>330</v>
      </c>
      <c r="AJ34" s="1">
        <v>0</v>
      </c>
      <c r="AK34" s="1" t="s">
        <v>330</v>
      </c>
      <c r="AL34" s="1" t="s">
        <v>5626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330</v>
      </c>
      <c r="AS34" s="1">
        <v>0</v>
      </c>
      <c r="AT34" s="1" t="s">
        <v>1891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5627</v>
      </c>
      <c r="C35" s="1" t="s">
        <v>5628</v>
      </c>
      <c r="D35" s="1">
        <v>3</v>
      </c>
      <c r="E35" s="1">
        <v>3</v>
      </c>
      <c r="F35" s="1">
        <v>9</v>
      </c>
      <c r="G35" s="1" t="s">
        <v>330</v>
      </c>
      <c r="H35" s="1" t="s">
        <v>330</v>
      </c>
      <c r="I35" s="1" t="s">
        <v>330</v>
      </c>
      <c r="J35" s="1" t="s">
        <v>330</v>
      </c>
      <c r="K35" s="1" t="s">
        <v>330</v>
      </c>
      <c r="L35" s="1" t="s">
        <v>330</v>
      </c>
      <c r="M35" s="1" t="s">
        <v>330</v>
      </c>
      <c r="N35" s="1" t="s">
        <v>330</v>
      </c>
      <c r="O35" s="1" t="s">
        <v>330</v>
      </c>
      <c r="P35" s="1" t="s">
        <v>330</v>
      </c>
      <c r="Q35" s="1" t="s">
        <v>330</v>
      </c>
      <c r="R35" s="1" t="s">
        <v>330</v>
      </c>
      <c r="S35" s="1" t="s">
        <v>330</v>
      </c>
      <c r="T35" s="1" t="s">
        <v>330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5629</v>
      </c>
      <c r="AH35" s="1">
        <v>1560</v>
      </c>
      <c r="AI35" s="1" t="s">
        <v>330</v>
      </c>
      <c r="AJ35" s="1">
        <v>0</v>
      </c>
      <c r="AK35" s="1" t="s">
        <v>330</v>
      </c>
      <c r="AL35" s="1" t="s">
        <v>5630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330</v>
      </c>
      <c r="AS35" s="1">
        <v>0</v>
      </c>
      <c r="AT35" s="1" t="s">
        <v>1891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5631</v>
      </c>
      <c r="C36" s="1" t="s">
        <v>5632</v>
      </c>
      <c r="D36" s="1">
        <v>4</v>
      </c>
      <c r="E36" s="1">
        <v>3</v>
      </c>
      <c r="F36" s="1">
        <v>9</v>
      </c>
      <c r="G36" s="1" t="s">
        <v>330</v>
      </c>
      <c r="H36" s="1" t="s">
        <v>330</v>
      </c>
      <c r="I36" s="1" t="s">
        <v>330</v>
      </c>
      <c r="J36" s="1" t="s">
        <v>330</v>
      </c>
      <c r="K36" s="1" t="s">
        <v>330</v>
      </c>
      <c r="L36" s="1" t="s">
        <v>330</v>
      </c>
      <c r="M36" s="1" t="s">
        <v>330</v>
      </c>
      <c r="N36" s="1" t="s">
        <v>330</v>
      </c>
      <c r="O36" s="1" t="s">
        <v>330</v>
      </c>
      <c r="P36" s="1" t="s">
        <v>330</v>
      </c>
      <c r="Q36" s="1" t="s">
        <v>330</v>
      </c>
      <c r="R36" s="1" t="s">
        <v>330</v>
      </c>
      <c r="S36" s="1" t="s">
        <v>330</v>
      </c>
      <c r="T36" s="1" t="s">
        <v>330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5502</v>
      </c>
      <c r="AH36" s="1">
        <v>2460</v>
      </c>
      <c r="AI36" s="1" t="s">
        <v>330</v>
      </c>
      <c r="AJ36" s="1">
        <v>0</v>
      </c>
      <c r="AK36" s="1" t="s">
        <v>330</v>
      </c>
      <c r="AL36" s="1" t="s">
        <v>5633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330</v>
      </c>
      <c r="AS36" s="1">
        <v>0</v>
      </c>
      <c r="AT36" s="1" t="s">
        <v>1891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5634</v>
      </c>
      <c r="C37" s="1" t="s">
        <v>5635</v>
      </c>
      <c r="D37" s="1">
        <v>5</v>
      </c>
      <c r="E37" s="1">
        <v>3</v>
      </c>
      <c r="F37" s="1">
        <v>9</v>
      </c>
      <c r="G37" s="1" t="s">
        <v>330</v>
      </c>
      <c r="H37" s="1" t="s">
        <v>330</v>
      </c>
      <c r="I37" s="1" t="s">
        <v>330</v>
      </c>
      <c r="J37" s="1" t="s">
        <v>330</v>
      </c>
      <c r="K37" s="1" t="s">
        <v>330</v>
      </c>
      <c r="L37" s="1" t="s">
        <v>330</v>
      </c>
      <c r="M37" s="1" t="s">
        <v>330</v>
      </c>
      <c r="N37" s="1" t="s">
        <v>330</v>
      </c>
      <c r="O37" s="1" t="s">
        <v>330</v>
      </c>
      <c r="P37" s="1" t="s">
        <v>330</v>
      </c>
      <c r="Q37" s="1" t="s">
        <v>330</v>
      </c>
      <c r="R37" s="1" t="s">
        <v>330</v>
      </c>
      <c r="S37" s="1" t="s">
        <v>330</v>
      </c>
      <c r="T37" s="1" t="s">
        <v>330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359</v>
      </c>
      <c r="AH37" s="1">
        <v>3060</v>
      </c>
      <c r="AI37" s="1" t="s">
        <v>330</v>
      </c>
      <c r="AJ37" s="1">
        <v>0</v>
      </c>
      <c r="AK37" s="1" t="s">
        <v>330</v>
      </c>
      <c r="AL37" s="1" t="s">
        <v>5636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330</v>
      </c>
      <c r="AS37" s="1">
        <v>0</v>
      </c>
      <c r="AT37" s="1" t="s">
        <v>1891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1964</v>
      </c>
      <c r="C38" s="1" t="s">
        <v>1965</v>
      </c>
      <c r="D38" s="1">
        <v>2</v>
      </c>
      <c r="E38" s="1">
        <v>3</v>
      </c>
      <c r="F38" s="1">
        <v>10</v>
      </c>
      <c r="G38" s="1" t="s">
        <v>342</v>
      </c>
      <c r="H38" s="1" t="s">
        <v>330</v>
      </c>
      <c r="I38" s="1" t="s">
        <v>360</v>
      </c>
      <c r="J38" s="1" t="s">
        <v>330</v>
      </c>
      <c r="K38" s="1" t="s">
        <v>330</v>
      </c>
      <c r="L38" s="1" t="s">
        <v>330</v>
      </c>
      <c r="M38" s="1" t="s">
        <v>330</v>
      </c>
      <c r="N38" s="1" t="s">
        <v>330</v>
      </c>
      <c r="O38" s="1" t="s">
        <v>330</v>
      </c>
      <c r="P38" s="1" t="s">
        <v>330</v>
      </c>
      <c r="Q38" s="1" t="s">
        <v>330</v>
      </c>
      <c r="R38" s="1" t="s">
        <v>330</v>
      </c>
      <c r="S38" s="1" t="s">
        <v>330</v>
      </c>
      <c r="T38" s="1" t="s">
        <v>330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545</v>
      </c>
      <c r="AH38" s="1">
        <v>720</v>
      </c>
      <c r="AI38" s="1" t="s">
        <v>1928</v>
      </c>
      <c r="AJ38" s="1">
        <v>0</v>
      </c>
      <c r="AK38" s="1" t="s">
        <v>330</v>
      </c>
      <c r="AL38" s="1" t="s">
        <v>1966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330</v>
      </c>
      <c r="AS38" s="1">
        <v>0</v>
      </c>
      <c r="AT38" s="1" t="s">
        <v>1891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1967</v>
      </c>
      <c r="C39" s="1" t="s">
        <v>1968</v>
      </c>
      <c r="D39" s="1">
        <v>3</v>
      </c>
      <c r="E39" s="1">
        <v>3</v>
      </c>
      <c r="F39" s="1">
        <v>10</v>
      </c>
      <c r="G39" s="1" t="s">
        <v>338</v>
      </c>
      <c r="H39" s="1" t="s">
        <v>330</v>
      </c>
      <c r="I39" s="1" t="s">
        <v>361</v>
      </c>
      <c r="J39" s="1" t="s">
        <v>330</v>
      </c>
      <c r="K39" s="1" t="s">
        <v>330</v>
      </c>
      <c r="L39" s="1" t="s">
        <v>330</v>
      </c>
      <c r="M39" s="1" t="s">
        <v>330</v>
      </c>
      <c r="N39" s="1" t="s">
        <v>330</v>
      </c>
      <c r="O39" s="1" t="s">
        <v>330</v>
      </c>
      <c r="P39" s="1" t="s">
        <v>330</v>
      </c>
      <c r="Q39" s="1" t="s">
        <v>330</v>
      </c>
      <c r="R39" s="1" t="s">
        <v>330</v>
      </c>
      <c r="S39" s="1" t="s">
        <v>330</v>
      </c>
      <c r="T39" s="1" t="s">
        <v>330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546</v>
      </c>
      <c r="AH39" s="1">
        <v>1620</v>
      </c>
      <c r="AI39" s="1" t="s">
        <v>1928</v>
      </c>
      <c r="AJ39" s="1">
        <v>0</v>
      </c>
      <c r="AK39" s="1" t="s">
        <v>330</v>
      </c>
      <c r="AL39" s="1" t="s">
        <v>1969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1528</v>
      </c>
      <c r="AS39" s="1">
        <v>0</v>
      </c>
      <c r="AT39" s="1" t="s">
        <v>1891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1970</v>
      </c>
      <c r="C40" s="1" t="s">
        <v>1971</v>
      </c>
      <c r="D40" s="1">
        <v>4</v>
      </c>
      <c r="E40" s="1">
        <v>3</v>
      </c>
      <c r="F40" s="1">
        <v>10</v>
      </c>
      <c r="G40" s="1" t="s">
        <v>362</v>
      </c>
      <c r="H40" s="1" t="s">
        <v>330</v>
      </c>
      <c r="I40" s="1" t="s">
        <v>363</v>
      </c>
      <c r="J40" s="1" t="s">
        <v>330</v>
      </c>
      <c r="K40" s="1" t="s">
        <v>330</v>
      </c>
      <c r="L40" s="1" t="s">
        <v>330</v>
      </c>
      <c r="M40" s="1" t="s">
        <v>330</v>
      </c>
      <c r="N40" s="1" t="s">
        <v>330</v>
      </c>
      <c r="O40" s="1" t="s">
        <v>330</v>
      </c>
      <c r="P40" s="1" t="s">
        <v>330</v>
      </c>
      <c r="Q40" s="1" t="s">
        <v>330</v>
      </c>
      <c r="R40" s="1" t="s">
        <v>330</v>
      </c>
      <c r="S40" s="1" t="s">
        <v>330</v>
      </c>
      <c r="T40" s="1" t="s">
        <v>330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547</v>
      </c>
      <c r="AH40" s="1">
        <v>2520</v>
      </c>
      <c r="AI40" s="1" t="s">
        <v>1928</v>
      </c>
      <c r="AJ40" s="1">
        <v>0</v>
      </c>
      <c r="AK40" s="1" t="s">
        <v>330</v>
      </c>
      <c r="AL40" s="1" t="s">
        <v>1972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1528</v>
      </c>
      <c r="AS40" s="1">
        <v>0</v>
      </c>
      <c r="AT40" s="1" t="s">
        <v>1891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1973</v>
      </c>
      <c r="C41" s="1" t="s">
        <v>1974</v>
      </c>
      <c r="D41" s="1">
        <v>5</v>
      </c>
      <c r="E41" s="1">
        <v>3</v>
      </c>
      <c r="F41" s="1">
        <v>10</v>
      </c>
      <c r="G41" s="1" t="s">
        <v>364</v>
      </c>
      <c r="H41" s="1" t="s">
        <v>330</v>
      </c>
      <c r="I41" s="1" t="s">
        <v>365</v>
      </c>
      <c r="J41" s="1" t="s">
        <v>330</v>
      </c>
      <c r="K41" s="1" t="s">
        <v>330</v>
      </c>
      <c r="L41" s="1" t="s">
        <v>330</v>
      </c>
      <c r="M41" s="1" t="s">
        <v>330</v>
      </c>
      <c r="N41" s="1" t="s">
        <v>330</v>
      </c>
      <c r="O41" s="1" t="s">
        <v>330</v>
      </c>
      <c r="P41" s="1" t="s">
        <v>330</v>
      </c>
      <c r="Q41" s="1" t="s">
        <v>330</v>
      </c>
      <c r="R41" s="1" t="s">
        <v>330</v>
      </c>
      <c r="S41" s="1" t="s">
        <v>330</v>
      </c>
      <c r="T41" s="1" t="s">
        <v>330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548</v>
      </c>
      <c r="AH41" s="1">
        <v>3120</v>
      </c>
      <c r="AI41" s="1" t="s">
        <v>1928</v>
      </c>
      <c r="AJ41" s="1">
        <v>0</v>
      </c>
      <c r="AK41" s="1" t="s">
        <v>330</v>
      </c>
      <c r="AL41" s="1" t="s">
        <v>1975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1528</v>
      </c>
      <c r="AS41" s="1">
        <v>0</v>
      </c>
      <c r="AT41" s="1" t="s">
        <v>1891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1976</v>
      </c>
      <c r="C42" s="1" t="s">
        <v>1977</v>
      </c>
      <c r="D42" s="1">
        <v>3</v>
      </c>
      <c r="E42" s="1">
        <v>3</v>
      </c>
      <c r="F42" s="1">
        <v>11</v>
      </c>
      <c r="G42" s="1" t="s">
        <v>330</v>
      </c>
      <c r="H42" s="1" t="s">
        <v>330</v>
      </c>
      <c r="I42" s="1" t="s">
        <v>332</v>
      </c>
      <c r="J42" s="1" t="s">
        <v>330</v>
      </c>
      <c r="K42" s="1" t="s">
        <v>330</v>
      </c>
      <c r="L42" s="1" t="s">
        <v>330</v>
      </c>
      <c r="M42" s="1" t="s">
        <v>330</v>
      </c>
      <c r="N42" s="1" t="s">
        <v>330</v>
      </c>
      <c r="O42" s="1" t="s">
        <v>366</v>
      </c>
      <c r="P42" s="1" t="s">
        <v>330</v>
      </c>
      <c r="Q42" s="1" t="s">
        <v>330</v>
      </c>
      <c r="R42" s="1" t="s">
        <v>330</v>
      </c>
      <c r="S42" s="1" t="s">
        <v>330</v>
      </c>
      <c r="T42" s="1" t="s">
        <v>330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549</v>
      </c>
      <c r="AH42" s="1">
        <v>1560</v>
      </c>
      <c r="AI42" s="1" t="s">
        <v>1928</v>
      </c>
      <c r="AJ42" s="1">
        <v>0</v>
      </c>
      <c r="AK42" s="1" t="s">
        <v>330</v>
      </c>
      <c r="AL42" s="1" t="s">
        <v>1978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1529</v>
      </c>
      <c r="AS42" s="1">
        <v>0</v>
      </c>
      <c r="AT42" s="1" t="s">
        <v>1891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1979</v>
      </c>
      <c r="C43" s="1" t="s">
        <v>1980</v>
      </c>
      <c r="D43" s="1">
        <v>4</v>
      </c>
      <c r="E43" s="1">
        <v>3</v>
      </c>
      <c r="F43" s="1">
        <v>11</v>
      </c>
      <c r="G43" s="1" t="s">
        <v>330</v>
      </c>
      <c r="H43" s="1" t="s">
        <v>330</v>
      </c>
      <c r="I43" s="1" t="s">
        <v>332</v>
      </c>
      <c r="J43" s="1" t="s">
        <v>330</v>
      </c>
      <c r="K43" s="1" t="s">
        <v>330</v>
      </c>
      <c r="L43" s="1" t="s">
        <v>330</v>
      </c>
      <c r="M43" s="1" t="s">
        <v>330</v>
      </c>
      <c r="N43" s="1" t="s">
        <v>330</v>
      </c>
      <c r="O43" s="1" t="s">
        <v>367</v>
      </c>
      <c r="P43" s="1" t="s">
        <v>330</v>
      </c>
      <c r="Q43" s="1" t="s">
        <v>330</v>
      </c>
      <c r="R43" s="1" t="s">
        <v>330</v>
      </c>
      <c r="S43" s="1" t="s">
        <v>330</v>
      </c>
      <c r="T43" s="1" t="s">
        <v>330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550</v>
      </c>
      <c r="AH43" s="1">
        <v>2460</v>
      </c>
      <c r="AI43" s="1" t="s">
        <v>1928</v>
      </c>
      <c r="AJ43" s="1">
        <v>0</v>
      </c>
      <c r="AK43" s="1" t="s">
        <v>330</v>
      </c>
      <c r="AL43" s="1" t="s">
        <v>1981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1529</v>
      </c>
      <c r="AS43" s="1">
        <v>0</v>
      </c>
      <c r="AT43" s="1" t="s">
        <v>1891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1982</v>
      </c>
      <c r="C44" s="1" t="s">
        <v>1983</v>
      </c>
      <c r="D44" s="1">
        <v>5</v>
      </c>
      <c r="E44" s="1">
        <v>3</v>
      </c>
      <c r="F44" s="1">
        <v>11</v>
      </c>
      <c r="G44" s="1" t="s">
        <v>330</v>
      </c>
      <c r="H44" s="1" t="s">
        <v>330</v>
      </c>
      <c r="I44" s="1" t="s">
        <v>368</v>
      </c>
      <c r="J44" s="1" t="s">
        <v>330</v>
      </c>
      <c r="K44" s="1" t="s">
        <v>330</v>
      </c>
      <c r="L44" s="1" t="s">
        <v>330</v>
      </c>
      <c r="M44" s="1" t="s">
        <v>330</v>
      </c>
      <c r="N44" s="1" t="s">
        <v>330</v>
      </c>
      <c r="O44" s="1" t="s">
        <v>360</v>
      </c>
      <c r="P44" s="1" t="s">
        <v>330</v>
      </c>
      <c r="Q44" s="1" t="s">
        <v>330</v>
      </c>
      <c r="R44" s="1" t="s">
        <v>330</v>
      </c>
      <c r="S44" s="1" t="s">
        <v>330</v>
      </c>
      <c r="T44" s="1" t="s">
        <v>330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551</v>
      </c>
      <c r="AH44" s="1">
        <v>3060</v>
      </c>
      <c r="AI44" s="1" t="s">
        <v>1928</v>
      </c>
      <c r="AJ44" s="1">
        <v>0</v>
      </c>
      <c r="AK44" s="1" t="s">
        <v>330</v>
      </c>
      <c r="AL44" s="1" t="s">
        <v>1984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1529</v>
      </c>
      <c r="AS44" s="1">
        <v>0</v>
      </c>
      <c r="AT44" s="1" t="s">
        <v>1891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5638</v>
      </c>
      <c r="C45" s="1" t="s">
        <v>5639</v>
      </c>
      <c r="D45" s="1">
        <v>2</v>
      </c>
      <c r="E45" s="1">
        <v>3</v>
      </c>
      <c r="F45" s="1">
        <v>12</v>
      </c>
      <c r="G45" s="1" t="s">
        <v>330</v>
      </c>
      <c r="H45" s="1" t="s">
        <v>330</v>
      </c>
      <c r="I45" s="1" t="s">
        <v>330</v>
      </c>
      <c r="J45" s="1" t="s">
        <v>330</v>
      </c>
      <c r="K45" s="1" t="s">
        <v>330</v>
      </c>
      <c r="L45" s="1" t="s">
        <v>330</v>
      </c>
      <c r="M45" s="1" t="s">
        <v>330</v>
      </c>
      <c r="N45" s="1" t="s">
        <v>330</v>
      </c>
      <c r="O45" s="1" t="s">
        <v>330</v>
      </c>
      <c r="P45" s="1" t="s">
        <v>330</v>
      </c>
      <c r="Q45" s="1" t="s">
        <v>330</v>
      </c>
      <c r="R45" s="1" t="s">
        <v>330</v>
      </c>
      <c r="S45" s="1" t="s">
        <v>330</v>
      </c>
      <c r="T45" s="1" t="s">
        <v>330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5640</v>
      </c>
      <c r="AH45" s="1">
        <v>1200</v>
      </c>
      <c r="AI45" s="1" t="s">
        <v>330</v>
      </c>
      <c r="AJ45" s="1">
        <v>0</v>
      </c>
      <c r="AK45" s="1" t="s">
        <v>330</v>
      </c>
      <c r="AL45" s="1" t="s">
        <v>5641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330</v>
      </c>
      <c r="AS45" s="1">
        <v>0</v>
      </c>
      <c r="AT45" s="1" t="s">
        <v>1891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5642</v>
      </c>
      <c r="C46" s="1" t="s">
        <v>5643</v>
      </c>
      <c r="D46" s="1">
        <v>3</v>
      </c>
      <c r="E46" s="1">
        <v>3</v>
      </c>
      <c r="F46" s="1">
        <v>12</v>
      </c>
      <c r="G46" s="1" t="s">
        <v>330</v>
      </c>
      <c r="H46" s="1" t="s">
        <v>330</v>
      </c>
      <c r="I46" s="1" t="s">
        <v>330</v>
      </c>
      <c r="J46" s="1" t="s">
        <v>330</v>
      </c>
      <c r="K46" s="1" t="s">
        <v>330</v>
      </c>
      <c r="L46" s="1" t="s">
        <v>330</v>
      </c>
      <c r="M46" s="1" t="s">
        <v>330</v>
      </c>
      <c r="N46" s="1" t="s">
        <v>330</v>
      </c>
      <c r="O46" s="1" t="s">
        <v>330</v>
      </c>
      <c r="P46" s="1" t="s">
        <v>330</v>
      </c>
      <c r="Q46" s="1" t="s">
        <v>330</v>
      </c>
      <c r="R46" s="1" t="s">
        <v>330</v>
      </c>
      <c r="S46" s="1" t="s">
        <v>330</v>
      </c>
      <c r="T46" s="1" t="s">
        <v>330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369</v>
      </c>
      <c r="AH46" s="1">
        <v>2100</v>
      </c>
      <c r="AI46" s="1" t="s">
        <v>330</v>
      </c>
      <c r="AJ46" s="1">
        <v>0</v>
      </c>
      <c r="AK46" s="1" t="s">
        <v>330</v>
      </c>
      <c r="AL46" s="1" t="s">
        <v>5644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330</v>
      </c>
      <c r="AS46" s="1">
        <v>0</v>
      </c>
      <c r="AT46" s="1" t="s">
        <v>1891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5645</v>
      </c>
      <c r="C47" s="1" t="s">
        <v>5646</v>
      </c>
      <c r="D47" s="1">
        <v>4</v>
      </c>
      <c r="E47" s="1">
        <v>3</v>
      </c>
      <c r="F47" s="1">
        <v>12</v>
      </c>
      <c r="G47" s="1" t="s">
        <v>330</v>
      </c>
      <c r="H47" s="1" t="s">
        <v>330</v>
      </c>
      <c r="I47" s="1" t="s">
        <v>330</v>
      </c>
      <c r="J47" s="1" t="s">
        <v>330</v>
      </c>
      <c r="K47" s="1" t="s">
        <v>330</v>
      </c>
      <c r="L47" s="1" t="s">
        <v>330</v>
      </c>
      <c r="M47" s="1" t="s">
        <v>330</v>
      </c>
      <c r="N47" s="1" t="s">
        <v>330</v>
      </c>
      <c r="O47" s="1" t="s">
        <v>330</v>
      </c>
      <c r="P47" s="1" t="s">
        <v>330</v>
      </c>
      <c r="Q47" s="1" t="s">
        <v>330</v>
      </c>
      <c r="R47" s="1" t="s">
        <v>330</v>
      </c>
      <c r="S47" s="1" t="s">
        <v>330</v>
      </c>
      <c r="T47" s="1" t="s">
        <v>330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5647</v>
      </c>
      <c r="AH47" s="1">
        <v>3000</v>
      </c>
      <c r="AI47" s="1" t="s">
        <v>330</v>
      </c>
      <c r="AJ47" s="1">
        <v>0</v>
      </c>
      <c r="AK47" s="1" t="s">
        <v>330</v>
      </c>
      <c r="AL47" s="1" t="s">
        <v>5648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330</v>
      </c>
      <c r="AS47" s="1">
        <v>0</v>
      </c>
      <c r="AT47" s="1" t="s">
        <v>1891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5649</v>
      </c>
      <c r="C48" s="1" t="s">
        <v>5650</v>
      </c>
      <c r="D48" s="1">
        <v>5</v>
      </c>
      <c r="E48" s="1">
        <v>3</v>
      </c>
      <c r="F48" s="1">
        <v>12</v>
      </c>
      <c r="G48" s="1" t="s">
        <v>330</v>
      </c>
      <c r="H48" s="1" t="s">
        <v>330</v>
      </c>
      <c r="I48" s="1" t="s">
        <v>330</v>
      </c>
      <c r="J48" s="1" t="s">
        <v>330</v>
      </c>
      <c r="K48" s="1" t="s">
        <v>330</v>
      </c>
      <c r="L48" s="1" t="s">
        <v>330</v>
      </c>
      <c r="M48" s="1" t="s">
        <v>330</v>
      </c>
      <c r="N48" s="1" t="s">
        <v>330</v>
      </c>
      <c r="O48" s="1" t="s">
        <v>330</v>
      </c>
      <c r="P48" s="1" t="s">
        <v>330</v>
      </c>
      <c r="Q48" s="1" t="s">
        <v>330</v>
      </c>
      <c r="R48" s="1" t="s">
        <v>330</v>
      </c>
      <c r="S48" s="1" t="s">
        <v>330</v>
      </c>
      <c r="T48" s="1" t="s">
        <v>330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899</v>
      </c>
      <c r="AH48" s="1">
        <v>3600</v>
      </c>
      <c r="AI48" s="1" t="s">
        <v>330</v>
      </c>
      <c r="AJ48" s="1">
        <v>0</v>
      </c>
      <c r="AK48" s="1" t="s">
        <v>330</v>
      </c>
      <c r="AL48" s="1" t="s">
        <v>5651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330</v>
      </c>
      <c r="AS48" s="1">
        <v>0</v>
      </c>
      <c r="AT48" s="1" t="s">
        <v>1891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5652</v>
      </c>
      <c r="C49" s="1" t="s">
        <v>5653</v>
      </c>
      <c r="D49" s="1">
        <v>5</v>
      </c>
      <c r="E49" s="1">
        <v>1</v>
      </c>
      <c r="F49" s="1">
        <v>4</v>
      </c>
      <c r="G49" s="1" t="s">
        <v>330</v>
      </c>
      <c r="H49" s="1" t="s">
        <v>330</v>
      </c>
      <c r="I49" s="1" t="s">
        <v>330</v>
      </c>
      <c r="J49" s="1" t="s">
        <v>330</v>
      </c>
      <c r="K49" s="1" t="s">
        <v>330</v>
      </c>
      <c r="L49" s="1" t="s">
        <v>330</v>
      </c>
      <c r="M49" s="1" t="s">
        <v>330</v>
      </c>
      <c r="N49" s="1" t="s">
        <v>330</v>
      </c>
      <c r="O49" s="1" t="s">
        <v>330</v>
      </c>
      <c r="P49" s="1" t="s">
        <v>330</v>
      </c>
      <c r="Q49" s="1" t="s">
        <v>330</v>
      </c>
      <c r="R49" s="1" t="s">
        <v>330</v>
      </c>
      <c r="S49" s="1" t="s">
        <v>370</v>
      </c>
      <c r="T49" s="1" t="s">
        <v>330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5654</v>
      </c>
      <c r="AH49" s="1">
        <v>3120</v>
      </c>
      <c r="AI49" s="1" t="s">
        <v>2003</v>
      </c>
      <c r="AJ49" s="1">
        <v>0</v>
      </c>
      <c r="AK49" s="1" t="s">
        <v>330</v>
      </c>
      <c r="AL49" s="1" t="s">
        <v>5655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330</v>
      </c>
      <c r="AS49" s="1">
        <v>0</v>
      </c>
      <c r="AT49" s="1" t="s">
        <v>1891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5656</v>
      </c>
      <c r="C50" s="1" t="s">
        <v>5657</v>
      </c>
      <c r="D50" s="1">
        <v>5</v>
      </c>
      <c r="E50" s="1">
        <v>2</v>
      </c>
      <c r="F50" s="1">
        <v>5</v>
      </c>
      <c r="G50" s="1" t="s">
        <v>330</v>
      </c>
      <c r="H50" s="1" t="s">
        <v>330</v>
      </c>
      <c r="I50" s="1" t="s">
        <v>330</v>
      </c>
      <c r="J50" s="1" t="s">
        <v>330</v>
      </c>
      <c r="K50" s="1" t="s">
        <v>330</v>
      </c>
      <c r="L50" s="1" t="s">
        <v>330</v>
      </c>
      <c r="M50" s="1" t="s">
        <v>330</v>
      </c>
      <c r="N50" s="1" t="s">
        <v>5658</v>
      </c>
      <c r="O50" s="1" t="s">
        <v>330</v>
      </c>
      <c r="P50" s="1" t="s">
        <v>330</v>
      </c>
      <c r="Q50" s="1" t="s">
        <v>330</v>
      </c>
      <c r="R50" s="1" t="s">
        <v>330</v>
      </c>
      <c r="S50" s="1" t="s">
        <v>330</v>
      </c>
      <c r="T50" s="1" t="s">
        <v>330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5659</v>
      </c>
      <c r="AH50" s="1">
        <v>3420</v>
      </c>
      <c r="AI50" s="1" t="s">
        <v>2003</v>
      </c>
      <c r="AJ50" s="1">
        <v>0</v>
      </c>
      <c r="AK50" s="1" t="s">
        <v>330</v>
      </c>
      <c r="AL50" s="1" t="s">
        <v>5660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1523</v>
      </c>
      <c r="AS50" s="1">
        <v>0</v>
      </c>
      <c r="AT50" s="1" t="s">
        <v>1891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5661</v>
      </c>
      <c r="C51" s="1" t="s">
        <v>5662</v>
      </c>
      <c r="D51" s="1">
        <v>2</v>
      </c>
      <c r="E51" s="1">
        <v>2</v>
      </c>
      <c r="F51" s="1">
        <v>5</v>
      </c>
      <c r="G51" s="1" t="s">
        <v>371</v>
      </c>
      <c r="H51" s="1" t="s">
        <v>330</v>
      </c>
      <c r="I51" s="1" t="s">
        <v>330</v>
      </c>
      <c r="J51" s="1" t="s">
        <v>330</v>
      </c>
      <c r="K51" s="1" t="s">
        <v>330</v>
      </c>
      <c r="L51" s="1" t="s">
        <v>330</v>
      </c>
      <c r="M51" s="1" t="s">
        <v>330</v>
      </c>
      <c r="N51" s="1" t="s">
        <v>5663</v>
      </c>
      <c r="O51" s="1" t="s">
        <v>330</v>
      </c>
      <c r="P51" s="1" t="s">
        <v>330</v>
      </c>
      <c r="Q51" s="1" t="s">
        <v>330</v>
      </c>
      <c r="R51" s="1" t="s">
        <v>330</v>
      </c>
      <c r="S51" s="1" t="s">
        <v>330</v>
      </c>
      <c r="T51" s="1" t="s">
        <v>330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4967</v>
      </c>
      <c r="AH51" s="1">
        <v>960</v>
      </c>
      <c r="AI51" s="1" t="s">
        <v>1928</v>
      </c>
      <c r="AJ51" s="1">
        <v>0</v>
      </c>
      <c r="AK51" s="1" t="s">
        <v>330</v>
      </c>
      <c r="AL51" s="1" t="s">
        <v>5664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330</v>
      </c>
      <c r="AS51" s="1">
        <v>0</v>
      </c>
      <c r="AT51" s="1" t="s">
        <v>1891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5665</v>
      </c>
      <c r="C52" s="1" t="s">
        <v>5666</v>
      </c>
      <c r="D52" s="1">
        <v>3</v>
      </c>
      <c r="E52" s="1">
        <v>2</v>
      </c>
      <c r="F52" s="1">
        <v>5</v>
      </c>
      <c r="G52" s="1" t="s">
        <v>908</v>
      </c>
      <c r="H52" s="1" t="s">
        <v>330</v>
      </c>
      <c r="I52" s="1" t="s">
        <v>330</v>
      </c>
      <c r="J52" s="1" t="s">
        <v>330</v>
      </c>
      <c r="K52" s="1" t="s">
        <v>330</v>
      </c>
      <c r="L52" s="1" t="s">
        <v>330</v>
      </c>
      <c r="M52" s="1" t="s">
        <v>330</v>
      </c>
      <c r="N52" s="1" t="s">
        <v>5667</v>
      </c>
      <c r="O52" s="1" t="s">
        <v>330</v>
      </c>
      <c r="P52" s="1" t="s">
        <v>330</v>
      </c>
      <c r="Q52" s="1" t="s">
        <v>330</v>
      </c>
      <c r="R52" s="1" t="s">
        <v>330</v>
      </c>
      <c r="S52" s="1" t="s">
        <v>330</v>
      </c>
      <c r="T52" s="1" t="s">
        <v>330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372</v>
      </c>
      <c r="AH52" s="1">
        <v>1860</v>
      </c>
      <c r="AI52" s="1" t="s">
        <v>1928</v>
      </c>
      <c r="AJ52" s="1">
        <v>0</v>
      </c>
      <c r="AK52" s="1" t="s">
        <v>330</v>
      </c>
      <c r="AL52" s="1" t="s">
        <v>5668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330</v>
      </c>
      <c r="AS52" s="1">
        <v>0</v>
      </c>
      <c r="AT52" s="1" t="s">
        <v>1891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5669</v>
      </c>
      <c r="C53" s="1" t="s">
        <v>5670</v>
      </c>
      <c r="D53" s="1">
        <v>4</v>
      </c>
      <c r="E53" s="1">
        <v>2</v>
      </c>
      <c r="F53" s="1">
        <v>5</v>
      </c>
      <c r="G53" s="1" t="s">
        <v>909</v>
      </c>
      <c r="H53" s="1" t="s">
        <v>330</v>
      </c>
      <c r="I53" s="1" t="s">
        <v>330</v>
      </c>
      <c r="J53" s="1" t="s">
        <v>330</v>
      </c>
      <c r="K53" s="1" t="s">
        <v>330</v>
      </c>
      <c r="L53" s="1" t="s">
        <v>330</v>
      </c>
      <c r="M53" s="1" t="s">
        <v>330</v>
      </c>
      <c r="N53" s="1" t="s">
        <v>5671</v>
      </c>
      <c r="O53" s="1" t="s">
        <v>330</v>
      </c>
      <c r="P53" s="1" t="s">
        <v>330</v>
      </c>
      <c r="Q53" s="1" t="s">
        <v>330</v>
      </c>
      <c r="R53" s="1" t="s">
        <v>330</v>
      </c>
      <c r="S53" s="1" t="s">
        <v>330</v>
      </c>
      <c r="T53" s="1" t="s">
        <v>330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5038</v>
      </c>
      <c r="AH53" s="1">
        <v>2760</v>
      </c>
      <c r="AI53" s="1" t="s">
        <v>1928</v>
      </c>
      <c r="AJ53" s="1">
        <v>0</v>
      </c>
      <c r="AK53" s="1" t="s">
        <v>330</v>
      </c>
      <c r="AL53" s="1" t="s">
        <v>5672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330</v>
      </c>
      <c r="AS53" s="1">
        <v>0</v>
      </c>
      <c r="AT53" s="1" t="s">
        <v>1891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5673</v>
      </c>
      <c r="C54" s="1" t="s">
        <v>5674</v>
      </c>
      <c r="D54" s="1">
        <v>5</v>
      </c>
      <c r="E54" s="1">
        <v>2</v>
      </c>
      <c r="F54" s="1">
        <v>5</v>
      </c>
      <c r="G54" s="1" t="s">
        <v>5675</v>
      </c>
      <c r="H54" s="1" t="s">
        <v>330</v>
      </c>
      <c r="I54" s="1" t="s">
        <v>330</v>
      </c>
      <c r="J54" s="1" t="s">
        <v>330</v>
      </c>
      <c r="K54" s="1" t="s">
        <v>330</v>
      </c>
      <c r="L54" s="1" t="s">
        <v>330</v>
      </c>
      <c r="M54" s="1" t="s">
        <v>330</v>
      </c>
      <c r="N54" s="1" t="s">
        <v>5676</v>
      </c>
      <c r="O54" s="1" t="s">
        <v>330</v>
      </c>
      <c r="P54" s="1" t="s">
        <v>330</v>
      </c>
      <c r="Q54" s="1" t="s">
        <v>330</v>
      </c>
      <c r="R54" s="1" t="s">
        <v>330</v>
      </c>
      <c r="S54" s="1" t="s">
        <v>330</v>
      </c>
      <c r="T54" s="1" t="s">
        <v>330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373</v>
      </c>
      <c r="AH54" s="1">
        <v>3360</v>
      </c>
      <c r="AI54" s="1" t="s">
        <v>1928</v>
      </c>
      <c r="AJ54" s="1">
        <v>0</v>
      </c>
      <c r="AK54" s="1" t="s">
        <v>330</v>
      </c>
      <c r="AL54" s="1" t="s">
        <v>5677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330</v>
      </c>
      <c r="AS54" s="1">
        <v>0</v>
      </c>
      <c r="AT54" s="1" t="s">
        <v>1891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1985</v>
      </c>
      <c r="C55" s="1" t="s">
        <v>1986</v>
      </c>
      <c r="D55" s="1">
        <v>2</v>
      </c>
      <c r="E55" s="1">
        <v>3</v>
      </c>
      <c r="F55" s="1">
        <v>10</v>
      </c>
      <c r="G55" s="1" t="s">
        <v>330</v>
      </c>
      <c r="H55" s="1" t="s">
        <v>330</v>
      </c>
      <c r="I55" s="1" t="s">
        <v>336</v>
      </c>
      <c r="J55" s="1" t="s">
        <v>330</v>
      </c>
      <c r="K55" s="1" t="s">
        <v>330</v>
      </c>
      <c r="L55" s="1" t="s">
        <v>330</v>
      </c>
      <c r="M55" s="1" t="s">
        <v>330</v>
      </c>
      <c r="N55" s="1" t="s">
        <v>330</v>
      </c>
      <c r="O55" s="1" t="s">
        <v>330</v>
      </c>
      <c r="P55" s="1" t="s">
        <v>330</v>
      </c>
      <c r="Q55" s="1" t="s">
        <v>330</v>
      </c>
      <c r="R55" s="1" t="s">
        <v>330</v>
      </c>
      <c r="S55" s="1" t="s">
        <v>330</v>
      </c>
      <c r="T55" s="1" t="s">
        <v>330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552</v>
      </c>
      <c r="AH55" s="1">
        <v>720</v>
      </c>
      <c r="AI55" s="1" t="s">
        <v>1928</v>
      </c>
      <c r="AJ55" s="1">
        <v>0</v>
      </c>
      <c r="AK55" s="1" t="s">
        <v>330</v>
      </c>
      <c r="AL55" s="1" t="s">
        <v>1987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330</v>
      </c>
      <c r="AS55" s="1">
        <v>0</v>
      </c>
      <c r="AT55" s="1" t="s">
        <v>1891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1988</v>
      </c>
      <c r="C56" s="1" t="s">
        <v>1989</v>
      </c>
      <c r="D56" s="1">
        <v>3</v>
      </c>
      <c r="E56" s="1">
        <v>3</v>
      </c>
      <c r="F56" s="1">
        <v>10</v>
      </c>
      <c r="G56" s="1" t="s">
        <v>330</v>
      </c>
      <c r="H56" s="1" t="s">
        <v>330</v>
      </c>
      <c r="I56" s="1" t="s">
        <v>367</v>
      </c>
      <c r="J56" s="1" t="s">
        <v>330</v>
      </c>
      <c r="K56" s="1" t="s">
        <v>330</v>
      </c>
      <c r="L56" s="1" t="s">
        <v>330</v>
      </c>
      <c r="M56" s="1" t="s">
        <v>330</v>
      </c>
      <c r="N56" s="1" t="s">
        <v>330</v>
      </c>
      <c r="O56" s="1" t="s">
        <v>330</v>
      </c>
      <c r="P56" s="1" t="s">
        <v>330</v>
      </c>
      <c r="Q56" s="1" t="s">
        <v>330</v>
      </c>
      <c r="R56" s="1" t="s">
        <v>330</v>
      </c>
      <c r="S56" s="1" t="s">
        <v>330</v>
      </c>
      <c r="T56" s="1" t="s">
        <v>330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553</v>
      </c>
      <c r="AH56" s="1">
        <v>1620</v>
      </c>
      <c r="AI56" s="1" t="s">
        <v>1928</v>
      </c>
      <c r="AJ56" s="1">
        <v>0</v>
      </c>
      <c r="AK56" s="1" t="s">
        <v>330</v>
      </c>
      <c r="AL56" s="1" t="s">
        <v>1990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1530</v>
      </c>
      <c r="AS56" s="1">
        <v>0</v>
      </c>
      <c r="AT56" s="1" t="s">
        <v>1891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1991</v>
      </c>
      <c r="C57" s="1" t="s">
        <v>1992</v>
      </c>
      <c r="D57" s="1">
        <v>4</v>
      </c>
      <c r="E57" s="1">
        <v>3</v>
      </c>
      <c r="F57" s="1">
        <v>10</v>
      </c>
      <c r="G57" s="1" t="s">
        <v>330</v>
      </c>
      <c r="H57" s="1" t="s">
        <v>330</v>
      </c>
      <c r="I57" s="1" t="s">
        <v>374</v>
      </c>
      <c r="J57" s="1" t="s">
        <v>330</v>
      </c>
      <c r="K57" s="1" t="s">
        <v>330</v>
      </c>
      <c r="L57" s="1" t="s">
        <v>330</v>
      </c>
      <c r="M57" s="1" t="s">
        <v>330</v>
      </c>
      <c r="N57" s="1" t="s">
        <v>330</v>
      </c>
      <c r="O57" s="1" t="s">
        <v>330</v>
      </c>
      <c r="P57" s="1" t="s">
        <v>330</v>
      </c>
      <c r="Q57" s="1" t="s">
        <v>330</v>
      </c>
      <c r="R57" s="1" t="s">
        <v>330</v>
      </c>
      <c r="S57" s="1" t="s">
        <v>330</v>
      </c>
      <c r="T57" s="1" t="s">
        <v>330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554</v>
      </c>
      <c r="AH57" s="1">
        <v>2520</v>
      </c>
      <c r="AI57" s="1" t="s">
        <v>1928</v>
      </c>
      <c r="AJ57" s="1">
        <v>0</v>
      </c>
      <c r="AK57" s="1" t="s">
        <v>330</v>
      </c>
      <c r="AL57" s="1" t="s">
        <v>1993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1531</v>
      </c>
      <c r="AS57" s="1">
        <v>0</v>
      </c>
      <c r="AT57" s="1" t="s">
        <v>1891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1994</v>
      </c>
      <c r="C58" s="1" t="s">
        <v>1995</v>
      </c>
      <c r="D58" s="1">
        <v>5</v>
      </c>
      <c r="E58" s="1">
        <v>3</v>
      </c>
      <c r="F58" s="1">
        <v>10</v>
      </c>
      <c r="G58" s="1" t="s">
        <v>330</v>
      </c>
      <c r="H58" s="1" t="s">
        <v>330</v>
      </c>
      <c r="I58" s="1" t="s">
        <v>358</v>
      </c>
      <c r="J58" s="1" t="s">
        <v>330</v>
      </c>
      <c r="K58" s="1" t="s">
        <v>330</v>
      </c>
      <c r="L58" s="1" t="s">
        <v>330</v>
      </c>
      <c r="M58" s="1" t="s">
        <v>330</v>
      </c>
      <c r="N58" s="1" t="s">
        <v>330</v>
      </c>
      <c r="O58" s="1" t="s">
        <v>330</v>
      </c>
      <c r="P58" s="1" t="s">
        <v>330</v>
      </c>
      <c r="Q58" s="1" t="s">
        <v>330</v>
      </c>
      <c r="R58" s="1" t="s">
        <v>330</v>
      </c>
      <c r="S58" s="1" t="s">
        <v>330</v>
      </c>
      <c r="T58" s="1" t="s">
        <v>330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555</v>
      </c>
      <c r="AH58" s="1">
        <v>3120</v>
      </c>
      <c r="AI58" s="1" t="s">
        <v>1928</v>
      </c>
      <c r="AJ58" s="1">
        <v>0</v>
      </c>
      <c r="AK58" s="1" t="s">
        <v>330</v>
      </c>
      <c r="AL58" s="1" t="s">
        <v>1996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1532</v>
      </c>
      <c r="AS58" s="1">
        <v>0</v>
      </c>
      <c r="AT58" s="1" t="s">
        <v>1891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1997</v>
      </c>
      <c r="C59" s="1" t="s">
        <v>1998</v>
      </c>
      <c r="D59" s="1">
        <v>5</v>
      </c>
      <c r="E59" s="1">
        <v>2</v>
      </c>
      <c r="F59" s="1">
        <v>19</v>
      </c>
      <c r="G59" s="1" t="s">
        <v>330</v>
      </c>
      <c r="H59" s="1" t="s">
        <v>330</v>
      </c>
      <c r="I59" s="1" t="s">
        <v>330</v>
      </c>
      <c r="J59" s="1" t="s">
        <v>330</v>
      </c>
      <c r="K59" s="1" t="s">
        <v>375</v>
      </c>
      <c r="L59" s="1" t="s">
        <v>330</v>
      </c>
      <c r="M59" s="1" t="s">
        <v>330</v>
      </c>
      <c r="N59" s="1" t="s">
        <v>376</v>
      </c>
      <c r="O59" s="1" t="s">
        <v>330</v>
      </c>
      <c r="P59" s="1" t="s">
        <v>330</v>
      </c>
      <c r="Q59" s="1" t="s">
        <v>330</v>
      </c>
      <c r="R59" s="1" t="s">
        <v>330</v>
      </c>
      <c r="S59" s="1" t="s">
        <v>330</v>
      </c>
      <c r="T59" s="1" t="s">
        <v>330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1999</v>
      </c>
      <c r="AJ59" s="1">
        <v>0</v>
      </c>
      <c r="AK59" s="1" t="s">
        <v>359</v>
      </c>
      <c r="AL59" s="1" t="s">
        <v>2000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1533</v>
      </c>
      <c r="AS59" s="1">
        <v>0</v>
      </c>
      <c r="AT59" s="1" t="s">
        <v>1891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2001</v>
      </c>
      <c r="C60" s="1" t="s">
        <v>2002</v>
      </c>
      <c r="D60" s="1">
        <v>5</v>
      </c>
      <c r="E60" s="1">
        <v>2</v>
      </c>
      <c r="F60" s="1">
        <v>19</v>
      </c>
      <c r="G60" s="1" t="s">
        <v>377</v>
      </c>
      <c r="H60" s="1" t="s">
        <v>378</v>
      </c>
      <c r="I60" s="1" t="s">
        <v>330</v>
      </c>
      <c r="J60" s="1" t="s">
        <v>330</v>
      </c>
      <c r="K60" s="1" t="s">
        <v>330</v>
      </c>
      <c r="L60" s="1" t="s">
        <v>330</v>
      </c>
      <c r="M60" s="1" t="s">
        <v>330</v>
      </c>
      <c r="N60" s="1" t="s">
        <v>330</v>
      </c>
      <c r="O60" s="1" t="s">
        <v>330</v>
      </c>
      <c r="P60" s="1" t="s">
        <v>330</v>
      </c>
      <c r="Q60" s="1" t="s">
        <v>330</v>
      </c>
      <c r="R60" s="1" t="s">
        <v>330</v>
      </c>
      <c r="S60" s="1" t="s">
        <v>330</v>
      </c>
      <c r="T60" s="1" t="s">
        <v>330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2003</v>
      </c>
      <c r="AJ60" s="1">
        <v>0</v>
      </c>
      <c r="AK60" s="1" t="s">
        <v>379</v>
      </c>
      <c r="AL60" s="1" t="s">
        <v>2004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1534</v>
      </c>
      <c r="AS60" s="1">
        <v>0</v>
      </c>
      <c r="AT60" s="1" t="s">
        <v>1891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2005</v>
      </c>
      <c r="C61" s="1" t="s">
        <v>2006</v>
      </c>
      <c r="D61" s="1">
        <v>5</v>
      </c>
      <c r="E61" s="1">
        <v>3</v>
      </c>
      <c r="F61" s="1">
        <v>20</v>
      </c>
      <c r="G61" s="1" t="s">
        <v>380</v>
      </c>
      <c r="H61" s="1" t="s">
        <v>330</v>
      </c>
      <c r="I61" s="1" t="s">
        <v>330</v>
      </c>
      <c r="J61" s="1" t="s">
        <v>330</v>
      </c>
      <c r="K61" s="1" t="s">
        <v>381</v>
      </c>
      <c r="L61" s="1" t="s">
        <v>330</v>
      </c>
      <c r="M61" s="1" t="s">
        <v>330</v>
      </c>
      <c r="N61" s="1" t="s">
        <v>330</v>
      </c>
      <c r="O61" s="1" t="s">
        <v>330</v>
      </c>
      <c r="P61" s="1" t="s">
        <v>330</v>
      </c>
      <c r="Q61" s="1" t="s">
        <v>330</v>
      </c>
      <c r="R61" s="1" t="s">
        <v>330</v>
      </c>
      <c r="S61" s="1" t="s">
        <v>330</v>
      </c>
      <c r="T61" s="1" t="s">
        <v>356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2003</v>
      </c>
      <c r="AJ61" s="1">
        <v>0</v>
      </c>
      <c r="AK61" s="1" t="s">
        <v>382</v>
      </c>
      <c r="AL61" s="1" t="s">
        <v>2007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1535</v>
      </c>
      <c r="AS61" s="1">
        <v>0</v>
      </c>
      <c r="AT61" s="1" t="s">
        <v>1891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2008</v>
      </c>
      <c r="C62" s="1" t="s">
        <v>2009</v>
      </c>
      <c r="D62" s="1">
        <v>5</v>
      </c>
      <c r="E62" s="1">
        <v>3</v>
      </c>
      <c r="F62" s="1">
        <v>20</v>
      </c>
      <c r="G62" s="1" t="s">
        <v>383</v>
      </c>
      <c r="H62" s="1" t="s">
        <v>330</v>
      </c>
      <c r="I62" s="1" t="s">
        <v>384</v>
      </c>
      <c r="J62" s="1" t="s">
        <v>330</v>
      </c>
      <c r="K62" s="1" t="s">
        <v>330</v>
      </c>
      <c r="L62" s="1" t="s">
        <v>330</v>
      </c>
      <c r="M62" s="1" t="s">
        <v>330</v>
      </c>
      <c r="N62" s="1" t="s">
        <v>330</v>
      </c>
      <c r="O62" s="1" t="s">
        <v>330</v>
      </c>
      <c r="P62" s="1" t="s">
        <v>330</v>
      </c>
      <c r="Q62" s="1" t="s">
        <v>330</v>
      </c>
      <c r="R62" s="1" t="s">
        <v>330</v>
      </c>
      <c r="S62" s="1" t="s">
        <v>330</v>
      </c>
      <c r="T62" s="1" t="s">
        <v>330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736</v>
      </c>
      <c r="AH62" s="1">
        <v>3120</v>
      </c>
      <c r="AI62" s="1" t="s">
        <v>2003</v>
      </c>
      <c r="AJ62" s="1">
        <v>0</v>
      </c>
      <c r="AK62" s="1" t="s">
        <v>385</v>
      </c>
      <c r="AL62" s="1" t="s">
        <v>2010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1536</v>
      </c>
      <c r="AS62" s="1">
        <v>0</v>
      </c>
      <c r="AT62" s="1" t="s">
        <v>1891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2011</v>
      </c>
      <c r="C63" s="1" t="s">
        <v>2012</v>
      </c>
      <c r="D63" s="1">
        <v>2</v>
      </c>
      <c r="E63" s="1">
        <v>1</v>
      </c>
      <c r="F63" s="1">
        <v>13</v>
      </c>
      <c r="G63" s="1" t="s">
        <v>330</v>
      </c>
      <c r="H63" s="1" t="s">
        <v>330</v>
      </c>
      <c r="I63" s="1" t="s">
        <v>334</v>
      </c>
      <c r="J63" s="1" t="s">
        <v>330</v>
      </c>
      <c r="K63" s="1" t="s">
        <v>330</v>
      </c>
      <c r="L63" s="1" t="s">
        <v>330</v>
      </c>
      <c r="M63" s="1" t="s">
        <v>367</v>
      </c>
      <c r="N63" s="1" t="s">
        <v>330</v>
      </c>
      <c r="O63" s="1" t="s">
        <v>330</v>
      </c>
      <c r="P63" s="1" t="s">
        <v>330</v>
      </c>
      <c r="Q63" s="1" t="s">
        <v>330</v>
      </c>
      <c r="R63" s="1" t="s">
        <v>330</v>
      </c>
      <c r="S63" s="1" t="s">
        <v>330</v>
      </c>
      <c r="T63" s="1" t="s">
        <v>330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556</v>
      </c>
      <c r="AH63" s="1">
        <v>420</v>
      </c>
      <c r="AI63" s="1" t="s">
        <v>2013</v>
      </c>
      <c r="AJ63" s="1">
        <v>0</v>
      </c>
      <c r="AK63" s="1" t="s">
        <v>330</v>
      </c>
      <c r="AL63" s="1" t="s">
        <v>2014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330</v>
      </c>
      <c r="AS63" s="1">
        <v>0</v>
      </c>
      <c r="AT63" s="1" t="s">
        <v>1891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2015</v>
      </c>
      <c r="C64" s="1" t="s">
        <v>2016</v>
      </c>
      <c r="D64" s="1">
        <v>3</v>
      </c>
      <c r="E64" s="1">
        <v>1</v>
      </c>
      <c r="F64" s="1">
        <v>13</v>
      </c>
      <c r="G64" s="1" t="s">
        <v>330</v>
      </c>
      <c r="H64" s="1" t="s">
        <v>330</v>
      </c>
      <c r="I64" s="1" t="s">
        <v>366</v>
      </c>
      <c r="J64" s="1" t="s">
        <v>330</v>
      </c>
      <c r="K64" s="1" t="s">
        <v>330</v>
      </c>
      <c r="L64" s="1" t="s">
        <v>330</v>
      </c>
      <c r="M64" s="1" t="s">
        <v>360</v>
      </c>
      <c r="N64" s="1" t="s">
        <v>330</v>
      </c>
      <c r="O64" s="1" t="s">
        <v>330</v>
      </c>
      <c r="P64" s="1" t="s">
        <v>330</v>
      </c>
      <c r="Q64" s="1" t="s">
        <v>330</v>
      </c>
      <c r="R64" s="1" t="s">
        <v>330</v>
      </c>
      <c r="S64" s="1" t="s">
        <v>330</v>
      </c>
      <c r="T64" s="1" t="s">
        <v>330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557</v>
      </c>
      <c r="AH64" s="1">
        <v>1320</v>
      </c>
      <c r="AI64" s="1" t="s">
        <v>2013</v>
      </c>
      <c r="AJ64" s="1">
        <v>0</v>
      </c>
      <c r="AK64" s="1" t="s">
        <v>330</v>
      </c>
      <c r="AL64" s="1" t="s">
        <v>2017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1537</v>
      </c>
      <c r="AS64" s="1">
        <v>0</v>
      </c>
      <c r="AT64" s="1" t="s">
        <v>1891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2018</v>
      </c>
      <c r="C65" s="1" t="s">
        <v>2019</v>
      </c>
      <c r="D65" s="1">
        <v>4</v>
      </c>
      <c r="E65" s="1">
        <v>1</v>
      </c>
      <c r="F65" s="1">
        <v>13</v>
      </c>
      <c r="G65" s="1" t="s">
        <v>330</v>
      </c>
      <c r="H65" s="1" t="s">
        <v>330</v>
      </c>
      <c r="I65" s="1" t="s">
        <v>367</v>
      </c>
      <c r="J65" s="1" t="s">
        <v>330</v>
      </c>
      <c r="K65" s="1" t="s">
        <v>330</v>
      </c>
      <c r="L65" s="1" t="s">
        <v>330</v>
      </c>
      <c r="M65" s="1" t="s">
        <v>386</v>
      </c>
      <c r="N65" s="1" t="s">
        <v>330</v>
      </c>
      <c r="O65" s="1" t="s">
        <v>330</v>
      </c>
      <c r="P65" s="1" t="s">
        <v>330</v>
      </c>
      <c r="Q65" s="1" t="s">
        <v>330</v>
      </c>
      <c r="R65" s="1" t="s">
        <v>330</v>
      </c>
      <c r="S65" s="1" t="s">
        <v>330</v>
      </c>
      <c r="T65" s="1" t="s">
        <v>330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558</v>
      </c>
      <c r="AH65" s="1">
        <v>2220</v>
      </c>
      <c r="AI65" s="1" t="s">
        <v>2013</v>
      </c>
      <c r="AJ65" s="1">
        <v>0</v>
      </c>
      <c r="AK65" s="1" t="s">
        <v>330</v>
      </c>
      <c r="AL65" s="1" t="s">
        <v>2020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1537</v>
      </c>
      <c r="AS65" s="1">
        <v>0</v>
      </c>
      <c r="AT65" s="1" t="s">
        <v>1891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2021</v>
      </c>
      <c r="C66" s="1" t="s">
        <v>2022</v>
      </c>
      <c r="D66" s="1">
        <v>5</v>
      </c>
      <c r="E66" s="1">
        <v>1</v>
      </c>
      <c r="F66" s="1">
        <v>13</v>
      </c>
      <c r="G66" s="1" t="s">
        <v>330</v>
      </c>
      <c r="H66" s="1" t="s">
        <v>330</v>
      </c>
      <c r="I66" s="1" t="s">
        <v>360</v>
      </c>
      <c r="J66" s="1" t="s">
        <v>330</v>
      </c>
      <c r="K66" s="1" t="s">
        <v>330</v>
      </c>
      <c r="L66" s="1" t="s">
        <v>330</v>
      </c>
      <c r="M66" s="1" t="s">
        <v>387</v>
      </c>
      <c r="N66" s="1" t="s">
        <v>330</v>
      </c>
      <c r="O66" s="1" t="s">
        <v>330</v>
      </c>
      <c r="P66" s="1" t="s">
        <v>330</v>
      </c>
      <c r="Q66" s="1" t="s">
        <v>330</v>
      </c>
      <c r="R66" s="1" t="s">
        <v>330</v>
      </c>
      <c r="S66" s="1" t="s">
        <v>330</v>
      </c>
      <c r="T66" s="1" t="s">
        <v>330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559</v>
      </c>
      <c r="AH66" s="1">
        <v>2820</v>
      </c>
      <c r="AI66" s="1" t="s">
        <v>2013</v>
      </c>
      <c r="AJ66" s="1">
        <v>0</v>
      </c>
      <c r="AK66" s="1" t="s">
        <v>330</v>
      </c>
      <c r="AL66" s="1" t="s">
        <v>2023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1538</v>
      </c>
      <c r="AS66" s="1">
        <v>0</v>
      </c>
      <c r="AT66" s="1" t="s">
        <v>1891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2024</v>
      </c>
      <c r="C67" s="1" t="s">
        <v>2025</v>
      </c>
      <c r="D67" s="1">
        <v>4</v>
      </c>
      <c r="E67" s="1">
        <v>3</v>
      </c>
      <c r="F67" s="1">
        <v>14</v>
      </c>
      <c r="G67" s="1" t="s">
        <v>330</v>
      </c>
      <c r="H67" s="1" t="s">
        <v>330</v>
      </c>
      <c r="I67" s="1" t="s">
        <v>332</v>
      </c>
      <c r="J67" s="1" t="s">
        <v>330</v>
      </c>
      <c r="K67" s="1" t="s">
        <v>330</v>
      </c>
      <c r="L67" s="1" t="s">
        <v>330</v>
      </c>
      <c r="M67" s="1" t="s">
        <v>330</v>
      </c>
      <c r="N67" s="1" t="s">
        <v>330</v>
      </c>
      <c r="O67" s="1" t="s">
        <v>330</v>
      </c>
      <c r="P67" s="1" t="s">
        <v>330</v>
      </c>
      <c r="Q67" s="1" t="s">
        <v>330</v>
      </c>
      <c r="R67" s="1" t="s">
        <v>330</v>
      </c>
      <c r="S67" s="1" t="s">
        <v>330</v>
      </c>
      <c r="T67" s="1" t="s">
        <v>331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560</v>
      </c>
      <c r="AH67" s="1">
        <v>2820</v>
      </c>
      <c r="AI67" s="1" t="s">
        <v>1928</v>
      </c>
      <c r="AJ67" s="1">
        <v>0</v>
      </c>
      <c r="AK67" s="1" t="s">
        <v>330</v>
      </c>
      <c r="AL67" s="1" t="s">
        <v>2026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1539</v>
      </c>
      <c r="AS67" s="1">
        <v>0</v>
      </c>
      <c r="AT67" s="1" t="s">
        <v>1891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2027</v>
      </c>
      <c r="C68" s="1" t="s">
        <v>2028</v>
      </c>
      <c r="D68" s="1">
        <v>5</v>
      </c>
      <c r="E68" s="1">
        <v>3</v>
      </c>
      <c r="F68" s="1">
        <v>14</v>
      </c>
      <c r="G68" s="1" t="s">
        <v>330</v>
      </c>
      <c r="H68" s="1" t="s">
        <v>330</v>
      </c>
      <c r="I68" s="1" t="s">
        <v>368</v>
      </c>
      <c r="J68" s="1" t="s">
        <v>330</v>
      </c>
      <c r="K68" s="1" t="s">
        <v>330</v>
      </c>
      <c r="L68" s="1" t="s">
        <v>330</v>
      </c>
      <c r="M68" s="1" t="s">
        <v>330</v>
      </c>
      <c r="N68" s="1" t="s">
        <v>330</v>
      </c>
      <c r="O68" s="1" t="s">
        <v>330</v>
      </c>
      <c r="P68" s="1" t="s">
        <v>330</v>
      </c>
      <c r="Q68" s="1" t="s">
        <v>330</v>
      </c>
      <c r="R68" s="1" t="s">
        <v>330</v>
      </c>
      <c r="S68" s="1" t="s">
        <v>330</v>
      </c>
      <c r="T68" s="1" t="s">
        <v>336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561</v>
      </c>
      <c r="AH68" s="1">
        <v>3420</v>
      </c>
      <c r="AI68" s="1" t="s">
        <v>1928</v>
      </c>
      <c r="AJ68" s="1">
        <v>0</v>
      </c>
      <c r="AK68" s="1" t="s">
        <v>330</v>
      </c>
      <c r="AL68" s="1" t="s">
        <v>2029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1540</v>
      </c>
      <c r="AS68" s="1">
        <v>0</v>
      </c>
      <c r="AT68" s="1" t="s">
        <v>1891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2030</v>
      </c>
      <c r="C69" s="1" t="s">
        <v>2031</v>
      </c>
      <c r="D69" s="1">
        <v>2</v>
      </c>
      <c r="E69" s="1">
        <v>2</v>
      </c>
      <c r="F69" s="1">
        <v>6</v>
      </c>
      <c r="G69" s="1" t="s">
        <v>331</v>
      </c>
      <c r="H69" s="1" t="s">
        <v>330</v>
      </c>
      <c r="I69" s="1" t="s">
        <v>330</v>
      </c>
      <c r="J69" s="1" t="s">
        <v>330</v>
      </c>
      <c r="K69" s="1" t="s">
        <v>330</v>
      </c>
      <c r="L69" s="1" t="s">
        <v>330</v>
      </c>
      <c r="M69" s="1" t="s">
        <v>330</v>
      </c>
      <c r="N69" s="1" t="s">
        <v>332</v>
      </c>
      <c r="O69" s="1" t="s">
        <v>330</v>
      </c>
      <c r="P69" s="1" t="s">
        <v>330</v>
      </c>
      <c r="Q69" s="1" t="s">
        <v>330</v>
      </c>
      <c r="R69" s="1" t="s">
        <v>330</v>
      </c>
      <c r="S69" s="1" t="s">
        <v>330</v>
      </c>
      <c r="T69" s="1" t="s">
        <v>330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562</v>
      </c>
      <c r="AH69" s="1">
        <v>780</v>
      </c>
      <c r="AI69" s="1" t="s">
        <v>2032</v>
      </c>
      <c r="AJ69" s="1">
        <v>0</v>
      </c>
      <c r="AK69" s="1" t="s">
        <v>330</v>
      </c>
      <c r="AL69" s="1" t="s">
        <v>2033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330</v>
      </c>
      <c r="AS69" s="1">
        <v>0</v>
      </c>
      <c r="AT69" s="1" t="s">
        <v>1891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2034</v>
      </c>
      <c r="C70" s="1" t="s">
        <v>2035</v>
      </c>
      <c r="D70" s="1">
        <v>3</v>
      </c>
      <c r="E70" s="1">
        <v>2</v>
      </c>
      <c r="F70" s="1">
        <v>6</v>
      </c>
      <c r="G70" s="1" t="s">
        <v>336</v>
      </c>
      <c r="H70" s="1" t="s">
        <v>330</v>
      </c>
      <c r="I70" s="1" t="s">
        <v>330</v>
      </c>
      <c r="J70" s="1" t="s">
        <v>330</v>
      </c>
      <c r="K70" s="1" t="s">
        <v>330</v>
      </c>
      <c r="L70" s="1" t="s">
        <v>330</v>
      </c>
      <c r="M70" s="1" t="s">
        <v>330</v>
      </c>
      <c r="N70" s="1" t="s">
        <v>368</v>
      </c>
      <c r="O70" s="1" t="s">
        <v>330</v>
      </c>
      <c r="P70" s="1" t="s">
        <v>330</v>
      </c>
      <c r="Q70" s="1" t="s">
        <v>330</v>
      </c>
      <c r="R70" s="1" t="s">
        <v>330</v>
      </c>
      <c r="S70" s="1" t="s">
        <v>330</v>
      </c>
      <c r="T70" s="1" t="s">
        <v>330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563</v>
      </c>
      <c r="AH70" s="1">
        <v>1680</v>
      </c>
      <c r="AI70" s="1" t="s">
        <v>2032</v>
      </c>
      <c r="AJ70" s="1">
        <v>0</v>
      </c>
      <c r="AK70" s="1" t="s">
        <v>330</v>
      </c>
      <c r="AL70" s="1" t="s">
        <v>2036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1527</v>
      </c>
      <c r="AS70" s="1">
        <v>0</v>
      </c>
      <c r="AT70" s="1" t="s">
        <v>1891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2037</v>
      </c>
      <c r="C71" s="1" t="s">
        <v>2038</v>
      </c>
      <c r="D71" s="1">
        <v>4</v>
      </c>
      <c r="E71" s="1">
        <v>2</v>
      </c>
      <c r="F71" s="1">
        <v>6</v>
      </c>
      <c r="G71" s="1" t="s">
        <v>339</v>
      </c>
      <c r="H71" s="1" t="s">
        <v>330</v>
      </c>
      <c r="I71" s="1" t="s">
        <v>330</v>
      </c>
      <c r="J71" s="1" t="s">
        <v>330</v>
      </c>
      <c r="K71" s="1" t="s">
        <v>330</v>
      </c>
      <c r="L71" s="1" t="s">
        <v>330</v>
      </c>
      <c r="M71" s="1" t="s">
        <v>330</v>
      </c>
      <c r="N71" s="1" t="s">
        <v>341</v>
      </c>
      <c r="O71" s="1" t="s">
        <v>330</v>
      </c>
      <c r="P71" s="1" t="s">
        <v>330</v>
      </c>
      <c r="Q71" s="1" t="s">
        <v>330</v>
      </c>
      <c r="R71" s="1" t="s">
        <v>330</v>
      </c>
      <c r="S71" s="1" t="s">
        <v>330</v>
      </c>
      <c r="T71" s="1" t="s">
        <v>330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564</v>
      </c>
      <c r="AH71" s="1">
        <v>2580</v>
      </c>
      <c r="AI71" s="1" t="s">
        <v>2032</v>
      </c>
      <c r="AJ71" s="1">
        <v>0</v>
      </c>
      <c r="AK71" s="1" t="s">
        <v>330</v>
      </c>
      <c r="AL71" s="1" t="s">
        <v>2039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1541</v>
      </c>
      <c r="AS71" s="1">
        <v>0</v>
      </c>
      <c r="AT71" s="1" t="s">
        <v>1891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2040</v>
      </c>
      <c r="C72" s="1" t="s">
        <v>2041</v>
      </c>
      <c r="D72" s="1">
        <v>5</v>
      </c>
      <c r="E72" s="1">
        <v>2</v>
      </c>
      <c r="F72" s="1">
        <v>6</v>
      </c>
      <c r="G72" s="1" t="s">
        <v>343</v>
      </c>
      <c r="H72" s="1" t="s">
        <v>330</v>
      </c>
      <c r="I72" s="1" t="s">
        <v>330</v>
      </c>
      <c r="J72" s="1" t="s">
        <v>330</v>
      </c>
      <c r="K72" s="1" t="s">
        <v>330</v>
      </c>
      <c r="L72" s="1" t="s">
        <v>330</v>
      </c>
      <c r="M72" s="1" t="s">
        <v>330</v>
      </c>
      <c r="N72" s="1" t="s">
        <v>388</v>
      </c>
      <c r="O72" s="1" t="s">
        <v>330</v>
      </c>
      <c r="P72" s="1" t="s">
        <v>330</v>
      </c>
      <c r="Q72" s="1" t="s">
        <v>330</v>
      </c>
      <c r="R72" s="1" t="s">
        <v>330</v>
      </c>
      <c r="S72" s="1" t="s">
        <v>330</v>
      </c>
      <c r="T72" s="1" t="s">
        <v>330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565</v>
      </c>
      <c r="AH72" s="1">
        <v>3180</v>
      </c>
      <c r="AI72" s="1" t="s">
        <v>2032</v>
      </c>
      <c r="AJ72" s="1">
        <v>0</v>
      </c>
      <c r="AK72" s="1" t="s">
        <v>330</v>
      </c>
      <c r="AL72" s="1" t="s">
        <v>2042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1541</v>
      </c>
      <c r="AS72" s="1">
        <v>0</v>
      </c>
      <c r="AT72" s="1" t="s">
        <v>1891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2043</v>
      </c>
      <c r="C73" s="1" t="s">
        <v>2044</v>
      </c>
      <c r="D73" s="1">
        <v>2</v>
      </c>
      <c r="E73" s="1">
        <v>2</v>
      </c>
      <c r="F73" s="1">
        <v>7</v>
      </c>
      <c r="G73" s="1" t="s">
        <v>331</v>
      </c>
      <c r="H73" s="1" t="s">
        <v>330</v>
      </c>
      <c r="I73" s="1" t="s">
        <v>330</v>
      </c>
      <c r="J73" s="1" t="s">
        <v>330</v>
      </c>
      <c r="K73" s="1" t="s">
        <v>330</v>
      </c>
      <c r="L73" s="1" t="s">
        <v>356</v>
      </c>
      <c r="M73" s="1" t="s">
        <v>330</v>
      </c>
      <c r="N73" s="1" t="s">
        <v>330</v>
      </c>
      <c r="O73" s="1" t="s">
        <v>330</v>
      </c>
      <c r="P73" s="1" t="s">
        <v>330</v>
      </c>
      <c r="Q73" s="1" t="s">
        <v>330</v>
      </c>
      <c r="R73" s="1" t="s">
        <v>330</v>
      </c>
      <c r="S73" s="1" t="s">
        <v>330</v>
      </c>
      <c r="T73" s="1" t="s">
        <v>330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566</v>
      </c>
      <c r="AH73" s="1">
        <v>840</v>
      </c>
      <c r="AI73" s="1" t="s">
        <v>1928</v>
      </c>
      <c r="AJ73" s="1">
        <v>0</v>
      </c>
      <c r="AK73" s="1" t="s">
        <v>330</v>
      </c>
      <c r="AL73" s="1" t="s">
        <v>2045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330</v>
      </c>
      <c r="AS73" s="1">
        <v>0</v>
      </c>
      <c r="AT73" s="1" t="s">
        <v>1891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2046</v>
      </c>
      <c r="C74" s="1" t="s">
        <v>2047</v>
      </c>
      <c r="D74" s="1">
        <v>3</v>
      </c>
      <c r="E74" s="1">
        <v>2</v>
      </c>
      <c r="F74" s="1">
        <v>7</v>
      </c>
      <c r="G74" s="1" t="s">
        <v>336</v>
      </c>
      <c r="H74" s="1" t="s">
        <v>330</v>
      </c>
      <c r="I74" s="1" t="s">
        <v>330</v>
      </c>
      <c r="J74" s="1" t="s">
        <v>330</v>
      </c>
      <c r="K74" s="1" t="s">
        <v>330</v>
      </c>
      <c r="L74" s="1" t="s">
        <v>389</v>
      </c>
      <c r="M74" s="1" t="s">
        <v>330</v>
      </c>
      <c r="N74" s="1" t="s">
        <v>330</v>
      </c>
      <c r="O74" s="1" t="s">
        <v>330</v>
      </c>
      <c r="P74" s="1" t="s">
        <v>330</v>
      </c>
      <c r="Q74" s="1" t="s">
        <v>330</v>
      </c>
      <c r="R74" s="1" t="s">
        <v>330</v>
      </c>
      <c r="S74" s="1" t="s">
        <v>330</v>
      </c>
      <c r="T74" s="1" t="s">
        <v>330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567</v>
      </c>
      <c r="AH74" s="1">
        <v>1740</v>
      </c>
      <c r="AI74" s="1" t="s">
        <v>1928</v>
      </c>
      <c r="AJ74" s="1">
        <v>0</v>
      </c>
      <c r="AK74" s="1" t="s">
        <v>330</v>
      </c>
      <c r="AL74" s="1" t="s">
        <v>2048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1542</v>
      </c>
      <c r="AS74" s="1">
        <v>0</v>
      </c>
      <c r="AT74" s="1" t="s">
        <v>1891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2049</v>
      </c>
      <c r="C75" s="1" t="s">
        <v>2050</v>
      </c>
      <c r="D75" s="1">
        <v>4</v>
      </c>
      <c r="E75" s="1">
        <v>2</v>
      </c>
      <c r="F75" s="1">
        <v>7</v>
      </c>
      <c r="G75" s="1" t="s">
        <v>339</v>
      </c>
      <c r="H75" s="1" t="s">
        <v>330</v>
      </c>
      <c r="I75" s="1" t="s">
        <v>330</v>
      </c>
      <c r="J75" s="1" t="s">
        <v>330</v>
      </c>
      <c r="K75" s="1" t="s">
        <v>330</v>
      </c>
      <c r="L75" s="1" t="s">
        <v>390</v>
      </c>
      <c r="M75" s="1" t="s">
        <v>330</v>
      </c>
      <c r="N75" s="1" t="s">
        <v>330</v>
      </c>
      <c r="O75" s="1" t="s">
        <v>330</v>
      </c>
      <c r="P75" s="1" t="s">
        <v>330</v>
      </c>
      <c r="Q75" s="1" t="s">
        <v>330</v>
      </c>
      <c r="R75" s="1" t="s">
        <v>330</v>
      </c>
      <c r="S75" s="1" t="s">
        <v>330</v>
      </c>
      <c r="T75" s="1" t="s">
        <v>330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568</v>
      </c>
      <c r="AH75" s="1">
        <v>2640</v>
      </c>
      <c r="AI75" s="1" t="s">
        <v>1928</v>
      </c>
      <c r="AJ75" s="1">
        <v>0</v>
      </c>
      <c r="AK75" s="1" t="s">
        <v>330</v>
      </c>
      <c r="AL75" s="1" t="s">
        <v>2051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1543</v>
      </c>
      <c r="AS75" s="1">
        <v>0</v>
      </c>
      <c r="AT75" s="1" t="s">
        <v>1891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2052</v>
      </c>
      <c r="C76" s="1" t="s">
        <v>2053</v>
      </c>
      <c r="D76" s="1">
        <v>5</v>
      </c>
      <c r="E76" s="1">
        <v>2</v>
      </c>
      <c r="F76" s="1">
        <v>7</v>
      </c>
      <c r="G76" s="1" t="s">
        <v>343</v>
      </c>
      <c r="H76" s="1" t="s">
        <v>330</v>
      </c>
      <c r="I76" s="1" t="s">
        <v>330</v>
      </c>
      <c r="J76" s="1" t="s">
        <v>330</v>
      </c>
      <c r="K76" s="1" t="s">
        <v>330</v>
      </c>
      <c r="L76" s="1" t="s">
        <v>391</v>
      </c>
      <c r="M76" s="1" t="s">
        <v>330</v>
      </c>
      <c r="N76" s="1" t="s">
        <v>330</v>
      </c>
      <c r="O76" s="1" t="s">
        <v>330</v>
      </c>
      <c r="P76" s="1" t="s">
        <v>330</v>
      </c>
      <c r="Q76" s="1" t="s">
        <v>330</v>
      </c>
      <c r="R76" s="1" t="s">
        <v>330</v>
      </c>
      <c r="S76" s="1" t="s">
        <v>330</v>
      </c>
      <c r="T76" s="1" t="s">
        <v>330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569</v>
      </c>
      <c r="AH76" s="1">
        <v>3240</v>
      </c>
      <c r="AI76" s="1" t="s">
        <v>1928</v>
      </c>
      <c r="AJ76" s="1">
        <v>0</v>
      </c>
      <c r="AK76" s="1" t="s">
        <v>330</v>
      </c>
      <c r="AL76" s="1" t="s">
        <v>2054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1542</v>
      </c>
      <c r="AS76" s="1">
        <v>0</v>
      </c>
      <c r="AT76" s="1" t="s">
        <v>1891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2055</v>
      </c>
      <c r="C77" s="1" t="s">
        <v>2056</v>
      </c>
      <c r="D77" s="1">
        <v>2</v>
      </c>
      <c r="E77" s="1">
        <v>2</v>
      </c>
      <c r="F77" s="1">
        <v>7</v>
      </c>
      <c r="G77" s="1" t="s">
        <v>330</v>
      </c>
      <c r="H77" s="1" t="s">
        <v>333</v>
      </c>
      <c r="I77" s="1" t="s">
        <v>330</v>
      </c>
      <c r="J77" s="1" t="s">
        <v>330</v>
      </c>
      <c r="K77" s="1" t="s">
        <v>330</v>
      </c>
      <c r="L77" s="1" t="s">
        <v>330</v>
      </c>
      <c r="M77" s="1" t="s">
        <v>330</v>
      </c>
      <c r="N77" s="1" t="s">
        <v>330</v>
      </c>
      <c r="O77" s="1" t="s">
        <v>330</v>
      </c>
      <c r="P77" s="1" t="s">
        <v>330</v>
      </c>
      <c r="Q77" s="1" t="s">
        <v>330</v>
      </c>
      <c r="R77" s="1" t="s">
        <v>330</v>
      </c>
      <c r="S77" s="1" t="s">
        <v>330</v>
      </c>
      <c r="T77" s="1" t="s">
        <v>330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570</v>
      </c>
      <c r="AH77" s="1">
        <v>840</v>
      </c>
      <c r="AI77" s="1" t="s">
        <v>1928</v>
      </c>
      <c r="AJ77" s="1">
        <v>0</v>
      </c>
      <c r="AK77" s="1" t="s">
        <v>330</v>
      </c>
      <c r="AL77" s="1" t="s">
        <v>2057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330</v>
      </c>
      <c r="AS77" s="1">
        <v>300701</v>
      </c>
      <c r="AT77" s="1" t="s">
        <v>1891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2058</v>
      </c>
      <c r="C78" s="1" t="s">
        <v>2059</v>
      </c>
      <c r="D78" s="1">
        <v>3</v>
      </c>
      <c r="E78" s="1">
        <v>2</v>
      </c>
      <c r="F78" s="1">
        <v>7</v>
      </c>
      <c r="G78" s="1" t="s">
        <v>330</v>
      </c>
      <c r="H78" s="1" t="s">
        <v>356</v>
      </c>
      <c r="I78" s="1" t="s">
        <v>330</v>
      </c>
      <c r="J78" s="1" t="s">
        <v>330</v>
      </c>
      <c r="K78" s="1" t="s">
        <v>330</v>
      </c>
      <c r="L78" s="1" t="s">
        <v>330</v>
      </c>
      <c r="M78" s="1" t="s">
        <v>330</v>
      </c>
      <c r="N78" s="1" t="s">
        <v>330</v>
      </c>
      <c r="O78" s="1" t="s">
        <v>330</v>
      </c>
      <c r="P78" s="1" t="s">
        <v>330</v>
      </c>
      <c r="Q78" s="1" t="s">
        <v>330</v>
      </c>
      <c r="R78" s="1" t="s">
        <v>330</v>
      </c>
      <c r="S78" s="1" t="s">
        <v>330</v>
      </c>
      <c r="T78" s="1" t="s">
        <v>330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571</v>
      </c>
      <c r="AH78" s="1">
        <v>1740</v>
      </c>
      <c r="AI78" s="1" t="s">
        <v>1928</v>
      </c>
      <c r="AJ78" s="1">
        <v>0</v>
      </c>
      <c r="AK78" s="1" t="s">
        <v>330</v>
      </c>
      <c r="AL78" s="1" t="s">
        <v>2060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1522</v>
      </c>
      <c r="AS78" s="1">
        <v>300701</v>
      </c>
      <c r="AT78" s="1" t="s">
        <v>1891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2061</v>
      </c>
      <c r="C79" s="1" t="s">
        <v>2062</v>
      </c>
      <c r="D79" s="1">
        <v>4</v>
      </c>
      <c r="E79" s="1">
        <v>2</v>
      </c>
      <c r="F79" s="1">
        <v>7</v>
      </c>
      <c r="G79" s="1" t="s">
        <v>330</v>
      </c>
      <c r="H79" s="1" t="s">
        <v>357</v>
      </c>
      <c r="I79" s="1" t="s">
        <v>330</v>
      </c>
      <c r="J79" s="1" t="s">
        <v>330</v>
      </c>
      <c r="K79" s="1" t="s">
        <v>330</v>
      </c>
      <c r="L79" s="1" t="s">
        <v>330</v>
      </c>
      <c r="M79" s="1" t="s">
        <v>330</v>
      </c>
      <c r="N79" s="1" t="s">
        <v>330</v>
      </c>
      <c r="O79" s="1" t="s">
        <v>330</v>
      </c>
      <c r="P79" s="1" t="s">
        <v>330</v>
      </c>
      <c r="Q79" s="1" t="s">
        <v>330</v>
      </c>
      <c r="R79" s="1" t="s">
        <v>330</v>
      </c>
      <c r="S79" s="1" t="s">
        <v>330</v>
      </c>
      <c r="T79" s="1" t="s">
        <v>330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572</v>
      </c>
      <c r="AH79" s="1">
        <v>2640</v>
      </c>
      <c r="AI79" s="1" t="s">
        <v>1928</v>
      </c>
      <c r="AJ79" s="1">
        <v>0</v>
      </c>
      <c r="AK79" s="1" t="s">
        <v>330</v>
      </c>
      <c r="AL79" s="1" t="s">
        <v>2063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1544</v>
      </c>
      <c r="AS79" s="1">
        <v>300701</v>
      </c>
      <c r="AT79" s="1" t="s">
        <v>1891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2064</v>
      </c>
      <c r="C80" s="1" t="s">
        <v>2065</v>
      </c>
      <c r="D80" s="1">
        <v>5</v>
      </c>
      <c r="E80" s="1">
        <v>2</v>
      </c>
      <c r="F80" s="1">
        <v>7</v>
      </c>
      <c r="G80" s="1" t="s">
        <v>330</v>
      </c>
      <c r="H80" s="1" t="s">
        <v>358</v>
      </c>
      <c r="I80" s="1" t="s">
        <v>330</v>
      </c>
      <c r="J80" s="1" t="s">
        <v>330</v>
      </c>
      <c r="K80" s="1" t="s">
        <v>330</v>
      </c>
      <c r="L80" s="1" t="s">
        <v>330</v>
      </c>
      <c r="M80" s="1" t="s">
        <v>330</v>
      </c>
      <c r="N80" s="1" t="s">
        <v>330</v>
      </c>
      <c r="O80" s="1" t="s">
        <v>330</v>
      </c>
      <c r="P80" s="1" t="s">
        <v>330</v>
      </c>
      <c r="Q80" s="1" t="s">
        <v>330</v>
      </c>
      <c r="R80" s="1" t="s">
        <v>330</v>
      </c>
      <c r="S80" s="1" t="s">
        <v>330</v>
      </c>
      <c r="T80" s="1" t="s">
        <v>330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573</v>
      </c>
      <c r="AH80" s="1">
        <v>3240</v>
      </c>
      <c r="AI80" s="1" t="s">
        <v>1928</v>
      </c>
      <c r="AJ80" s="1">
        <v>0</v>
      </c>
      <c r="AK80" s="1" t="s">
        <v>330</v>
      </c>
      <c r="AL80" s="1" t="s">
        <v>2066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1545</v>
      </c>
      <c r="AS80" s="1">
        <v>300701</v>
      </c>
      <c r="AT80" s="1" t="s">
        <v>1891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5678</v>
      </c>
      <c r="C81" s="1" t="s">
        <v>5679</v>
      </c>
      <c r="D81" s="1">
        <v>5</v>
      </c>
      <c r="E81" s="1">
        <v>3</v>
      </c>
      <c r="F81" s="1">
        <v>11</v>
      </c>
      <c r="G81" s="1" t="s">
        <v>330</v>
      </c>
      <c r="H81" s="1" t="s">
        <v>330</v>
      </c>
      <c r="I81" s="1" t="s">
        <v>335</v>
      </c>
      <c r="J81" s="1" t="s">
        <v>330</v>
      </c>
      <c r="K81" s="1" t="s">
        <v>330</v>
      </c>
      <c r="L81" s="1" t="s">
        <v>330</v>
      </c>
      <c r="M81" s="1" t="s">
        <v>330</v>
      </c>
      <c r="N81" s="1" t="s">
        <v>330</v>
      </c>
      <c r="O81" s="1" t="s">
        <v>392</v>
      </c>
      <c r="P81" s="1" t="s">
        <v>330</v>
      </c>
      <c r="Q81" s="1" t="s">
        <v>330</v>
      </c>
      <c r="R81" s="1" t="s">
        <v>330</v>
      </c>
      <c r="S81" s="1" t="s">
        <v>330</v>
      </c>
      <c r="T81" s="1" t="s">
        <v>330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5680</v>
      </c>
      <c r="AH81" s="1">
        <v>3060</v>
      </c>
      <c r="AI81" s="1" t="s">
        <v>2003</v>
      </c>
      <c r="AJ81" s="1">
        <v>0</v>
      </c>
      <c r="AK81" s="1" t="s">
        <v>330</v>
      </c>
      <c r="AL81" s="1" t="s">
        <v>5681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1529</v>
      </c>
      <c r="AS81" s="1">
        <v>0</v>
      </c>
      <c r="AT81" s="1" t="s">
        <v>1891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5682</v>
      </c>
      <c r="C82" s="1" t="s">
        <v>5683</v>
      </c>
      <c r="D82" s="1">
        <v>5</v>
      </c>
      <c r="E82" s="1">
        <v>2</v>
      </c>
      <c r="F82" s="1">
        <v>7</v>
      </c>
      <c r="G82" s="1" t="s">
        <v>393</v>
      </c>
      <c r="H82" s="1" t="s">
        <v>330</v>
      </c>
      <c r="I82" s="1" t="s">
        <v>330</v>
      </c>
      <c r="J82" s="1" t="s">
        <v>330</v>
      </c>
      <c r="K82" s="1" t="s">
        <v>330</v>
      </c>
      <c r="L82" s="1" t="s">
        <v>394</v>
      </c>
      <c r="M82" s="1" t="s">
        <v>330</v>
      </c>
      <c r="N82" s="1" t="s">
        <v>330</v>
      </c>
      <c r="O82" s="1" t="s">
        <v>330</v>
      </c>
      <c r="P82" s="1" t="s">
        <v>330</v>
      </c>
      <c r="Q82" s="1" t="s">
        <v>330</v>
      </c>
      <c r="R82" s="1" t="s">
        <v>330</v>
      </c>
      <c r="S82" s="1" t="s">
        <v>330</v>
      </c>
      <c r="T82" s="1" t="s">
        <v>330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5684</v>
      </c>
      <c r="AH82" s="1">
        <v>3240</v>
      </c>
      <c r="AI82" s="1" t="s">
        <v>2003</v>
      </c>
      <c r="AJ82" s="1">
        <v>0</v>
      </c>
      <c r="AK82" s="1" t="s">
        <v>330</v>
      </c>
      <c r="AL82" s="1" t="s">
        <v>5685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1542</v>
      </c>
      <c r="AS82" s="1">
        <v>0</v>
      </c>
      <c r="AT82" s="1" t="s">
        <v>1891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2067</v>
      </c>
      <c r="C83" s="1" t="s">
        <v>2068</v>
      </c>
      <c r="D83" s="1">
        <v>5</v>
      </c>
      <c r="E83" s="1">
        <v>1</v>
      </c>
      <c r="F83" s="1">
        <v>18</v>
      </c>
      <c r="G83" s="1" t="s">
        <v>330</v>
      </c>
      <c r="H83" s="1" t="s">
        <v>330</v>
      </c>
      <c r="I83" s="1" t="s">
        <v>330</v>
      </c>
      <c r="J83" s="1" t="s">
        <v>330</v>
      </c>
      <c r="K83" s="1" t="s">
        <v>330</v>
      </c>
      <c r="L83" s="1" t="s">
        <v>395</v>
      </c>
      <c r="M83" s="1" t="s">
        <v>396</v>
      </c>
      <c r="N83" s="1" t="s">
        <v>330</v>
      </c>
      <c r="O83" s="1" t="s">
        <v>330</v>
      </c>
      <c r="P83" s="1" t="s">
        <v>330</v>
      </c>
      <c r="Q83" s="1" t="s">
        <v>330</v>
      </c>
      <c r="R83" s="1" t="s">
        <v>330</v>
      </c>
      <c r="S83" s="1" t="s">
        <v>330</v>
      </c>
      <c r="T83" s="1" t="s">
        <v>330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713</v>
      </c>
      <c r="AH83" s="1">
        <v>2700</v>
      </c>
      <c r="AI83" s="1" t="s">
        <v>2069</v>
      </c>
      <c r="AJ83" s="1">
        <v>0</v>
      </c>
      <c r="AK83" s="1" t="s">
        <v>397</v>
      </c>
      <c r="AL83" s="1" t="s">
        <v>2070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1546</v>
      </c>
      <c r="AS83" s="1">
        <v>0</v>
      </c>
      <c r="AT83" s="1" t="s">
        <v>1891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2071</v>
      </c>
      <c r="C84" s="1" t="s">
        <v>2072</v>
      </c>
      <c r="D84" s="1">
        <v>5</v>
      </c>
      <c r="E84" s="1">
        <v>1</v>
      </c>
      <c r="F84" s="1">
        <v>18</v>
      </c>
      <c r="G84" s="1" t="s">
        <v>330</v>
      </c>
      <c r="H84" s="1" t="s">
        <v>330</v>
      </c>
      <c r="I84" s="1" t="s">
        <v>330</v>
      </c>
      <c r="J84" s="1" t="s">
        <v>330</v>
      </c>
      <c r="K84" s="1" t="s">
        <v>330</v>
      </c>
      <c r="L84" s="1" t="s">
        <v>398</v>
      </c>
      <c r="M84" s="1" t="s">
        <v>396</v>
      </c>
      <c r="N84" s="1" t="s">
        <v>330</v>
      </c>
      <c r="O84" s="1" t="s">
        <v>330</v>
      </c>
      <c r="P84" s="1" t="s">
        <v>330</v>
      </c>
      <c r="Q84" s="1" t="s">
        <v>330</v>
      </c>
      <c r="R84" s="1" t="s">
        <v>330</v>
      </c>
      <c r="S84" s="1" t="s">
        <v>330</v>
      </c>
      <c r="T84" s="1" t="s">
        <v>330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714</v>
      </c>
      <c r="AH84" s="1">
        <v>2700</v>
      </c>
      <c r="AI84" s="1" t="s">
        <v>2069</v>
      </c>
      <c r="AJ84" s="1">
        <v>0</v>
      </c>
      <c r="AK84" s="1" t="s">
        <v>397</v>
      </c>
      <c r="AL84" s="1" t="s">
        <v>2073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1547</v>
      </c>
      <c r="AS84" s="1">
        <v>0</v>
      </c>
      <c r="AT84" s="1" t="s">
        <v>1891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2074</v>
      </c>
      <c r="C85" s="1" t="s">
        <v>2075</v>
      </c>
      <c r="D85" s="1">
        <v>5</v>
      </c>
      <c r="E85" s="1">
        <v>1</v>
      </c>
      <c r="F85" s="1">
        <v>18</v>
      </c>
      <c r="G85" s="1" t="s">
        <v>330</v>
      </c>
      <c r="H85" s="1" t="s">
        <v>330</v>
      </c>
      <c r="I85" s="1" t="s">
        <v>330</v>
      </c>
      <c r="J85" s="1" t="s">
        <v>330</v>
      </c>
      <c r="K85" s="1" t="s">
        <v>330</v>
      </c>
      <c r="L85" s="1" t="s">
        <v>393</v>
      </c>
      <c r="M85" s="1" t="s">
        <v>396</v>
      </c>
      <c r="N85" s="1" t="s">
        <v>330</v>
      </c>
      <c r="O85" s="1" t="s">
        <v>330</v>
      </c>
      <c r="P85" s="1" t="s">
        <v>330</v>
      </c>
      <c r="Q85" s="1" t="s">
        <v>330</v>
      </c>
      <c r="R85" s="1" t="s">
        <v>330</v>
      </c>
      <c r="S85" s="1" t="s">
        <v>330</v>
      </c>
      <c r="T85" s="1" t="s">
        <v>330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715</v>
      </c>
      <c r="AH85" s="1">
        <v>2700</v>
      </c>
      <c r="AI85" s="1" t="s">
        <v>2069</v>
      </c>
      <c r="AJ85" s="1">
        <v>0</v>
      </c>
      <c r="AK85" s="1" t="s">
        <v>397</v>
      </c>
      <c r="AL85" s="1" t="s">
        <v>2076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1548</v>
      </c>
      <c r="AS85" s="1">
        <v>0</v>
      </c>
      <c r="AT85" s="1" t="s">
        <v>1891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2077</v>
      </c>
      <c r="C86" s="1" t="s">
        <v>2078</v>
      </c>
      <c r="D86" s="1">
        <v>5</v>
      </c>
      <c r="E86" s="1">
        <v>3</v>
      </c>
      <c r="F86" s="1">
        <v>20</v>
      </c>
      <c r="G86" s="1" t="s">
        <v>399</v>
      </c>
      <c r="H86" s="1" t="s">
        <v>330</v>
      </c>
      <c r="I86" s="1" t="s">
        <v>400</v>
      </c>
      <c r="J86" s="1" t="s">
        <v>330</v>
      </c>
      <c r="K86" s="1" t="s">
        <v>330</v>
      </c>
      <c r="L86" s="1" t="s">
        <v>401</v>
      </c>
      <c r="M86" s="1" t="s">
        <v>330</v>
      </c>
      <c r="N86" s="1" t="s">
        <v>330</v>
      </c>
      <c r="O86" s="1" t="s">
        <v>330</v>
      </c>
      <c r="P86" s="1" t="s">
        <v>330</v>
      </c>
      <c r="Q86" s="1" t="s">
        <v>330</v>
      </c>
      <c r="R86" s="1" t="s">
        <v>330</v>
      </c>
      <c r="S86" s="1" t="s">
        <v>330</v>
      </c>
      <c r="T86" s="1" t="s">
        <v>330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735</v>
      </c>
      <c r="AH86" s="1">
        <v>3420</v>
      </c>
      <c r="AI86" s="1" t="s">
        <v>2003</v>
      </c>
      <c r="AJ86" s="1">
        <v>0</v>
      </c>
      <c r="AK86" s="1" t="s">
        <v>402</v>
      </c>
      <c r="AL86" s="1" t="s">
        <v>2079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1549</v>
      </c>
      <c r="AS86" s="1">
        <v>0</v>
      </c>
      <c r="AT86" s="1" t="s">
        <v>1891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2080</v>
      </c>
      <c r="C87" s="1" t="s">
        <v>2081</v>
      </c>
      <c r="D87" s="1">
        <v>2</v>
      </c>
      <c r="E87" s="1">
        <v>3</v>
      </c>
      <c r="F87" s="1">
        <v>15</v>
      </c>
      <c r="G87" s="1" t="s">
        <v>330</v>
      </c>
      <c r="H87" s="1" t="s">
        <v>330</v>
      </c>
      <c r="I87" s="1" t="s">
        <v>330</v>
      </c>
      <c r="J87" s="1" t="s">
        <v>403</v>
      </c>
      <c r="K87" s="1" t="s">
        <v>330</v>
      </c>
      <c r="L87" s="1" t="s">
        <v>356</v>
      </c>
      <c r="M87" s="1" t="s">
        <v>330</v>
      </c>
      <c r="N87" s="1" t="s">
        <v>330</v>
      </c>
      <c r="O87" s="1" t="s">
        <v>330</v>
      </c>
      <c r="P87" s="1" t="s">
        <v>330</v>
      </c>
      <c r="Q87" s="1" t="s">
        <v>330</v>
      </c>
      <c r="R87" s="1" t="s">
        <v>330</v>
      </c>
      <c r="S87" s="1" t="s">
        <v>330</v>
      </c>
      <c r="T87" s="1" t="s">
        <v>330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574</v>
      </c>
      <c r="AH87" s="1">
        <v>960</v>
      </c>
      <c r="AI87" s="1" t="s">
        <v>1928</v>
      </c>
      <c r="AJ87" s="1">
        <v>0</v>
      </c>
      <c r="AK87" s="1" t="s">
        <v>330</v>
      </c>
      <c r="AL87" s="1" t="s">
        <v>2082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330</v>
      </c>
      <c r="AS87" s="1">
        <v>0</v>
      </c>
      <c r="AT87" s="1" t="s">
        <v>1891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2083</v>
      </c>
      <c r="C88" s="1" t="s">
        <v>2084</v>
      </c>
      <c r="D88" s="1">
        <v>3</v>
      </c>
      <c r="E88" s="1">
        <v>3</v>
      </c>
      <c r="F88" s="1">
        <v>15</v>
      </c>
      <c r="G88" s="1" t="s">
        <v>330</v>
      </c>
      <c r="H88" s="1" t="s">
        <v>330</v>
      </c>
      <c r="I88" s="1" t="s">
        <v>330</v>
      </c>
      <c r="J88" s="1" t="s">
        <v>403</v>
      </c>
      <c r="K88" s="1" t="s">
        <v>330</v>
      </c>
      <c r="L88" s="1" t="s">
        <v>357</v>
      </c>
      <c r="M88" s="1" t="s">
        <v>330</v>
      </c>
      <c r="N88" s="1" t="s">
        <v>330</v>
      </c>
      <c r="O88" s="1" t="s">
        <v>330</v>
      </c>
      <c r="P88" s="1" t="s">
        <v>330</v>
      </c>
      <c r="Q88" s="1" t="s">
        <v>330</v>
      </c>
      <c r="R88" s="1" t="s">
        <v>330</v>
      </c>
      <c r="S88" s="1" t="s">
        <v>330</v>
      </c>
      <c r="T88" s="1" t="s">
        <v>330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575</v>
      </c>
      <c r="AH88" s="1">
        <v>1860</v>
      </c>
      <c r="AI88" s="1" t="s">
        <v>1928</v>
      </c>
      <c r="AJ88" s="1">
        <v>0</v>
      </c>
      <c r="AK88" s="1" t="s">
        <v>330</v>
      </c>
      <c r="AL88" s="1" t="s">
        <v>2085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1550</v>
      </c>
      <c r="AS88" s="1">
        <v>0</v>
      </c>
      <c r="AT88" s="1" t="s">
        <v>1891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2086</v>
      </c>
      <c r="C89" s="1" t="s">
        <v>2087</v>
      </c>
      <c r="D89" s="1">
        <v>4</v>
      </c>
      <c r="E89" s="1">
        <v>3</v>
      </c>
      <c r="F89" s="1">
        <v>15</v>
      </c>
      <c r="G89" s="1" t="s">
        <v>330</v>
      </c>
      <c r="H89" s="1" t="s">
        <v>330</v>
      </c>
      <c r="I89" s="1" t="s">
        <v>330</v>
      </c>
      <c r="J89" s="1" t="s">
        <v>403</v>
      </c>
      <c r="K89" s="1" t="s">
        <v>330</v>
      </c>
      <c r="L89" s="1" t="s">
        <v>404</v>
      </c>
      <c r="M89" s="1" t="s">
        <v>330</v>
      </c>
      <c r="N89" s="1" t="s">
        <v>330</v>
      </c>
      <c r="O89" s="1" t="s">
        <v>330</v>
      </c>
      <c r="P89" s="1" t="s">
        <v>330</v>
      </c>
      <c r="Q89" s="1" t="s">
        <v>330</v>
      </c>
      <c r="R89" s="1" t="s">
        <v>330</v>
      </c>
      <c r="S89" s="1" t="s">
        <v>330</v>
      </c>
      <c r="T89" s="1" t="s">
        <v>330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576</v>
      </c>
      <c r="AH89" s="1">
        <v>2760</v>
      </c>
      <c r="AI89" s="1" t="s">
        <v>1928</v>
      </c>
      <c r="AJ89" s="1">
        <v>0</v>
      </c>
      <c r="AK89" s="1" t="s">
        <v>330</v>
      </c>
      <c r="AL89" s="1" t="s">
        <v>2088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1551</v>
      </c>
      <c r="AS89" s="1">
        <v>0</v>
      </c>
      <c r="AT89" s="1" t="s">
        <v>1891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2089</v>
      </c>
      <c r="C90" s="1" t="s">
        <v>2090</v>
      </c>
      <c r="D90" s="1">
        <v>5</v>
      </c>
      <c r="E90" s="1">
        <v>3</v>
      </c>
      <c r="F90" s="1">
        <v>15</v>
      </c>
      <c r="G90" s="1" t="s">
        <v>330</v>
      </c>
      <c r="H90" s="1" t="s">
        <v>330</v>
      </c>
      <c r="I90" s="1" t="s">
        <v>330</v>
      </c>
      <c r="J90" s="1" t="s">
        <v>403</v>
      </c>
      <c r="K90" s="1" t="s">
        <v>330</v>
      </c>
      <c r="L90" s="1" t="s">
        <v>345</v>
      </c>
      <c r="M90" s="1" t="s">
        <v>330</v>
      </c>
      <c r="N90" s="1" t="s">
        <v>330</v>
      </c>
      <c r="O90" s="1" t="s">
        <v>330</v>
      </c>
      <c r="P90" s="1" t="s">
        <v>330</v>
      </c>
      <c r="Q90" s="1" t="s">
        <v>330</v>
      </c>
      <c r="R90" s="1" t="s">
        <v>330</v>
      </c>
      <c r="S90" s="1" t="s">
        <v>330</v>
      </c>
      <c r="T90" s="1" t="s">
        <v>330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577</v>
      </c>
      <c r="AH90" s="1">
        <v>3360</v>
      </c>
      <c r="AI90" s="1" t="s">
        <v>1928</v>
      </c>
      <c r="AJ90" s="1">
        <v>0</v>
      </c>
      <c r="AK90" s="1" t="s">
        <v>330</v>
      </c>
      <c r="AL90" s="1" t="s">
        <v>2091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1552</v>
      </c>
      <c r="AS90" s="1">
        <v>0</v>
      </c>
      <c r="AT90" s="1" t="s">
        <v>1891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2092</v>
      </c>
      <c r="C91" s="1" t="s">
        <v>2093</v>
      </c>
      <c r="D91" s="1">
        <v>5</v>
      </c>
      <c r="E91" s="1">
        <v>3</v>
      </c>
      <c r="F91" s="1">
        <v>20</v>
      </c>
      <c r="G91" s="1" t="s">
        <v>330</v>
      </c>
      <c r="H91" s="1" t="s">
        <v>405</v>
      </c>
      <c r="I91" s="1" t="s">
        <v>392</v>
      </c>
      <c r="J91" s="1" t="s">
        <v>330</v>
      </c>
      <c r="K91" s="1" t="s">
        <v>406</v>
      </c>
      <c r="L91" s="1" t="s">
        <v>330</v>
      </c>
      <c r="M91" s="1" t="s">
        <v>330</v>
      </c>
      <c r="N91" s="1" t="s">
        <v>330</v>
      </c>
      <c r="O91" s="1" t="s">
        <v>394</v>
      </c>
      <c r="P91" s="1" t="s">
        <v>330</v>
      </c>
      <c r="Q91" s="1" t="s">
        <v>330</v>
      </c>
      <c r="R91" s="1" t="s">
        <v>330</v>
      </c>
      <c r="S91" s="1" t="s">
        <v>330</v>
      </c>
      <c r="T91" s="1" t="s">
        <v>330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2094</v>
      </c>
      <c r="AJ91" s="1">
        <v>0</v>
      </c>
      <c r="AK91" s="1" t="s">
        <v>373</v>
      </c>
      <c r="AL91" s="1" t="s">
        <v>2095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1553</v>
      </c>
      <c r="AS91" s="1">
        <v>0</v>
      </c>
      <c r="AT91" s="1" t="s">
        <v>1891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2096</v>
      </c>
      <c r="C92" s="1" t="s">
        <v>2097</v>
      </c>
      <c r="D92" s="1">
        <v>5</v>
      </c>
      <c r="E92" s="1">
        <v>3</v>
      </c>
      <c r="F92" s="1">
        <v>20</v>
      </c>
      <c r="G92" s="1" t="s">
        <v>330</v>
      </c>
      <c r="H92" s="1" t="s">
        <v>330</v>
      </c>
      <c r="I92" s="1" t="s">
        <v>365</v>
      </c>
      <c r="J92" s="1" t="s">
        <v>330</v>
      </c>
      <c r="K92" s="1" t="s">
        <v>330</v>
      </c>
      <c r="L92" s="1" t="s">
        <v>345</v>
      </c>
      <c r="M92" s="1" t="s">
        <v>330</v>
      </c>
      <c r="N92" s="1" t="s">
        <v>330</v>
      </c>
      <c r="O92" s="1" t="s">
        <v>330</v>
      </c>
      <c r="P92" s="1" t="s">
        <v>330</v>
      </c>
      <c r="Q92" s="1" t="s">
        <v>330</v>
      </c>
      <c r="R92" s="1" t="s">
        <v>330</v>
      </c>
      <c r="S92" s="1" t="s">
        <v>330</v>
      </c>
      <c r="T92" s="1" t="s">
        <v>330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737</v>
      </c>
      <c r="AH92" s="1">
        <v>3120</v>
      </c>
      <c r="AI92" s="1" t="s">
        <v>1928</v>
      </c>
      <c r="AJ92" s="1">
        <v>0</v>
      </c>
      <c r="AK92" s="1" t="s">
        <v>407</v>
      </c>
      <c r="AL92" s="1" t="s">
        <v>2098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1554</v>
      </c>
      <c r="AS92" s="1">
        <v>0</v>
      </c>
      <c r="AT92" s="1" t="s">
        <v>1891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2099</v>
      </c>
      <c r="C93" s="1" t="s">
        <v>2100</v>
      </c>
      <c r="D93" s="1">
        <v>5</v>
      </c>
      <c r="E93" s="1">
        <v>1</v>
      </c>
      <c r="F93" s="1">
        <v>18</v>
      </c>
      <c r="G93" s="1" t="s">
        <v>408</v>
      </c>
      <c r="H93" s="1" t="s">
        <v>330</v>
      </c>
      <c r="I93" s="1" t="s">
        <v>330</v>
      </c>
      <c r="J93" s="1" t="s">
        <v>330</v>
      </c>
      <c r="K93" s="1" t="s">
        <v>330</v>
      </c>
      <c r="L93" s="1" t="s">
        <v>330</v>
      </c>
      <c r="M93" s="1" t="s">
        <v>330</v>
      </c>
      <c r="N93" s="1" t="s">
        <v>330</v>
      </c>
      <c r="O93" s="1" t="s">
        <v>330</v>
      </c>
      <c r="P93" s="1" t="s">
        <v>330</v>
      </c>
      <c r="Q93" s="1" t="s">
        <v>330</v>
      </c>
      <c r="R93" s="1" t="s">
        <v>330</v>
      </c>
      <c r="S93" s="1" t="s">
        <v>370</v>
      </c>
      <c r="T93" s="1" t="s">
        <v>330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723</v>
      </c>
      <c r="AH93" s="1">
        <v>2940</v>
      </c>
      <c r="AI93" s="1" t="s">
        <v>2101</v>
      </c>
      <c r="AJ93" s="1">
        <v>0</v>
      </c>
      <c r="AK93" s="1" t="s">
        <v>409</v>
      </c>
      <c r="AL93" s="1" t="s">
        <v>2102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1534</v>
      </c>
      <c r="AS93" s="1">
        <v>0</v>
      </c>
      <c r="AT93" s="1" t="s">
        <v>1891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2103</v>
      </c>
      <c r="C94" s="1" t="s">
        <v>2104</v>
      </c>
      <c r="D94" s="1">
        <v>5</v>
      </c>
      <c r="E94" s="1">
        <v>3</v>
      </c>
      <c r="F94" s="1">
        <v>20</v>
      </c>
      <c r="G94" s="1" t="s">
        <v>337</v>
      </c>
      <c r="H94" s="1" t="s">
        <v>410</v>
      </c>
      <c r="I94" s="1" t="s">
        <v>330</v>
      </c>
      <c r="J94" s="1" t="s">
        <v>330</v>
      </c>
      <c r="K94" s="1" t="s">
        <v>330</v>
      </c>
      <c r="L94" s="1" t="s">
        <v>330</v>
      </c>
      <c r="M94" s="1" t="s">
        <v>330</v>
      </c>
      <c r="N94" s="1" t="s">
        <v>330</v>
      </c>
      <c r="O94" s="1" t="s">
        <v>330</v>
      </c>
      <c r="P94" s="1" t="s">
        <v>330</v>
      </c>
      <c r="Q94" s="1" t="s">
        <v>330</v>
      </c>
      <c r="R94" s="1" t="s">
        <v>330</v>
      </c>
      <c r="S94" s="1" t="s">
        <v>330</v>
      </c>
      <c r="T94" s="1" t="s">
        <v>356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2003</v>
      </c>
      <c r="AJ94" s="1">
        <v>0</v>
      </c>
      <c r="AK94" s="1" t="s">
        <v>411</v>
      </c>
      <c r="AL94" s="1" t="s">
        <v>2105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1555</v>
      </c>
      <c r="AS94" s="1">
        <v>0</v>
      </c>
      <c r="AT94" s="1" t="s">
        <v>1891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5686</v>
      </c>
      <c r="C95" s="1" t="s">
        <v>5687</v>
      </c>
      <c r="D95" s="1">
        <v>5</v>
      </c>
      <c r="E95" s="1">
        <v>2</v>
      </c>
      <c r="F95" s="1">
        <v>6</v>
      </c>
      <c r="G95" s="1" t="s">
        <v>393</v>
      </c>
      <c r="H95" s="1" t="s">
        <v>330</v>
      </c>
      <c r="I95" s="1" t="s">
        <v>330</v>
      </c>
      <c r="J95" s="1" t="s">
        <v>330</v>
      </c>
      <c r="K95" s="1" t="s">
        <v>330</v>
      </c>
      <c r="L95" s="1" t="s">
        <v>330</v>
      </c>
      <c r="M95" s="1" t="s">
        <v>330</v>
      </c>
      <c r="N95" s="1" t="s">
        <v>412</v>
      </c>
      <c r="O95" s="1" t="s">
        <v>330</v>
      </c>
      <c r="P95" s="1" t="s">
        <v>330</v>
      </c>
      <c r="Q95" s="1" t="s">
        <v>330</v>
      </c>
      <c r="R95" s="1" t="s">
        <v>330</v>
      </c>
      <c r="S95" s="1" t="s">
        <v>330</v>
      </c>
      <c r="T95" s="1" t="s">
        <v>330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5688</v>
      </c>
      <c r="AH95" s="1">
        <v>3180</v>
      </c>
      <c r="AI95" s="1" t="s">
        <v>2003</v>
      </c>
      <c r="AJ95" s="1">
        <v>0</v>
      </c>
      <c r="AK95" s="1" t="s">
        <v>330</v>
      </c>
      <c r="AL95" s="1" t="s">
        <v>5689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1541</v>
      </c>
      <c r="AS95" s="1">
        <v>0</v>
      </c>
      <c r="AT95" s="1" t="s">
        <v>1891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5690</v>
      </c>
      <c r="C96" s="1" t="s">
        <v>5691</v>
      </c>
      <c r="D96" s="1">
        <v>5</v>
      </c>
      <c r="E96" s="1">
        <v>3</v>
      </c>
      <c r="F96" s="1">
        <v>15</v>
      </c>
      <c r="G96" s="1" t="s">
        <v>330</v>
      </c>
      <c r="H96" s="1" t="s">
        <v>330</v>
      </c>
      <c r="I96" s="1" t="s">
        <v>330</v>
      </c>
      <c r="J96" s="1" t="s">
        <v>403</v>
      </c>
      <c r="K96" s="1" t="s">
        <v>330</v>
      </c>
      <c r="L96" s="1" t="s">
        <v>394</v>
      </c>
      <c r="M96" s="1" t="s">
        <v>330</v>
      </c>
      <c r="N96" s="1" t="s">
        <v>330</v>
      </c>
      <c r="O96" s="1" t="s">
        <v>330</v>
      </c>
      <c r="P96" s="1" t="s">
        <v>330</v>
      </c>
      <c r="Q96" s="1" t="s">
        <v>330</v>
      </c>
      <c r="R96" s="1" t="s">
        <v>330</v>
      </c>
      <c r="S96" s="1" t="s">
        <v>330</v>
      </c>
      <c r="T96" s="1" t="s">
        <v>330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5692</v>
      </c>
      <c r="AH96" s="1">
        <v>3360</v>
      </c>
      <c r="AI96" s="1" t="s">
        <v>2003</v>
      </c>
      <c r="AJ96" s="1">
        <v>0</v>
      </c>
      <c r="AK96" s="1" t="s">
        <v>330</v>
      </c>
      <c r="AL96" s="1" t="s">
        <v>5693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1552</v>
      </c>
      <c r="AS96" s="1">
        <v>0</v>
      </c>
      <c r="AT96" s="1" t="s">
        <v>1891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5694</v>
      </c>
      <c r="C97" s="1" t="s">
        <v>5695</v>
      </c>
      <c r="D97" s="1">
        <v>5</v>
      </c>
      <c r="E97" s="1">
        <v>3</v>
      </c>
      <c r="F97" s="1">
        <v>20</v>
      </c>
      <c r="G97" s="1" t="s">
        <v>330</v>
      </c>
      <c r="H97" s="1" t="s">
        <v>330</v>
      </c>
      <c r="I97" s="1" t="s">
        <v>330</v>
      </c>
      <c r="J97" s="1" t="s">
        <v>330</v>
      </c>
      <c r="K97" s="1" t="s">
        <v>330</v>
      </c>
      <c r="L97" s="1" t="s">
        <v>330</v>
      </c>
      <c r="M97" s="1" t="s">
        <v>330</v>
      </c>
      <c r="N97" s="1" t="s">
        <v>330</v>
      </c>
      <c r="O97" s="1" t="s">
        <v>5696</v>
      </c>
      <c r="P97" s="1" t="s">
        <v>330</v>
      </c>
      <c r="Q97" s="1" t="s">
        <v>330</v>
      </c>
      <c r="R97" s="1" t="s">
        <v>330</v>
      </c>
      <c r="S97" s="1" t="s">
        <v>330</v>
      </c>
      <c r="T97" s="1" t="s">
        <v>330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5637</v>
      </c>
      <c r="AH97" s="1">
        <v>3600</v>
      </c>
      <c r="AI97" s="1" t="s">
        <v>330</v>
      </c>
      <c r="AJ97" s="1">
        <v>0</v>
      </c>
      <c r="AK97" s="1" t="s">
        <v>5697</v>
      </c>
      <c r="AL97" s="1" t="s">
        <v>5698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1529</v>
      </c>
      <c r="AS97" s="1">
        <v>0</v>
      </c>
      <c r="AT97" s="1" t="s">
        <v>1891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5699</v>
      </c>
      <c r="C98" s="1" t="s">
        <v>5700</v>
      </c>
      <c r="D98" s="1">
        <v>5</v>
      </c>
      <c r="E98" s="1">
        <v>2</v>
      </c>
      <c r="F98" s="1">
        <v>19</v>
      </c>
      <c r="G98" s="1" t="s">
        <v>330</v>
      </c>
      <c r="H98" s="1" t="s">
        <v>330</v>
      </c>
      <c r="I98" s="1" t="s">
        <v>330</v>
      </c>
      <c r="J98" s="1" t="s">
        <v>330</v>
      </c>
      <c r="K98" s="1" t="s">
        <v>330</v>
      </c>
      <c r="L98" s="1" t="s">
        <v>330</v>
      </c>
      <c r="M98" s="1" t="s">
        <v>330</v>
      </c>
      <c r="N98" s="1" t="s">
        <v>5696</v>
      </c>
      <c r="O98" s="1" t="s">
        <v>330</v>
      </c>
      <c r="P98" s="1" t="s">
        <v>330</v>
      </c>
      <c r="Q98" s="1" t="s">
        <v>330</v>
      </c>
      <c r="R98" s="1" t="s">
        <v>330</v>
      </c>
      <c r="S98" s="1" t="s">
        <v>330</v>
      </c>
      <c r="T98" s="1" t="s">
        <v>330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5597</v>
      </c>
      <c r="AH98" s="1">
        <v>3600</v>
      </c>
      <c r="AI98" s="1" t="s">
        <v>330</v>
      </c>
      <c r="AJ98" s="1">
        <v>0</v>
      </c>
      <c r="AK98" s="1" t="s">
        <v>5697</v>
      </c>
      <c r="AL98" s="1" t="s">
        <v>5701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1523</v>
      </c>
      <c r="AS98" s="1">
        <v>0</v>
      </c>
      <c r="AT98" s="1" t="s">
        <v>1891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2106</v>
      </c>
      <c r="C99" s="1" t="s">
        <v>2107</v>
      </c>
      <c r="D99" s="1">
        <v>5</v>
      </c>
      <c r="E99" s="1">
        <v>3</v>
      </c>
      <c r="F99" s="1">
        <v>20</v>
      </c>
      <c r="G99" s="1" t="s">
        <v>393</v>
      </c>
      <c r="H99" s="1" t="s">
        <v>330</v>
      </c>
      <c r="I99" s="1" t="s">
        <v>330</v>
      </c>
      <c r="J99" s="1" t="s">
        <v>330</v>
      </c>
      <c r="K99" s="1" t="s">
        <v>393</v>
      </c>
      <c r="L99" s="1" t="s">
        <v>330</v>
      </c>
      <c r="M99" s="1" t="s">
        <v>330</v>
      </c>
      <c r="N99" s="1" t="s">
        <v>330</v>
      </c>
      <c r="O99" s="1" t="s">
        <v>327</v>
      </c>
      <c r="P99" s="1" t="s">
        <v>330</v>
      </c>
      <c r="Q99" s="1" t="s">
        <v>330</v>
      </c>
      <c r="R99" s="1" t="s">
        <v>330</v>
      </c>
      <c r="S99" s="1" t="s">
        <v>330</v>
      </c>
      <c r="T99" s="1" t="s">
        <v>330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257</v>
      </c>
      <c r="AH99" s="1">
        <v>3600</v>
      </c>
      <c r="AI99" s="1" t="s">
        <v>2003</v>
      </c>
      <c r="AJ99" s="1">
        <v>0</v>
      </c>
      <c r="AK99" s="1" t="s">
        <v>413</v>
      </c>
      <c r="AL99" s="1" t="s">
        <v>2108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1556</v>
      </c>
      <c r="AS99" s="1">
        <v>0</v>
      </c>
      <c r="AT99" s="1" t="s">
        <v>1891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2109</v>
      </c>
      <c r="C100" s="1" t="s">
        <v>2110</v>
      </c>
      <c r="D100" s="1">
        <v>5</v>
      </c>
      <c r="E100" s="1">
        <v>1</v>
      </c>
      <c r="F100" s="1">
        <v>18</v>
      </c>
      <c r="G100" s="1" t="s">
        <v>330</v>
      </c>
      <c r="H100" s="1" t="s">
        <v>339</v>
      </c>
      <c r="I100" s="1" t="s">
        <v>330</v>
      </c>
      <c r="J100" s="1" t="s">
        <v>330</v>
      </c>
      <c r="K100" s="1" t="s">
        <v>330</v>
      </c>
      <c r="L100" s="1" t="s">
        <v>345</v>
      </c>
      <c r="M100" s="1" t="s">
        <v>330</v>
      </c>
      <c r="N100" s="1" t="s">
        <v>330</v>
      </c>
      <c r="O100" s="1" t="s">
        <v>330</v>
      </c>
      <c r="P100" s="1" t="s">
        <v>330</v>
      </c>
      <c r="Q100" s="1" t="s">
        <v>330</v>
      </c>
      <c r="R100" s="1" t="s">
        <v>330</v>
      </c>
      <c r="S100" s="1" t="s">
        <v>330</v>
      </c>
      <c r="T100" s="1" t="s">
        <v>330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1735</v>
      </c>
      <c r="AH100" s="1">
        <v>3600</v>
      </c>
      <c r="AI100" s="1" t="s">
        <v>2003</v>
      </c>
      <c r="AJ100" s="1">
        <v>0</v>
      </c>
      <c r="AK100" s="1" t="s">
        <v>414</v>
      </c>
      <c r="AL100" s="1" t="s">
        <v>2111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1557</v>
      </c>
      <c r="AS100" s="1">
        <v>0</v>
      </c>
      <c r="AT100" s="1" t="s">
        <v>1891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2112</v>
      </c>
      <c r="C101" s="1" t="s">
        <v>2113</v>
      </c>
      <c r="D101" s="1">
        <v>5</v>
      </c>
      <c r="E101" s="1">
        <v>2</v>
      </c>
      <c r="F101" s="1">
        <v>19</v>
      </c>
      <c r="G101" s="1" t="s">
        <v>415</v>
      </c>
      <c r="H101" s="1" t="s">
        <v>330</v>
      </c>
      <c r="I101" s="1" t="s">
        <v>330</v>
      </c>
      <c r="J101" s="1" t="s">
        <v>330</v>
      </c>
      <c r="K101" s="1" t="s">
        <v>330</v>
      </c>
      <c r="L101" s="1" t="s">
        <v>330</v>
      </c>
      <c r="M101" s="1" t="s">
        <v>330</v>
      </c>
      <c r="N101" s="1" t="s">
        <v>388</v>
      </c>
      <c r="O101" s="1" t="s">
        <v>330</v>
      </c>
      <c r="P101" s="1" t="s">
        <v>330</v>
      </c>
      <c r="Q101" s="1" t="s">
        <v>330</v>
      </c>
      <c r="R101" s="1" t="s">
        <v>330</v>
      </c>
      <c r="S101" s="1" t="s">
        <v>330</v>
      </c>
      <c r="T101" s="1" t="s">
        <v>330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254</v>
      </c>
      <c r="AH101" s="1">
        <v>3600</v>
      </c>
      <c r="AI101" s="1" t="s">
        <v>2114</v>
      </c>
      <c r="AJ101" s="1">
        <v>0</v>
      </c>
      <c r="AK101" s="1" t="s">
        <v>416</v>
      </c>
      <c r="AL101" s="1" t="s">
        <v>2115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1558</v>
      </c>
      <c r="AS101" s="1">
        <v>0</v>
      </c>
      <c r="AT101" s="1" t="s">
        <v>1891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2116</v>
      </c>
      <c r="C102" s="1" t="s">
        <v>2117</v>
      </c>
      <c r="D102" s="1">
        <v>5</v>
      </c>
      <c r="E102" s="1">
        <v>3</v>
      </c>
      <c r="F102" s="1">
        <v>20</v>
      </c>
      <c r="G102" s="1" t="s">
        <v>383</v>
      </c>
      <c r="H102" s="1" t="s">
        <v>330</v>
      </c>
      <c r="I102" s="1" t="s">
        <v>417</v>
      </c>
      <c r="J102" s="1" t="s">
        <v>330</v>
      </c>
      <c r="K102" s="1" t="s">
        <v>333</v>
      </c>
      <c r="L102" s="1" t="s">
        <v>330</v>
      </c>
      <c r="M102" s="1" t="s">
        <v>330</v>
      </c>
      <c r="N102" s="1" t="s">
        <v>330</v>
      </c>
      <c r="O102" s="1" t="s">
        <v>330</v>
      </c>
      <c r="P102" s="1" t="s">
        <v>330</v>
      </c>
      <c r="Q102" s="1" t="s">
        <v>330</v>
      </c>
      <c r="R102" s="1" t="s">
        <v>330</v>
      </c>
      <c r="S102" s="1" t="s">
        <v>330</v>
      </c>
      <c r="T102" s="1" t="s">
        <v>330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263</v>
      </c>
      <c r="AH102" s="1">
        <v>3600</v>
      </c>
      <c r="AI102" s="1" t="s">
        <v>2118</v>
      </c>
      <c r="AJ102" s="1">
        <v>0</v>
      </c>
      <c r="AK102" s="1" t="s">
        <v>418</v>
      </c>
      <c r="AL102" s="1" t="s">
        <v>2119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1559</v>
      </c>
      <c r="AS102" s="1">
        <v>0</v>
      </c>
      <c r="AT102" s="1" t="s">
        <v>1891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2120</v>
      </c>
      <c r="C103" s="1" t="s">
        <v>2121</v>
      </c>
      <c r="D103" s="1">
        <v>5</v>
      </c>
      <c r="E103" s="1">
        <v>1</v>
      </c>
      <c r="F103" s="1">
        <v>18</v>
      </c>
      <c r="G103" s="1" t="s">
        <v>330</v>
      </c>
      <c r="H103" s="1" t="s">
        <v>330</v>
      </c>
      <c r="I103" s="1" t="s">
        <v>415</v>
      </c>
      <c r="J103" s="1" t="s">
        <v>330</v>
      </c>
      <c r="K103" s="1" t="s">
        <v>330</v>
      </c>
      <c r="L103" s="1" t="s">
        <v>330</v>
      </c>
      <c r="M103" s="1" t="s">
        <v>387</v>
      </c>
      <c r="N103" s="1" t="s">
        <v>330</v>
      </c>
      <c r="O103" s="1" t="s">
        <v>330</v>
      </c>
      <c r="P103" s="1" t="s">
        <v>330</v>
      </c>
      <c r="Q103" s="1" t="s">
        <v>330</v>
      </c>
      <c r="R103" s="1" t="s">
        <v>330</v>
      </c>
      <c r="S103" s="1" t="s">
        <v>330</v>
      </c>
      <c r="T103" s="1" t="s">
        <v>330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747</v>
      </c>
      <c r="AH103" s="1">
        <v>3600</v>
      </c>
      <c r="AI103" s="1" t="s">
        <v>2122</v>
      </c>
      <c r="AJ103" s="1">
        <v>0</v>
      </c>
      <c r="AK103" s="1" t="s">
        <v>419</v>
      </c>
      <c r="AL103" s="1" t="s">
        <v>2123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1560</v>
      </c>
      <c r="AS103" s="1">
        <v>0</v>
      </c>
      <c r="AT103" s="1" t="s">
        <v>1891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2124</v>
      </c>
      <c r="C104" s="1" t="s">
        <v>2125</v>
      </c>
      <c r="D104" s="1">
        <v>5</v>
      </c>
      <c r="E104" s="1">
        <v>1</v>
      </c>
      <c r="F104" s="1">
        <v>18</v>
      </c>
      <c r="G104" s="1" t="s">
        <v>330</v>
      </c>
      <c r="H104" s="1" t="s">
        <v>330</v>
      </c>
      <c r="I104" s="1" t="s">
        <v>330</v>
      </c>
      <c r="J104" s="1" t="s">
        <v>330</v>
      </c>
      <c r="K104" s="1" t="s">
        <v>336</v>
      </c>
      <c r="L104" s="1" t="s">
        <v>330</v>
      </c>
      <c r="M104" s="1" t="s">
        <v>329</v>
      </c>
      <c r="N104" s="1" t="s">
        <v>330</v>
      </c>
      <c r="O104" s="1" t="s">
        <v>330</v>
      </c>
      <c r="P104" s="1" t="s">
        <v>330</v>
      </c>
      <c r="Q104" s="1" t="s">
        <v>330</v>
      </c>
      <c r="R104" s="1" t="s">
        <v>330</v>
      </c>
      <c r="S104" s="1" t="s">
        <v>330</v>
      </c>
      <c r="T104" s="1" t="s">
        <v>330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1469</v>
      </c>
      <c r="AH104" s="1">
        <v>3600</v>
      </c>
      <c r="AI104" s="1" t="s">
        <v>2126</v>
      </c>
      <c r="AJ104" s="1">
        <v>0</v>
      </c>
      <c r="AK104" s="1" t="s">
        <v>420</v>
      </c>
      <c r="AL104" s="1" t="s">
        <v>2127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1561</v>
      </c>
      <c r="AS104" s="1">
        <v>0</v>
      </c>
      <c r="AT104" s="1" t="s">
        <v>1891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2128</v>
      </c>
      <c r="C105" s="1" t="s">
        <v>2129</v>
      </c>
      <c r="D105" s="1">
        <v>5</v>
      </c>
      <c r="E105" s="1">
        <v>1</v>
      </c>
      <c r="F105" s="1">
        <v>18</v>
      </c>
      <c r="G105" s="1" t="s">
        <v>330</v>
      </c>
      <c r="H105" s="1" t="s">
        <v>330</v>
      </c>
      <c r="I105" s="1" t="s">
        <v>330</v>
      </c>
      <c r="J105" s="1" t="s">
        <v>330</v>
      </c>
      <c r="K105" s="1" t="s">
        <v>330</v>
      </c>
      <c r="L105" s="1" t="s">
        <v>393</v>
      </c>
      <c r="M105" s="1" t="s">
        <v>421</v>
      </c>
      <c r="N105" s="1" t="s">
        <v>330</v>
      </c>
      <c r="O105" s="1" t="s">
        <v>330</v>
      </c>
      <c r="P105" s="1" t="s">
        <v>330</v>
      </c>
      <c r="Q105" s="1" t="s">
        <v>330</v>
      </c>
      <c r="R105" s="1" t="s">
        <v>330</v>
      </c>
      <c r="S105" s="1" t="s">
        <v>330</v>
      </c>
      <c r="T105" s="1" t="s">
        <v>330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2130</v>
      </c>
      <c r="AJ105" s="1">
        <v>0</v>
      </c>
      <c r="AK105" s="1" t="s">
        <v>369</v>
      </c>
      <c r="AL105" s="1" t="s">
        <v>2131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1562</v>
      </c>
      <c r="AS105" s="1">
        <v>0</v>
      </c>
      <c r="AT105" s="1" t="s">
        <v>1891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2132</v>
      </c>
      <c r="C106" s="1" t="s">
        <v>2133</v>
      </c>
      <c r="D106" s="1">
        <v>5</v>
      </c>
      <c r="E106" s="1">
        <v>1</v>
      </c>
      <c r="F106" s="1">
        <v>18</v>
      </c>
      <c r="G106" s="1" t="s">
        <v>339</v>
      </c>
      <c r="H106" s="1" t="s">
        <v>340</v>
      </c>
      <c r="I106" s="1" t="s">
        <v>330</v>
      </c>
      <c r="J106" s="1" t="s">
        <v>330</v>
      </c>
      <c r="K106" s="1" t="s">
        <v>330</v>
      </c>
      <c r="L106" s="1" t="s">
        <v>330</v>
      </c>
      <c r="M106" s="1" t="s">
        <v>387</v>
      </c>
      <c r="N106" s="1" t="s">
        <v>330</v>
      </c>
      <c r="O106" s="1" t="s">
        <v>330</v>
      </c>
      <c r="P106" s="1" t="s">
        <v>330</v>
      </c>
      <c r="Q106" s="1" t="s">
        <v>330</v>
      </c>
      <c r="R106" s="1" t="s">
        <v>330</v>
      </c>
      <c r="S106" s="1" t="s">
        <v>330</v>
      </c>
      <c r="T106" s="1" t="s">
        <v>330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2003</v>
      </c>
      <c r="AJ106" s="1">
        <v>0</v>
      </c>
      <c r="AK106" s="1" t="s">
        <v>422</v>
      </c>
      <c r="AL106" s="1" t="s">
        <v>2134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1563</v>
      </c>
      <c r="AS106" s="1">
        <v>0</v>
      </c>
      <c r="AT106" s="1" t="s">
        <v>1891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2135</v>
      </c>
      <c r="C107" s="1" t="s">
        <v>2136</v>
      </c>
      <c r="D107" s="1">
        <v>5</v>
      </c>
      <c r="E107" s="1">
        <v>3</v>
      </c>
      <c r="F107" s="1">
        <v>20</v>
      </c>
      <c r="G107" s="1" t="s">
        <v>423</v>
      </c>
      <c r="H107" s="1" t="s">
        <v>406</v>
      </c>
      <c r="I107" s="1" t="s">
        <v>335</v>
      </c>
      <c r="J107" s="1" t="s">
        <v>330</v>
      </c>
      <c r="K107" s="1" t="s">
        <v>330</v>
      </c>
      <c r="L107" s="1" t="s">
        <v>330</v>
      </c>
      <c r="M107" s="1" t="s">
        <v>330</v>
      </c>
      <c r="N107" s="1" t="s">
        <v>330</v>
      </c>
      <c r="O107" s="1" t="s">
        <v>330</v>
      </c>
      <c r="P107" s="1" t="s">
        <v>330</v>
      </c>
      <c r="Q107" s="1" t="s">
        <v>330</v>
      </c>
      <c r="R107" s="1" t="s">
        <v>330</v>
      </c>
      <c r="S107" s="1" t="s">
        <v>330</v>
      </c>
      <c r="T107" s="1" t="s">
        <v>424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2003</v>
      </c>
      <c r="AJ107" s="1">
        <v>0</v>
      </c>
      <c r="AK107" s="1" t="s">
        <v>425</v>
      </c>
      <c r="AL107" s="1" t="s">
        <v>2137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1535</v>
      </c>
      <c r="AS107" s="1">
        <v>0</v>
      </c>
      <c r="AT107" s="1" t="s">
        <v>1891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2138</v>
      </c>
      <c r="C108" s="1" t="s">
        <v>2139</v>
      </c>
      <c r="D108" s="1">
        <v>5</v>
      </c>
      <c r="E108" s="1">
        <v>3</v>
      </c>
      <c r="F108" s="1">
        <v>20</v>
      </c>
      <c r="G108" s="1" t="s">
        <v>330</v>
      </c>
      <c r="H108" s="1" t="s">
        <v>330</v>
      </c>
      <c r="I108" s="1" t="s">
        <v>330</v>
      </c>
      <c r="J108" s="1" t="s">
        <v>403</v>
      </c>
      <c r="K108" s="1" t="s">
        <v>333</v>
      </c>
      <c r="L108" s="1" t="s">
        <v>345</v>
      </c>
      <c r="M108" s="1" t="s">
        <v>330</v>
      </c>
      <c r="N108" s="1" t="s">
        <v>330</v>
      </c>
      <c r="O108" s="1" t="s">
        <v>330</v>
      </c>
      <c r="P108" s="1" t="s">
        <v>330</v>
      </c>
      <c r="Q108" s="1" t="s">
        <v>330</v>
      </c>
      <c r="R108" s="1" t="s">
        <v>330</v>
      </c>
      <c r="S108" s="1" t="s">
        <v>330</v>
      </c>
      <c r="T108" s="1" t="s">
        <v>330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2003</v>
      </c>
      <c r="AJ108" s="1">
        <v>0</v>
      </c>
      <c r="AK108" s="1" t="s">
        <v>426</v>
      </c>
      <c r="AL108" s="1" t="s">
        <v>2140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1564</v>
      </c>
      <c r="AS108" s="1">
        <v>0</v>
      </c>
      <c r="AT108" s="1" t="s">
        <v>1891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5702</v>
      </c>
      <c r="C109" s="1" t="s">
        <v>5703</v>
      </c>
      <c r="D109" s="1">
        <v>5</v>
      </c>
      <c r="E109" s="1">
        <v>1</v>
      </c>
      <c r="F109" s="1">
        <v>1</v>
      </c>
      <c r="G109" s="1" t="s">
        <v>330</v>
      </c>
      <c r="H109" s="1" t="s">
        <v>330</v>
      </c>
      <c r="I109" s="1" t="s">
        <v>330</v>
      </c>
      <c r="J109" s="1" t="s">
        <v>330</v>
      </c>
      <c r="K109" s="1" t="s">
        <v>330</v>
      </c>
      <c r="L109" s="1" t="s">
        <v>330</v>
      </c>
      <c r="M109" s="1" t="s">
        <v>421</v>
      </c>
      <c r="N109" s="1" t="s">
        <v>330</v>
      </c>
      <c r="O109" s="1" t="s">
        <v>330</v>
      </c>
      <c r="P109" s="1" t="s">
        <v>330</v>
      </c>
      <c r="Q109" s="1" t="s">
        <v>330</v>
      </c>
      <c r="R109" s="1" t="s">
        <v>330</v>
      </c>
      <c r="S109" s="1" t="s">
        <v>330</v>
      </c>
      <c r="T109" s="1" t="s">
        <v>330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5704</v>
      </c>
      <c r="AH109" s="1">
        <v>3600</v>
      </c>
      <c r="AI109" s="1" t="s">
        <v>2003</v>
      </c>
      <c r="AJ109" s="1">
        <v>0</v>
      </c>
      <c r="AK109" s="1" t="s">
        <v>330</v>
      </c>
      <c r="AL109" s="1" t="s">
        <v>5705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1519</v>
      </c>
      <c r="AS109" s="1">
        <v>0</v>
      </c>
      <c r="AT109" s="1" t="s">
        <v>1891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5706</v>
      </c>
      <c r="C110" s="1" t="s">
        <v>5707</v>
      </c>
      <c r="D110" s="1">
        <v>5</v>
      </c>
      <c r="E110" s="1">
        <v>2</v>
      </c>
      <c r="F110" s="1">
        <v>8</v>
      </c>
      <c r="G110" s="1" t="s">
        <v>427</v>
      </c>
      <c r="H110" s="1" t="s">
        <v>330</v>
      </c>
      <c r="I110" s="1" t="s">
        <v>330</v>
      </c>
      <c r="J110" s="1" t="s">
        <v>330</v>
      </c>
      <c r="K110" s="1" t="s">
        <v>330</v>
      </c>
      <c r="L110" s="1" t="s">
        <v>330</v>
      </c>
      <c r="M110" s="1" t="s">
        <v>330</v>
      </c>
      <c r="N110" s="1" t="s">
        <v>330</v>
      </c>
      <c r="O110" s="1" t="s">
        <v>330</v>
      </c>
      <c r="P110" s="1" t="s">
        <v>330</v>
      </c>
      <c r="Q110" s="1" t="s">
        <v>330</v>
      </c>
      <c r="R110" s="1" t="s">
        <v>330</v>
      </c>
      <c r="S110" s="1" t="s">
        <v>330</v>
      </c>
      <c r="T110" s="1" t="s">
        <v>330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5708</v>
      </c>
      <c r="AH110" s="1">
        <v>3600</v>
      </c>
      <c r="AI110" s="1" t="s">
        <v>2003</v>
      </c>
      <c r="AJ110" s="1">
        <v>0</v>
      </c>
      <c r="AK110" s="1" t="s">
        <v>330</v>
      </c>
      <c r="AL110" s="1" t="s">
        <v>5709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1527</v>
      </c>
      <c r="AS110" s="1">
        <v>0</v>
      </c>
      <c r="AT110" s="1" t="s">
        <v>1891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2141</v>
      </c>
      <c r="C111" s="1" t="s">
        <v>2142</v>
      </c>
      <c r="D111" s="1">
        <v>5</v>
      </c>
      <c r="E111" s="1">
        <v>1</v>
      </c>
      <c r="F111" s="1">
        <v>18</v>
      </c>
      <c r="G111" s="1" t="s">
        <v>330</v>
      </c>
      <c r="H111" s="1" t="s">
        <v>336</v>
      </c>
      <c r="I111" s="1" t="s">
        <v>330</v>
      </c>
      <c r="J111" s="1" t="s">
        <v>330</v>
      </c>
      <c r="K111" s="1" t="s">
        <v>330</v>
      </c>
      <c r="L111" s="1" t="s">
        <v>330</v>
      </c>
      <c r="M111" s="1" t="s">
        <v>399</v>
      </c>
      <c r="N111" s="1" t="s">
        <v>330</v>
      </c>
      <c r="O111" s="1" t="s">
        <v>330</v>
      </c>
      <c r="P111" s="1" t="s">
        <v>330</v>
      </c>
      <c r="Q111" s="1" t="s">
        <v>330</v>
      </c>
      <c r="R111" s="1" t="s">
        <v>330</v>
      </c>
      <c r="S111" s="1" t="s">
        <v>330</v>
      </c>
      <c r="T111" s="1" t="s">
        <v>330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1732</v>
      </c>
      <c r="AH111" s="1">
        <v>3600</v>
      </c>
      <c r="AI111" s="1" t="s">
        <v>2143</v>
      </c>
      <c r="AJ111" s="1">
        <v>0</v>
      </c>
      <c r="AK111" s="1" t="s">
        <v>428</v>
      </c>
      <c r="AL111" s="1" t="s">
        <v>2144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1565</v>
      </c>
      <c r="AS111" s="1">
        <v>0</v>
      </c>
      <c r="AT111" s="1" t="s">
        <v>1891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2145</v>
      </c>
      <c r="C112" s="1" t="s">
        <v>2146</v>
      </c>
      <c r="D112" s="1">
        <v>5</v>
      </c>
      <c r="E112" s="1">
        <v>1</v>
      </c>
      <c r="F112" s="1">
        <v>18</v>
      </c>
      <c r="G112" s="1" t="s">
        <v>330</v>
      </c>
      <c r="H112" s="1" t="s">
        <v>345</v>
      </c>
      <c r="I112" s="1" t="s">
        <v>330</v>
      </c>
      <c r="J112" s="1" t="s">
        <v>330</v>
      </c>
      <c r="K112" s="1" t="s">
        <v>346</v>
      </c>
      <c r="L112" s="1" t="s">
        <v>330</v>
      </c>
      <c r="M112" s="1" t="s">
        <v>394</v>
      </c>
      <c r="N112" s="1" t="s">
        <v>330</v>
      </c>
      <c r="O112" s="1" t="s">
        <v>330</v>
      </c>
      <c r="P112" s="1" t="s">
        <v>330</v>
      </c>
      <c r="Q112" s="1" t="s">
        <v>330</v>
      </c>
      <c r="R112" s="1" t="s">
        <v>330</v>
      </c>
      <c r="S112" s="1" t="s">
        <v>330</v>
      </c>
      <c r="T112" s="1" t="s">
        <v>330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261</v>
      </c>
      <c r="AH112" s="1">
        <v>3600</v>
      </c>
      <c r="AI112" s="1" t="s">
        <v>2147</v>
      </c>
      <c r="AJ112" s="1">
        <v>0</v>
      </c>
      <c r="AK112" s="1" t="s">
        <v>429</v>
      </c>
      <c r="AL112" s="1" t="s">
        <v>2148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1566</v>
      </c>
      <c r="AS112" s="1">
        <v>0</v>
      </c>
      <c r="AT112" s="1" t="s">
        <v>1891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2149</v>
      </c>
      <c r="C113" s="1" t="s">
        <v>2150</v>
      </c>
      <c r="D113" s="1">
        <v>5</v>
      </c>
      <c r="E113" s="1">
        <v>1</v>
      </c>
      <c r="F113" s="1">
        <v>18</v>
      </c>
      <c r="G113" s="1" t="s">
        <v>330</v>
      </c>
      <c r="H113" s="1" t="s">
        <v>333</v>
      </c>
      <c r="I113" s="1" t="s">
        <v>343</v>
      </c>
      <c r="J113" s="1" t="s">
        <v>330</v>
      </c>
      <c r="K113" s="1" t="s">
        <v>330</v>
      </c>
      <c r="L113" s="1" t="s">
        <v>330</v>
      </c>
      <c r="M113" s="1" t="s">
        <v>387</v>
      </c>
      <c r="N113" s="1" t="s">
        <v>330</v>
      </c>
      <c r="O113" s="1" t="s">
        <v>330</v>
      </c>
      <c r="P113" s="1" t="s">
        <v>330</v>
      </c>
      <c r="Q113" s="1" t="s">
        <v>330</v>
      </c>
      <c r="R113" s="1" t="s">
        <v>330</v>
      </c>
      <c r="S113" s="1" t="s">
        <v>330</v>
      </c>
      <c r="T113" s="1" t="s">
        <v>330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793</v>
      </c>
      <c r="AH113" s="1">
        <v>3600</v>
      </c>
      <c r="AI113" s="1" t="s">
        <v>2151</v>
      </c>
      <c r="AJ113" s="1">
        <v>0</v>
      </c>
      <c r="AK113" s="1" t="s">
        <v>430</v>
      </c>
      <c r="AL113" s="1" t="s">
        <v>2152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1567</v>
      </c>
      <c r="AS113" s="1">
        <v>0</v>
      </c>
      <c r="AT113" s="1" t="s">
        <v>1891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2153</v>
      </c>
      <c r="C114" s="1" t="s">
        <v>2154</v>
      </c>
      <c r="D114" s="1">
        <v>5</v>
      </c>
      <c r="E114" s="1">
        <v>1</v>
      </c>
      <c r="F114" s="1">
        <v>18</v>
      </c>
      <c r="G114" s="1" t="s">
        <v>330</v>
      </c>
      <c r="H114" s="1" t="s">
        <v>356</v>
      </c>
      <c r="I114" s="1" t="s">
        <v>360</v>
      </c>
      <c r="J114" s="1" t="s">
        <v>330</v>
      </c>
      <c r="K114" s="1" t="s">
        <v>330</v>
      </c>
      <c r="L114" s="1" t="s">
        <v>330</v>
      </c>
      <c r="M114" s="1" t="s">
        <v>387</v>
      </c>
      <c r="N114" s="1" t="s">
        <v>330</v>
      </c>
      <c r="O114" s="1" t="s">
        <v>330</v>
      </c>
      <c r="P114" s="1" t="s">
        <v>330</v>
      </c>
      <c r="Q114" s="1" t="s">
        <v>330</v>
      </c>
      <c r="R114" s="1" t="s">
        <v>330</v>
      </c>
      <c r="S114" s="1" t="s">
        <v>330</v>
      </c>
      <c r="T114" s="1" t="s">
        <v>330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1736</v>
      </c>
      <c r="AH114" s="1">
        <v>3600</v>
      </c>
      <c r="AI114" s="1" t="s">
        <v>2155</v>
      </c>
      <c r="AJ114" s="1">
        <v>0</v>
      </c>
      <c r="AK114" s="1" t="s">
        <v>431</v>
      </c>
      <c r="AL114" s="1" t="s">
        <v>2156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1568</v>
      </c>
      <c r="AS114" s="1">
        <v>0</v>
      </c>
      <c r="AT114" s="1" t="s">
        <v>1891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2157</v>
      </c>
      <c r="C115" s="1" t="s">
        <v>2158</v>
      </c>
      <c r="D115" s="1">
        <v>5</v>
      </c>
      <c r="E115" s="1">
        <v>3</v>
      </c>
      <c r="F115" s="1">
        <v>20</v>
      </c>
      <c r="G115" s="1" t="s">
        <v>336</v>
      </c>
      <c r="H115" s="1" t="s">
        <v>330</v>
      </c>
      <c r="I115" s="1" t="s">
        <v>330</v>
      </c>
      <c r="J115" s="1" t="s">
        <v>403</v>
      </c>
      <c r="K115" s="1" t="s">
        <v>330</v>
      </c>
      <c r="L115" s="1" t="s">
        <v>345</v>
      </c>
      <c r="M115" s="1" t="s">
        <v>330</v>
      </c>
      <c r="N115" s="1" t="s">
        <v>330</v>
      </c>
      <c r="O115" s="1" t="s">
        <v>330</v>
      </c>
      <c r="P115" s="1" t="s">
        <v>330</v>
      </c>
      <c r="Q115" s="1" t="s">
        <v>330</v>
      </c>
      <c r="R115" s="1" t="s">
        <v>330</v>
      </c>
      <c r="S115" s="1" t="s">
        <v>330</v>
      </c>
      <c r="T115" s="1" t="s">
        <v>330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1733</v>
      </c>
      <c r="AH115" s="1">
        <v>3600</v>
      </c>
      <c r="AI115" s="1" t="s">
        <v>2159</v>
      </c>
      <c r="AJ115" s="1">
        <v>0</v>
      </c>
      <c r="AK115" s="1" t="s">
        <v>432</v>
      </c>
      <c r="AL115" s="1" t="s">
        <v>2160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1569</v>
      </c>
      <c r="AS115" s="1">
        <v>0</v>
      </c>
      <c r="AT115" s="1" t="s">
        <v>1891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2161</v>
      </c>
      <c r="C116" s="1" t="s">
        <v>2162</v>
      </c>
      <c r="D116" s="1">
        <v>5</v>
      </c>
      <c r="E116" s="1">
        <v>1</v>
      </c>
      <c r="F116" s="1">
        <v>18</v>
      </c>
      <c r="G116" s="1" t="s">
        <v>330</v>
      </c>
      <c r="H116" s="1" t="s">
        <v>330</v>
      </c>
      <c r="I116" s="1" t="s">
        <v>330</v>
      </c>
      <c r="J116" s="1" t="s">
        <v>330</v>
      </c>
      <c r="K116" s="1" t="s">
        <v>330</v>
      </c>
      <c r="L116" s="1" t="s">
        <v>330</v>
      </c>
      <c r="M116" s="1" t="s">
        <v>330</v>
      </c>
      <c r="N116" s="1" t="s">
        <v>330</v>
      </c>
      <c r="O116" s="1" t="s">
        <v>330</v>
      </c>
      <c r="P116" s="1" t="s">
        <v>330</v>
      </c>
      <c r="Q116" s="1" t="s">
        <v>330</v>
      </c>
      <c r="R116" s="1" t="s">
        <v>330</v>
      </c>
      <c r="S116" s="1" t="s">
        <v>370</v>
      </c>
      <c r="T116" s="1" t="s">
        <v>330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724</v>
      </c>
      <c r="AH116" s="1">
        <v>3600</v>
      </c>
      <c r="AI116" s="1" t="s">
        <v>2163</v>
      </c>
      <c r="AJ116" s="1">
        <v>0</v>
      </c>
      <c r="AK116" s="1" t="s">
        <v>433</v>
      </c>
      <c r="AL116" s="1" t="s">
        <v>2164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330</v>
      </c>
      <c r="AS116" s="1">
        <v>109406</v>
      </c>
      <c r="AT116" s="1" t="s">
        <v>1891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2165</v>
      </c>
      <c r="C117" s="1" t="s">
        <v>2166</v>
      </c>
      <c r="D117" s="1">
        <v>5</v>
      </c>
      <c r="E117" s="1">
        <v>1</v>
      </c>
      <c r="F117" s="1">
        <v>18</v>
      </c>
      <c r="G117" s="1" t="s">
        <v>330</v>
      </c>
      <c r="H117" s="1" t="s">
        <v>330</v>
      </c>
      <c r="I117" s="1" t="s">
        <v>330</v>
      </c>
      <c r="J117" s="1" t="s">
        <v>330</v>
      </c>
      <c r="K117" s="1" t="s">
        <v>330</v>
      </c>
      <c r="L117" s="1" t="s">
        <v>330</v>
      </c>
      <c r="M117" s="1" t="s">
        <v>330</v>
      </c>
      <c r="N117" s="1" t="s">
        <v>330</v>
      </c>
      <c r="O117" s="1" t="s">
        <v>330</v>
      </c>
      <c r="P117" s="1" t="s">
        <v>330</v>
      </c>
      <c r="Q117" s="1" t="s">
        <v>330</v>
      </c>
      <c r="R117" s="1" t="s">
        <v>330</v>
      </c>
      <c r="S117" s="1" t="s">
        <v>370</v>
      </c>
      <c r="T117" s="1" t="s">
        <v>330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725</v>
      </c>
      <c r="AH117" s="1">
        <v>3600</v>
      </c>
      <c r="AI117" s="1" t="s">
        <v>2163</v>
      </c>
      <c r="AJ117" s="1">
        <v>0</v>
      </c>
      <c r="AK117" s="1" t="s">
        <v>434</v>
      </c>
      <c r="AL117" s="1" t="s">
        <v>2167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330</v>
      </c>
      <c r="AS117" s="1">
        <v>109504</v>
      </c>
      <c r="AT117" s="1" t="s">
        <v>1891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2168</v>
      </c>
      <c r="C118" s="1" t="s">
        <v>2169</v>
      </c>
      <c r="D118" s="1">
        <v>5</v>
      </c>
      <c r="E118" s="1">
        <v>1</v>
      </c>
      <c r="F118" s="1">
        <v>18</v>
      </c>
      <c r="G118" s="1" t="s">
        <v>356</v>
      </c>
      <c r="H118" s="1" t="s">
        <v>333</v>
      </c>
      <c r="I118" s="1" t="s">
        <v>330</v>
      </c>
      <c r="J118" s="1" t="s">
        <v>330</v>
      </c>
      <c r="K118" s="1" t="s">
        <v>330</v>
      </c>
      <c r="L118" s="1" t="s">
        <v>330</v>
      </c>
      <c r="M118" s="1" t="s">
        <v>329</v>
      </c>
      <c r="N118" s="1" t="s">
        <v>330</v>
      </c>
      <c r="O118" s="1" t="s">
        <v>330</v>
      </c>
      <c r="P118" s="1" t="s">
        <v>330</v>
      </c>
      <c r="Q118" s="1" t="s">
        <v>330</v>
      </c>
      <c r="R118" s="1" t="s">
        <v>330</v>
      </c>
      <c r="S118" s="1" t="s">
        <v>330</v>
      </c>
      <c r="T118" s="1" t="s">
        <v>330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716</v>
      </c>
      <c r="AH118" s="1">
        <v>3600</v>
      </c>
      <c r="AI118" s="1" t="s">
        <v>2170</v>
      </c>
      <c r="AJ118" s="1">
        <v>0</v>
      </c>
      <c r="AK118" s="1" t="s">
        <v>435</v>
      </c>
      <c r="AL118" s="1" t="s">
        <v>2171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1570</v>
      </c>
      <c r="AS118" s="1">
        <v>0</v>
      </c>
      <c r="AT118" s="1" t="s">
        <v>1891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5710</v>
      </c>
      <c r="C119" s="1" t="s">
        <v>5711</v>
      </c>
      <c r="D119" s="1">
        <v>5</v>
      </c>
      <c r="E119" s="1">
        <v>1</v>
      </c>
      <c r="F119" s="1">
        <v>3</v>
      </c>
      <c r="G119" s="1" t="s">
        <v>330</v>
      </c>
      <c r="H119" s="1" t="s">
        <v>394</v>
      </c>
      <c r="I119" s="1" t="s">
        <v>330</v>
      </c>
      <c r="J119" s="1" t="s">
        <v>330</v>
      </c>
      <c r="K119" s="1" t="s">
        <v>332</v>
      </c>
      <c r="L119" s="1" t="s">
        <v>330</v>
      </c>
      <c r="M119" s="1" t="s">
        <v>330</v>
      </c>
      <c r="N119" s="1" t="s">
        <v>330</v>
      </c>
      <c r="O119" s="1" t="s">
        <v>330</v>
      </c>
      <c r="P119" s="1" t="s">
        <v>330</v>
      </c>
      <c r="Q119" s="1" t="s">
        <v>330</v>
      </c>
      <c r="R119" s="1" t="s">
        <v>330</v>
      </c>
      <c r="S119" s="1" t="s">
        <v>330</v>
      </c>
      <c r="T119" s="1" t="s">
        <v>330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5712</v>
      </c>
      <c r="AH119" s="1">
        <v>3600</v>
      </c>
      <c r="AI119" s="1" t="s">
        <v>2003</v>
      </c>
      <c r="AJ119" s="1">
        <v>0</v>
      </c>
      <c r="AK119" s="1" t="s">
        <v>330</v>
      </c>
      <c r="AL119" s="1" t="s">
        <v>5713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1522</v>
      </c>
      <c r="AS119" s="1">
        <v>0</v>
      </c>
      <c r="AT119" s="1" t="s">
        <v>1891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5714</v>
      </c>
      <c r="C120" s="1" t="s">
        <v>5715</v>
      </c>
      <c r="D120" s="1">
        <v>5</v>
      </c>
      <c r="E120" s="1">
        <v>3</v>
      </c>
      <c r="F120" s="1">
        <v>10</v>
      </c>
      <c r="G120" s="1" t="s">
        <v>436</v>
      </c>
      <c r="H120" s="1" t="s">
        <v>330</v>
      </c>
      <c r="I120" s="1" t="s">
        <v>398</v>
      </c>
      <c r="J120" s="1" t="s">
        <v>330</v>
      </c>
      <c r="K120" s="1" t="s">
        <v>330</v>
      </c>
      <c r="L120" s="1" t="s">
        <v>330</v>
      </c>
      <c r="M120" s="1" t="s">
        <v>330</v>
      </c>
      <c r="N120" s="1" t="s">
        <v>330</v>
      </c>
      <c r="O120" s="1" t="s">
        <v>330</v>
      </c>
      <c r="P120" s="1" t="s">
        <v>330</v>
      </c>
      <c r="Q120" s="1" t="s">
        <v>330</v>
      </c>
      <c r="R120" s="1" t="s">
        <v>330</v>
      </c>
      <c r="S120" s="1" t="s">
        <v>330</v>
      </c>
      <c r="T120" s="1" t="s">
        <v>330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5716</v>
      </c>
      <c r="AH120" s="1">
        <v>3600</v>
      </c>
      <c r="AI120" s="1" t="s">
        <v>2003</v>
      </c>
      <c r="AJ120" s="1">
        <v>0</v>
      </c>
      <c r="AK120" s="1" t="s">
        <v>330</v>
      </c>
      <c r="AL120" s="1" t="s">
        <v>5717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1528</v>
      </c>
      <c r="AS120" s="1">
        <v>0</v>
      </c>
      <c r="AT120" s="1" t="s">
        <v>1891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2172</v>
      </c>
      <c r="C121" s="1" t="s">
        <v>2173</v>
      </c>
      <c r="D121" s="1">
        <v>5</v>
      </c>
      <c r="E121" s="1">
        <v>1</v>
      </c>
      <c r="F121" s="1">
        <v>18</v>
      </c>
      <c r="G121" s="1" t="s">
        <v>333</v>
      </c>
      <c r="H121" s="1" t="s">
        <v>330</v>
      </c>
      <c r="I121" s="1" t="s">
        <v>360</v>
      </c>
      <c r="J121" s="1" t="s">
        <v>330</v>
      </c>
      <c r="K121" s="1" t="s">
        <v>330</v>
      </c>
      <c r="L121" s="1" t="s">
        <v>330</v>
      </c>
      <c r="M121" s="1" t="s">
        <v>387</v>
      </c>
      <c r="N121" s="1" t="s">
        <v>330</v>
      </c>
      <c r="O121" s="1" t="s">
        <v>330</v>
      </c>
      <c r="P121" s="1" t="s">
        <v>330</v>
      </c>
      <c r="Q121" s="1" t="s">
        <v>330</v>
      </c>
      <c r="R121" s="1" t="s">
        <v>330</v>
      </c>
      <c r="S121" s="1" t="s">
        <v>330</v>
      </c>
      <c r="T121" s="1" t="s">
        <v>330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268</v>
      </c>
      <c r="AH121" s="1">
        <v>2820</v>
      </c>
      <c r="AI121" s="1" t="s">
        <v>2147</v>
      </c>
      <c r="AJ121" s="1">
        <v>0</v>
      </c>
      <c r="AK121" s="1" t="s">
        <v>437</v>
      </c>
      <c r="AL121" s="1" t="s">
        <v>2174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1571</v>
      </c>
      <c r="AS121" s="1">
        <v>0</v>
      </c>
      <c r="AT121" s="1" t="s">
        <v>1891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2175</v>
      </c>
      <c r="C122" s="1" t="s">
        <v>2176</v>
      </c>
      <c r="D122" s="1">
        <v>5</v>
      </c>
      <c r="E122" s="1">
        <v>1</v>
      </c>
      <c r="F122" s="1">
        <v>18</v>
      </c>
      <c r="G122" s="1" t="s">
        <v>336</v>
      </c>
      <c r="H122" s="1" t="s">
        <v>345</v>
      </c>
      <c r="I122" s="1" t="s">
        <v>330</v>
      </c>
      <c r="J122" s="1" t="s">
        <v>330</v>
      </c>
      <c r="K122" s="1" t="s">
        <v>330</v>
      </c>
      <c r="L122" s="1" t="s">
        <v>330</v>
      </c>
      <c r="M122" s="1" t="s">
        <v>394</v>
      </c>
      <c r="N122" s="1" t="s">
        <v>330</v>
      </c>
      <c r="O122" s="1" t="s">
        <v>330</v>
      </c>
      <c r="P122" s="1" t="s">
        <v>330</v>
      </c>
      <c r="Q122" s="1" t="s">
        <v>330</v>
      </c>
      <c r="R122" s="1" t="s">
        <v>330</v>
      </c>
      <c r="S122" s="1" t="s">
        <v>330</v>
      </c>
      <c r="T122" s="1" t="s">
        <v>330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750</v>
      </c>
      <c r="AH122" s="1">
        <v>3600</v>
      </c>
      <c r="AI122" s="1" t="s">
        <v>2177</v>
      </c>
      <c r="AJ122" s="1">
        <v>0</v>
      </c>
      <c r="AK122" s="1" t="s">
        <v>438</v>
      </c>
      <c r="AL122" s="1" t="s">
        <v>2178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1572</v>
      </c>
      <c r="AS122" s="1">
        <v>0</v>
      </c>
      <c r="AT122" s="1" t="s">
        <v>1891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2179</v>
      </c>
      <c r="C123" s="1" t="s">
        <v>2180</v>
      </c>
      <c r="D123" s="1">
        <v>5</v>
      </c>
      <c r="E123" s="1">
        <v>1</v>
      </c>
      <c r="F123" s="1">
        <v>18</v>
      </c>
      <c r="G123" s="1" t="s">
        <v>356</v>
      </c>
      <c r="H123" s="1" t="s">
        <v>330</v>
      </c>
      <c r="I123" s="1" t="s">
        <v>330</v>
      </c>
      <c r="J123" s="1" t="s">
        <v>330</v>
      </c>
      <c r="K123" s="1" t="s">
        <v>330</v>
      </c>
      <c r="L123" s="1" t="s">
        <v>330</v>
      </c>
      <c r="M123" s="1" t="s">
        <v>329</v>
      </c>
      <c r="N123" s="1" t="s">
        <v>330</v>
      </c>
      <c r="O123" s="1" t="s">
        <v>330</v>
      </c>
      <c r="P123" s="1" t="s">
        <v>330</v>
      </c>
      <c r="Q123" s="1" t="s">
        <v>330</v>
      </c>
      <c r="R123" s="1" t="s">
        <v>330</v>
      </c>
      <c r="S123" s="1" t="s">
        <v>330</v>
      </c>
      <c r="T123" s="1" t="s">
        <v>330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1479</v>
      </c>
      <c r="AH123" s="1">
        <v>3600</v>
      </c>
      <c r="AI123" s="1" t="s">
        <v>2181</v>
      </c>
      <c r="AJ123" s="1">
        <v>0</v>
      </c>
      <c r="AK123" s="1" t="s">
        <v>439</v>
      </c>
      <c r="AL123" s="1" t="s">
        <v>2182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1573</v>
      </c>
      <c r="AS123" s="1">
        <v>0</v>
      </c>
      <c r="AT123" s="1" t="s">
        <v>1891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2183</v>
      </c>
      <c r="C124" s="1" t="s">
        <v>2184</v>
      </c>
      <c r="D124" s="1">
        <v>5</v>
      </c>
      <c r="E124" s="1">
        <v>1</v>
      </c>
      <c r="F124" s="1">
        <v>18</v>
      </c>
      <c r="G124" s="1" t="s">
        <v>330</v>
      </c>
      <c r="H124" s="1" t="s">
        <v>330</v>
      </c>
      <c r="I124" s="1" t="s">
        <v>343</v>
      </c>
      <c r="J124" s="1" t="s">
        <v>330</v>
      </c>
      <c r="K124" s="1" t="s">
        <v>330</v>
      </c>
      <c r="L124" s="1" t="s">
        <v>330</v>
      </c>
      <c r="M124" s="1" t="s">
        <v>440</v>
      </c>
      <c r="N124" s="1" t="s">
        <v>330</v>
      </c>
      <c r="O124" s="1" t="s">
        <v>330</v>
      </c>
      <c r="P124" s="1" t="s">
        <v>330</v>
      </c>
      <c r="Q124" s="1" t="s">
        <v>330</v>
      </c>
      <c r="R124" s="1" t="s">
        <v>330</v>
      </c>
      <c r="S124" s="1" t="s">
        <v>330</v>
      </c>
      <c r="T124" s="1" t="s">
        <v>330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266</v>
      </c>
      <c r="AH124" s="1">
        <v>3600</v>
      </c>
      <c r="AI124" s="1" t="s">
        <v>2185</v>
      </c>
      <c r="AJ124" s="1">
        <v>0</v>
      </c>
      <c r="AK124" s="1" t="s">
        <v>441</v>
      </c>
      <c r="AL124" s="1" t="s">
        <v>2186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1574</v>
      </c>
      <c r="AS124" s="1">
        <v>0</v>
      </c>
      <c r="AT124" s="1" t="s">
        <v>1891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2187</v>
      </c>
      <c r="C125" s="1" t="s">
        <v>2188</v>
      </c>
      <c r="D125" s="1">
        <v>5</v>
      </c>
      <c r="E125" s="1">
        <v>1</v>
      </c>
      <c r="F125" s="1">
        <v>18</v>
      </c>
      <c r="G125" s="1" t="s">
        <v>442</v>
      </c>
      <c r="H125" s="1" t="s">
        <v>340</v>
      </c>
      <c r="I125" s="1" t="s">
        <v>330</v>
      </c>
      <c r="J125" s="1" t="s">
        <v>330</v>
      </c>
      <c r="K125" s="1" t="s">
        <v>380</v>
      </c>
      <c r="L125" s="1" t="s">
        <v>330</v>
      </c>
      <c r="M125" s="1" t="s">
        <v>330</v>
      </c>
      <c r="N125" s="1" t="s">
        <v>330</v>
      </c>
      <c r="O125" s="1" t="s">
        <v>330</v>
      </c>
      <c r="P125" s="1" t="s">
        <v>330</v>
      </c>
      <c r="Q125" s="1" t="s">
        <v>330</v>
      </c>
      <c r="R125" s="1" t="s">
        <v>330</v>
      </c>
      <c r="S125" s="1" t="s">
        <v>330</v>
      </c>
      <c r="T125" s="1" t="s">
        <v>330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258</v>
      </c>
      <c r="AH125" s="1">
        <v>3600</v>
      </c>
      <c r="AI125" s="1" t="s">
        <v>2185</v>
      </c>
      <c r="AJ125" s="1">
        <v>0</v>
      </c>
      <c r="AK125" s="1" t="s">
        <v>443</v>
      </c>
      <c r="AL125" s="1" t="s">
        <v>2189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1575</v>
      </c>
      <c r="AS125" s="1">
        <v>0</v>
      </c>
      <c r="AT125" s="1" t="s">
        <v>1891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2190</v>
      </c>
      <c r="C126" s="1" t="s">
        <v>2191</v>
      </c>
      <c r="D126" s="1">
        <v>5</v>
      </c>
      <c r="E126" s="1">
        <v>3</v>
      </c>
      <c r="F126" s="1">
        <v>20</v>
      </c>
      <c r="G126" s="1" t="s">
        <v>393</v>
      </c>
      <c r="H126" s="1" t="s">
        <v>408</v>
      </c>
      <c r="I126" s="1" t="s">
        <v>427</v>
      </c>
      <c r="J126" s="1" t="s">
        <v>330</v>
      </c>
      <c r="K126" s="1" t="s">
        <v>330</v>
      </c>
      <c r="L126" s="1" t="s">
        <v>330</v>
      </c>
      <c r="M126" s="1" t="s">
        <v>330</v>
      </c>
      <c r="N126" s="1" t="s">
        <v>330</v>
      </c>
      <c r="O126" s="1" t="s">
        <v>330</v>
      </c>
      <c r="P126" s="1" t="s">
        <v>330</v>
      </c>
      <c r="Q126" s="1" t="s">
        <v>330</v>
      </c>
      <c r="R126" s="1" t="s">
        <v>330</v>
      </c>
      <c r="S126" s="1" t="s">
        <v>330</v>
      </c>
      <c r="T126" s="1" t="s">
        <v>330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741</v>
      </c>
      <c r="AH126" s="1">
        <v>3600</v>
      </c>
      <c r="AI126" s="1" t="s">
        <v>2192</v>
      </c>
      <c r="AJ126" s="1">
        <v>0</v>
      </c>
      <c r="AK126" s="1" t="s">
        <v>444</v>
      </c>
      <c r="AL126" s="1" t="s">
        <v>2193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1576</v>
      </c>
      <c r="AS126" s="1">
        <v>0</v>
      </c>
      <c r="AT126" s="1" t="s">
        <v>1891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2194</v>
      </c>
      <c r="C127" s="1" t="s">
        <v>2195</v>
      </c>
      <c r="D127" s="1">
        <v>5</v>
      </c>
      <c r="E127" s="1">
        <v>1</v>
      </c>
      <c r="F127" s="1">
        <v>18</v>
      </c>
      <c r="G127" s="1" t="s">
        <v>330</v>
      </c>
      <c r="H127" s="1" t="s">
        <v>330</v>
      </c>
      <c r="I127" s="1" t="s">
        <v>415</v>
      </c>
      <c r="J127" s="1" t="s">
        <v>330</v>
      </c>
      <c r="K127" s="1" t="s">
        <v>330</v>
      </c>
      <c r="L127" s="1" t="s">
        <v>330</v>
      </c>
      <c r="M127" s="1" t="s">
        <v>387</v>
      </c>
      <c r="N127" s="1" t="s">
        <v>330</v>
      </c>
      <c r="O127" s="1" t="s">
        <v>330</v>
      </c>
      <c r="P127" s="1" t="s">
        <v>330</v>
      </c>
      <c r="Q127" s="1" t="s">
        <v>330</v>
      </c>
      <c r="R127" s="1" t="s">
        <v>330</v>
      </c>
      <c r="S127" s="1" t="s">
        <v>330</v>
      </c>
      <c r="T127" s="1" t="s">
        <v>330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837</v>
      </c>
      <c r="AH127" s="1">
        <v>3600</v>
      </c>
      <c r="AI127" s="1" t="s">
        <v>2196</v>
      </c>
      <c r="AJ127" s="1">
        <v>0</v>
      </c>
      <c r="AK127" s="1" t="s">
        <v>445</v>
      </c>
      <c r="AL127" s="1" t="s">
        <v>2197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1560</v>
      </c>
      <c r="AS127" s="1">
        <v>0</v>
      </c>
      <c r="AT127" s="1" t="s">
        <v>1891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2198</v>
      </c>
      <c r="C128" s="1" t="s">
        <v>2199</v>
      </c>
      <c r="D128" s="1">
        <v>5</v>
      </c>
      <c r="E128" s="1">
        <v>1</v>
      </c>
      <c r="F128" s="1">
        <v>18</v>
      </c>
      <c r="G128" s="1" t="s">
        <v>330</v>
      </c>
      <c r="H128" s="1" t="s">
        <v>337</v>
      </c>
      <c r="I128" s="1" t="s">
        <v>330</v>
      </c>
      <c r="J128" s="1" t="s">
        <v>330</v>
      </c>
      <c r="K128" s="1" t="s">
        <v>330</v>
      </c>
      <c r="L128" s="1" t="s">
        <v>330</v>
      </c>
      <c r="M128" s="1" t="s">
        <v>329</v>
      </c>
      <c r="N128" s="1" t="s">
        <v>330</v>
      </c>
      <c r="O128" s="1" t="s">
        <v>330</v>
      </c>
      <c r="P128" s="1" t="s">
        <v>330</v>
      </c>
      <c r="Q128" s="1" t="s">
        <v>330</v>
      </c>
      <c r="R128" s="1" t="s">
        <v>330</v>
      </c>
      <c r="S128" s="1" t="s">
        <v>330</v>
      </c>
      <c r="T128" s="1" t="s">
        <v>330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256</v>
      </c>
      <c r="AH128" s="1">
        <v>3600</v>
      </c>
      <c r="AI128" s="1" t="s">
        <v>2200</v>
      </c>
      <c r="AJ128" s="1">
        <v>0</v>
      </c>
      <c r="AK128" s="1" t="s">
        <v>446</v>
      </c>
      <c r="AL128" s="1" t="s">
        <v>2201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1565</v>
      </c>
      <c r="AS128" s="1">
        <v>0</v>
      </c>
      <c r="AT128" s="1" t="s">
        <v>1891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2202</v>
      </c>
      <c r="C129" s="1" t="s">
        <v>2203</v>
      </c>
      <c r="D129" s="1">
        <v>5</v>
      </c>
      <c r="E129" s="1">
        <v>1</v>
      </c>
      <c r="F129" s="1">
        <v>18</v>
      </c>
      <c r="G129" s="1" t="s">
        <v>330</v>
      </c>
      <c r="H129" s="1" t="s">
        <v>356</v>
      </c>
      <c r="I129" s="1" t="s">
        <v>330</v>
      </c>
      <c r="J129" s="1" t="s">
        <v>330</v>
      </c>
      <c r="K129" s="1" t="s">
        <v>330</v>
      </c>
      <c r="L129" s="1" t="s">
        <v>330</v>
      </c>
      <c r="M129" s="1" t="s">
        <v>329</v>
      </c>
      <c r="N129" s="1" t="s">
        <v>330</v>
      </c>
      <c r="O129" s="1" t="s">
        <v>330</v>
      </c>
      <c r="P129" s="1" t="s">
        <v>330</v>
      </c>
      <c r="Q129" s="1" t="s">
        <v>330</v>
      </c>
      <c r="R129" s="1" t="s">
        <v>330</v>
      </c>
      <c r="S129" s="1" t="s">
        <v>330</v>
      </c>
      <c r="T129" s="1" t="s">
        <v>330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1481</v>
      </c>
      <c r="AH129" s="1">
        <v>3600</v>
      </c>
      <c r="AI129" s="1" t="s">
        <v>2204</v>
      </c>
      <c r="AJ129" s="1">
        <v>0</v>
      </c>
      <c r="AK129" s="1" t="s">
        <v>447</v>
      </c>
      <c r="AL129" s="1" t="s">
        <v>2205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1565</v>
      </c>
      <c r="AS129" s="1">
        <v>0</v>
      </c>
      <c r="AT129" s="1" t="s">
        <v>1891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2206</v>
      </c>
      <c r="C130" s="1" t="s">
        <v>2207</v>
      </c>
      <c r="D130" s="1">
        <v>5</v>
      </c>
      <c r="E130" s="1">
        <v>1</v>
      </c>
      <c r="F130" s="1">
        <v>18</v>
      </c>
      <c r="G130" s="1" t="s">
        <v>331</v>
      </c>
      <c r="H130" s="1" t="s">
        <v>448</v>
      </c>
      <c r="I130" s="1" t="s">
        <v>330</v>
      </c>
      <c r="J130" s="1" t="s">
        <v>330</v>
      </c>
      <c r="K130" s="1" t="s">
        <v>330</v>
      </c>
      <c r="L130" s="1" t="s">
        <v>330</v>
      </c>
      <c r="M130" s="1" t="s">
        <v>394</v>
      </c>
      <c r="N130" s="1" t="s">
        <v>330</v>
      </c>
      <c r="O130" s="1" t="s">
        <v>330</v>
      </c>
      <c r="P130" s="1" t="s">
        <v>330</v>
      </c>
      <c r="Q130" s="1" t="s">
        <v>330</v>
      </c>
      <c r="R130" s="1" t="s">
        <v>330</v>
      </c>
      <c r="S130" s="1" t="s">
        <v>330</v>
      </c>
      <c r="T130" s="1" t="s">
        <v>330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262</v>
      </c>
      <c r="AH130" s="1">
        <v>3600</v>
      </c>
      <c r="AI130" s="1" t="s">
        <v>2208</v>
      </c>
      <c r="AJ130" s="1">
        <v>0</v>
      </c>
      <c r="AK130" s="1" t="s">
        <v>449</v>
      </c>
      <c r="AL130" s="1" t="s">
        <v>2209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1577</v>
      </c>
      <c r="AS130" s="1">
        <v>0</v>
      </c>
      <c r="AT130" s="1" t="s">
        <v>1891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2210</v>
      </c>
      <c r="C131" s="1" t="s">
        <v>2211</v>
      </c>
      <c r="D131" s="1">
        <v>5</v>
      </c>
      <c r="E131" s="1">
        <v>1</v>
      </c>
      <c r="F131" s="1">
        <v>18</v>
      </c>
      <c r="G131" s="1" t="s">
        <v>330</v>
      </c>
      <c r="H131" s="1" t="s">
        <v>450</v>
      </c>
      <c r="I131" s="1" t="s">
        <v>330</v>
      </c>
      <c r="J131" s="1" t="s">
        <v>330</v>
      </c>
      <c r="K131" s="1" t="s">
        <v>332</v>
      </c>
      <c r="L131" s="1" t="s">
        <v>330</v>
      </c>
      <c r="M131" s="1" t="s">
        <v>424</v>
      </c>
      <c r="N131" s="1" t="s">
        <v>330</v>
      </c>
      <c r="O131" s="1" t="s">
        <v>330</v>
      </c>
      <c r="P131" s="1" t="s">
        <v>330</v>
      </c>
      <c r="Q131" s="1" t="s">
        <v>330</v>
      </c>
      <c r="R131" s="1" t="s">
        <v>330</v>
      </c>
      <c r="S131" s="1" t="s">
        <v>330</v>
      </c>
      <c r="T131" s="1" t="s">
        <v>330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301</v>
      </c>
      <c r="AH131" s="1">
        <v>3600</v>
      </c>
      <c r="AI131" s="1" t="s">
        <v>2208</v>
      </c>
      <c r="AJ131" s="1">
        <v>0</v>
      </c>
      <c r="AK131" s="1" t="s">
        <v>948</v>
      </c>
      <c r="AL131" s="1" t="s">
        <v>2212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1578</v>
      </c>
      <c r="AS131" s="1">
        <v>0</v>
      </c>
      <c r="AT131" s="1" t="s">
        <v>1891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2213</v>
      </c>
      <c r="C132" s="1" t="s">
        <v>2214</v>
      </c>
      <c r="D132" s="1">
        <v>5</v>
      </c>
      <c r="E132" s="1">
        <v>1</v>
      </c>
      <c r="F132" s="1">
        <v>18</v>
      </c>
      <c r="G132" s="1" t="s">
        <v>330</v>
      </c>
      <c r="H132" s="1" t="s">
        <v>333</v>
      </c>
      <c r="I132" s="1" t="s">
        <v>360</v>
      </c>
      <c r="J132" s="1" t="s">
        <v>330</v>
      </c>
      <c r="K132" s="1" t="s">
        <v>330</v>
      </c>
      <c r="L132" s="1" t="s">
        <v>330</v>
      </c>
      <c r="M132" s="1" t="s">
        <v>387</v>
      </c>
      <c r="N132" s="1" t="s">
        <v>330</v>
      </c>
      <c r="O132" s="1" t="s">
        <v>330</v>
      </c>
      <c r="P132" s="1" t="s">
        <v>330</v>
      </c>
      <c r="Q132" s="1" t="s">
        <v>330</v>
      </c>
      <c r="R132" s="1" t="s">
        <v>330</v>
      </c>
      <c r="S132" s="1" t="s">
        <v>330</v>
      </c>
      <c r="T132" s="1" t="s">
        <v>330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2215</v>
      </c>
      <c r="AJ132" s="1">
        <v>0</v>
      </c>
      <c r="AK132" s="1" t="s">
        <v>451</v>
      </c>
      <c r="AL132" s="1" t="s">
        <v>2216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1579</v>
      </c>
      <c r="AS132" s="1">
        <v>300119</v>
      </c>
      <c r="AT132" s="1" t="s">
        <v>2217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2218</v>
      </c>
      <c r="C133" s="1" t="s">
        <v>2219</v>
      </c>
      <c r="D133" s="1">
        <v>5</v>
      </c>
      <c r="E133" s="1">
        <v>1</v>
      </c>
      <c r="F133" s="1">
        <v>18</v>
      </c>
      <c r="G133" s="1" t="s">
        <v>408</v>
      </c>
      <c r="H133" s="1" t="s">
        <v>452</v>
      </c>
      <c r="I133" s="1" t="s">
        <v>330</v>
      </c>
      <c r="J133" s="1" t="s">
        <v>330</v>
      </c>
      <c r="K133" s="1" t="s">
        <v>346</v>
      </c>
      <c r="L133" s="1" t="s">
        <v>330</v>
      </c>
      <c r="M133" s="1" t="s">
        <v>330</v>
      </c>
      <c r="N133" s="1" t="s">
        <v>330</v>
      </c>
      <c r="O133" s="1" t="s">
        <v>330</v>
      </c>
      <c r="P133" s="1" t="s">
        <v>330</v>
      </c>
      <c r="Q133" s="1" t="s">
        <v>330</v>
      </c>
      <c r="R133" s="1" t="s">
        <v>330</v>
      </c>
      <c r="S133" s="1" t="s">
        <v>330</v>
      </c>
      <c r="T133" s="1" t="s">
        <v>330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255</v>
      </c>
      <c r="AH133" s="1">
        <v>3600</v>
      </c>
      <c r="AI133" s="1" t="s">
        <v>2220</v>
      </c>
      <c r="AJ133" s="1">
        <v>0</v>
      </c>
      <c r="AK133" s="1" t="s">
        <v>453</v>
      </c>
      <c r="AL133" s="1" t="s">
        <v>2221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1580</v>
      </c>
      <c r="AS133" s="1">
        <v>0</v>
      </c>
      <c r="AT133" s="1" t="s">
        <v>1891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2222</v>
      </c>
      <c r="C134" s="1" t="s">
        <v>2223</v>
      </c>
      <c r="D134" s="1">
        <v>5</v>
      </c>
      <c r="E134" s="1">
        <v>2</v>
      </c>
      <c r="F134" s="1">
        <v>19</v>
      </c>
      <c r="G134" s="1" t="s">
        <v>454</v>
      </c>
      <c r="H134" s="1" t="s">
        <v>330</v>
      </c>
      <c r="I134" s="1" t="s">
        <v>330</v>
      </c>
      <c r="J134" s="1" t="s">
        <v>330</v>
      </c>
      <c r="K134" s="1" t="s">
        <v>330</v>
      </c>
      <c r="L134" s="1" t="s">
        <v>330</v>
      </c>
      <c r="M134" s="1" t="s">
        <v>330</v>
      </c>
      <c r="N134" s="1" t="s">
        <v>330</v>
      </c>
      <c r="O134" s="1" t="s">
        <v>330</v>
      </c>
      <c r="P134" s="1" t="s">
        <v>330</v>
      </c>
      <c r="Q134" s="1" t="s">
        <v>330</v>
      </c>
      <c r="R134" s="1" t="s">
        <v>330</v>
      </c>
      <c r="S134" s="1" t="s">
        <v>330</v>
      </c>
      <c r="T134" s="1" t="s">
        <v>330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259</v>
      </c>
      <c r="AH134" s="1">
        <v>3600</v>
      </c>
      <c r="AI134" s="1" t="s">
        <v>2224</v>
      </c>
      <c r="AJ134" s="1">
        <v>0</v>
      </c>
      <c r="AK134" s="1" t="s">
        <v>455</v>
      </c>
      <c r="AL134" s="1" t="s">
        <v>2225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1581</v>
      </c>
      <c r="AS134" s="1">
        <v>0</v>
      </c>
      <c r="AT134" s="1" t="s">
        <v>1891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2226</v>
      </c>
      <c r="C135" s="1" t="s">
        <v>2227</v>
      </c>
      <c r="D135" s="1">
        <v>5</v>
      </c>
      <c r="E135" s="1">
        <v>2</v>
      </c>
      <c r="F135" s="1">
        <v>19</v>
      </c>
      <c r="G135" s="1" t="s">
        <v>454</v>
      </c>
      <c r="H135" s="1" t="s">
        <v>330</v>
      </c>
      <c r="I135" s="1" t="s">
        <v>330</v>
      </c>
      <c r="J135" s="1" t="s">
        <v>330</v>
      </c>
      <c r="K135" s="1" t="s">
        <v>330</v>
      </c>
      <c r="L135" s="1" t="s">
        <v>330</v>
      </c>
      <c r="M135" s="1" t="s">
        <v>330</v>
      </c>
      <c r="N135" s="1" t="s">
        <v>330</v>
      </c>
      <c r="O135" s="1" t="s">
        <v>330</v>
      </c>
      <c r="P135" s="1" t="s">
        <v>330</v>
      </c>
      <c r="Q135" s="1" t="s">
        <v>330</v>
      </c>
      <c r="R135" s="1" t="s">
        <v>330</v>
      </c>
      <c r="S135" s="1" t="s">
        <v>330</v>
      </c>
      <c r="T135" s="1" t="s">
        <v>330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839</v>
      </c>
      <c r="AH135" s="1">
        <v>3600</v>
      </c>
      <c r="AI135" s="1" t="s">
        <v>2228</v>
      </c>
      <c r="AJ135" s="1">
        <v>0</v>
      </c>
      <c r="AK135" s="1" t="s">
        <v>456</v>
      </c>
      <c r="AL135" s="1" t="s">
        <v>2229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1581</v>
      </c>
      <c r="AS135" s="1">
        <v>0</v>
      </c>
      <c r="AT135" s="1" t="s">
        <v>1891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2230</v>
      </c>
      <c r="C136" s="1" t="s">
        <v>2231</v>
      </c>
      <c r="D136" s="1">
        <v>5</v>
      </c>
      <c r="E136" s="1">
        <v>1</v>
      </c>
      <c r="F136" s="1">
        <v>18</v>
      </c>
      <c r="G136" s="1" t="s">
        <v>330</v>
      </c>
      <c r="H136" s="1" t="s">
        <v>330</v>
      </c>
      <c r="I136" s="1" t="s">
        <v>394</v>
      </c>
      <c r="J136" s="1" t="s">
        <v>330</v>
      </c>
      <c r="K136" s="1" t="s">
        <v>330</v>
      </c>
      <c r="L136" s="1" t="s">
        <v>330</v>
      </c>
      <c r="M136" s="1" t="s">
        <v>330</v>
      </c>
      <c r="N136" s="1" t="s">
        <v>330</v>
      </c>
      <c r="O136" s="1" t="s">
        <v>330</v>
      </c>
      <c r="P136" s="1" t="s">
        <v>330</v>
      </c>
      <c r="Q136" s="1" t="s">
        <v>330</v>
      </c>
      <c r="R136" s="1" t="s">
        <v>330</v>
      </c>
      <c r="S136" s="1" t="s">
        <v>330</v>
      </c>
      <c r="T136" s="1" t="s">
        <v>330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762</v>
      </c>
      <c r="AH136" s="1">
        <v>3600</v>
      </c>
      <c r="AI136" s="1" t="s">
        <v>2232</v>
      </c>
      <c r="AJ136" s="1">
        <v>0</v>
      </c>
      <c r="AK136" s="1" t="s">
        <v>457</v>
      </c>
      <c r="AL136" s="1" t="s">
        <v>2233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330</v>
      </c>
      <c r="AS136" s="1">
        <v>0</v>
      </c>
      <c r="AT136" s="1" t="s">
        <v>2234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2235</v>
      </c>
      <c r="C137" s="1" t="s">
        <v>2236</v>
      </c>
      <c r="D137" s="1">
        <v>5</v>
      </c>
      <c r="E137" s="1">
        <v>1</v>
      </c>
      <c r="F137" s="1">
        <v>18</v>
      </c>
      <c r="G137" s="1" t="s">
        <v>330</v>
      </c>
      <c r="H137" s="1" t="s">
        <v>330</v>
      </c>
      <c r="I137" s="1" t="s">
        <v>394</v>
      </c>
      <c r="J137" s="1" t="s">
        <v>330</v>
      </c>
      <c r="K137" s="1" t="s">
        <v>330</v>
      </c>
      <c r="L137" s="1" t="s">
        <v>330</v>
      </c>
      <c r="M137" s="1" t="s">
        <v>330</v>
      </c>
      <c r="N137" s="1" t="s">
        <v>330</v>
      </c>
      <c r="O137" s="1" t="s">
        <v>330</v>
      </c>
      <c r="P137" s="1" t="s">
        <v>330</v>
      </c>
      <c r="Q137" s="1" t="s">
        <v>330</v>
      </c>
      <c r="R137" s="1" t="s">
        <v>330</v>
      </c>
      <c r="S137" s="1" t="s">
        <v>330</v>
      </c>
      <c r="T137" s="1" t="s">
        <v>330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763</v>
      </c>
      <c r="AH137" s="1">
        <v>3600</v>
      </c>
      <c r="AI137" s="1" t="s">
        <v>2232</v>
      </c>
      <c r="AJ137" s="1">
        <v>0</v>
      </c>
      <c r="AK137" s="1" t="s">
        <v>457</v>
      </c>
      <c r="AL137" s="1" t="s">
        <v>2237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330</v>
      </c>
      <c r="AS137" s="1">
        <v>0</v>
      </c>
      <c r="AT137" s="1" t="s">
        <v>2238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2239</v>
      </c>
      <c r="C138" s="1" t="s">
        <v>2240</v>
      </c>
      <c r="D138" s="1">
        <v>5</v>
      </c>
      <c r="E138" s="1">
        <v>2</v>
      </c>
      <c r="F138" s="1">
        <v>19</v>
      </c>
      <c r="G138" s="1" t="s">
        <v>330</v>
      </c>
      <c r="H138" s="1" t="s">
        <v>330</v>
      </c>
      <c r="I138" s="1" t="s">
        <v>394</v>
      </c>
      <c r="J138" s="1" t="s">
        <v>330</v>
      </c>
      <c r="K138" s="1" t="s">
        <v>330</v>
      </c>
      <c r="L138" s="1" t="s">
        <v>330</v>
      </c>
      <c r="M138" s="1" t="s">
        <v>330</v>
      </c>
      <c r="N138" s="1" t="s">
        <v>330</v>
      </c>
      <c r="O138" s="1" t="s">
        <v>330</v>
      </c>
      <c r="P138" s="1" t="s">
        <v>330</v>
      </c>
      <c r="Q138" s="1" t="s">
        <v>330</v>
      </c>
      <c r="R138" s="1" t="s">
        <v>330</v>
      </c>
      <c r="S138" s="1" t="s">
        <v>330</v>
      </c>
      <c r="T138" s="1" t="s">
        <v>330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765</v>
      </c>
      <c r="AH138" s="1">
        <v>3600</v>
      </c>
      <c r="AI138" s="1" t="s">
        <v>2232</v>
      </c>
      <c r="AJ138" s="1">
        <v>0</v>
      </c>
      <c r="AK138" s="1" t="s">
        <v>457</v>
      </c>
      <c r="AL138" s="1" t="s">
        <v>2241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330</v>
      </c>
      <c r="AS138" s="1">
        <v>0</v>
      </c>
      <c r="AT138" s="1" t="s">
        <v>2242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2243</v>
      </c>
      <c r="C139" s="1" t="s">
        <v>2244</v>
      </c>
      <c r="D139" s="1">
        <v>5</v>
      </c>
      <c r="E139" s="1">
        <v>2</v>
      </c>
      <c r="F139" s="1">
        <v>19</v>
      </c>
      <c r="G139" s="1" t="s">
        <v>330</v>
      </c>
      <c r="H139" s="1" t="s">
        <v>330</v>
      </c>
      <c r="I139" s="1" t="s">
        <v>394</v>
      </c>
      <c r="J139" s="1" t="s">
        <v>330</v>
      </c>
      <c r="K139" s="1" t="s">
        <v>330</v>
      </c>
      <c r="L139" s="1" t="s">
        <v>330</v>
      </c>
      <c r="M139" s="1" t="s">
        <v>330</v>
      </c>
      <c r="N139" s="1" t="s">
        <v>330</v>
      </c>
      <c r="O139" s="1" t="s">
        <v>330</v>
      </c>
      <c r="P139" s="1" t="s">
        <v>330</v>
      </c>
      <c r="Q139" s="1" t="s">
        <v>330</v>
      </c>
      <c r="R139" s="1" t="s">
        <v>330</v>
      </c>
      <c r="S139" s="1" t="s">
        <v>330</v>
      </c>
      <c r="T139" s="1" t="s">
        <v>330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766</v>
      </c>
      <c r="AH139" s="1">
        <v>3600</v>
      </c>
      <c r="AI139" s="1" t="s">
        <v>2232</v>
      </c>
      <c r="AJ139" s="1">
        <v>0</v>
      </c>
      <c r="AK139" s="1" t="s">
        <v>457</v>
      </c>
      <c r="AL139" s="1" t="s">
        <v>2245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330</v>
      </c>
      <c r="AS139" s="1">
        <v>0</v>
      </c>
      <c r="AT139" s="1" t="s">
        <v>2246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2247</v>
      </c>
      <c r="C140" s="1" t="s">
        <v>2248</v>
      </c>
      <c r="D140" s="1">
        <v>5</v>
      </c>
      <c r="E140" s="1">
        <v>3</v>
      </c>
      <c r="F140" s="1">
        <v>20</v>
      </c>
      <c r="G140" s="1" t="s">
        <v>330</v>
      </c>
      <c r="H140" s="1" t="s">
        <v>330</v>
      </c>
      <c r="I140" s="1" t="s">
        <v>394</v>
      </c>
      <c r="J140" s="1" t="s">
        <v>330</v>
      </c>
      <c r="K140" s="1" t="s">
        <v>330</v>
      </c>
      <c r="L140" s="1" t="s">
        <v>330</v>
      </c>
      <c r="M140" s="1" t="s">
        <v>330</v>
      </c>
      <c r="N140" s="1" t="s">
        <v>330</v>
      </c>
      <c r="O140" s="1" t="s">
        <v>330</v>
      </c>
      <c r="P140" s="1" t="s">
        <v>330</v>
      </c>
      <c r="Q140" s="1" t="s">
        <v>330</v>
      </c>
      <c r="R140" s="1" t="s">
        <v>330</v>
      </c>
      <c r="S140" s="1" t="s">
        <v>330</v>
      </c>
      <c r="T140" s="1" t="s">
        <v>330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850</v>
      </c>
      <c r="AH140" s="1">
        <v>3600</v>
      </c>
      <c r="AI140" s="1" t="s">
        <v>2232</v>
      </c>
      <c r="AJ140" s="1">
        <v>0</v>
      </c>
      <c r="AK140" s="1" t="s">
        <v>457</v>
      </c>
      <c r="AL140" s="1" t="s">
        <v>2249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330</v>
      </c>
      <c r="AS140" s="1">
        <v>0</v>
      </c>
      <c r="AT140" s="1" t="s">
        <v>2250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2251</v>
      </c>
      <c r="C141" s="1" t="s">
        <v>2252</v>
      </c>
      <c r="D141" s="1">
        <v>5</v>
      </c>
      <c r="E141" s="1">
        <v>1</v>
      </c>
      <c r="F141" s="1">
        <v>18</v>
      </c>
      <c r="G141" s="1" t="s">
        <v>330</v>
      </c>
      <c r="H141" s="1" t="s">
        <v>330</v>
      </c>
      <c r="I141" s="1" t="s">
        <v>394</v>
      </c>
      <c r="J141" s="1" t="s">
        <v>330</v>
      </c>
      <c r="K141" s="1" t="s">
        <v>330</v>
      </c>
      <c r="L141" s="1" t="s">
        <v>330</v>
      </c>
      <c r="M141" s="1" t="s">
        <v>330</v>
      </c>
      <c r="N141" s="1" t="s">
        <v>330</v>
      </c>
      <c r="O141" s="1" t="s">
        <v>330</v>
      </c>
      <c r="P141" s="1" t="s">
        <v>330</v>
      </c>
      <c r="Q141" s="1" t="s">
        <v>330</v>
      </c>
      <c r="R141" s="1" t="s">
        <v>330</v>
      </c>
      <c r="S141" s="1" t="s">
        <v>330</v>
      </c>
      <c r="T141" s="1" t="s">
        <v>330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761</v>
      </c>
      <c r="AH141" s="1">
        <v>3600</v>
      </c>
      <c r="AI141" s="1" t="s">
        <v>2232</v>
      </c>
      <c r="AJ141" s="1">
        <v>0</v>
      </c>
      <c r="AK141" s="1" t="s">
        <v>457</v>
      </c>
      <c r="AL141" s="1" t="s">
        <v>2253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330</v>
      </c>
      <c r="AS141" s="1">
        <v>0</v>
      </c>
      <c r="AT141" s="1" t="s">
        <v>2254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2255</v>
      </c>
      <c r="C142" s="1" t="s">
        <v>2256</v>
      </c>
      <c r="D142" s="1">
        <v>5</v>
      </c>
      <c r="E142" s="1">
        <v>2</v>
      </c>
      <c r="F142" s="1">
        <v>19</v>
      </c>
      <c r="G142" s="1" t="s">
        <v>330</v>
      </c>
      <c r="H142" s="1" t="s">
        <v>330</v>
      </c>
      <c r="I142" s="1" t="s">
        <v>394</v>
      </c>
      <c r="J142" s="1" t="s">
        <v>330</v>
      </c>
      <c r="K142" s="1" t="s">
        <v>330</v>
      </c>
      <c r="L142" s="1" t="s">
        <v>330</v>
      </c>
      <c r="M142" s="1" t="s">
        <v>330</v>
      </c>
      <c r="N142" s="1" t="s">
        <v>330</v>
      </c>
      <c r="O142" s="1" t="s">
        <v>330</v>
      </c>
      <c r="P142" s="1" t="s">
        <v>330</v>
      </c>
      <c r="Q142" s="1" t="s">
        <v>330</v>
      </c>
      <c r="R142" s="1" t="s">
        <v>330</v>
      </c>
      <c r="S142" s="1" t="s">
        <v>330</v>
      </c>
      <c r="T142" s="1" t="s">
        <v>330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764</v>
      </c>
      <c r="AH142" s="1">
        <v>3600</v>
      </c>
      <c r="AI142" s="1" t="s">
        <v>2232</v>
      </c>
      <c r="AJ142" s="1">
        <v>0</v>
      </c>
      <c r="AK142" s="1" t="s">
        <v>457</v>
      </c>
      <c r="AL142" s="1" t="s">
        <v>2257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330</v>
      </c>
      <c r="AS142" s="1">
        <v>0</v>
      </c>
      <c r="AT142" s="1" t="s">
        <v>2258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2259</v>
      </c>
      <c r="C143" s="1" t="s">
        <v>2260</v>
      </c>
      <c r="D143" s="1">
        <v>5</v>
      </c>
      <c r="E143" s="1">
        <v>3</v>
      </c>
      <c r="F143" s="1">
        <v>20</v>
      </c>
      <c r="G143" s="1" t="s">
        <v>330</v>
      </c>
      <c r="H143" s="1" t="s">
        <v>330</v>
      </c>
      <c r="I143" s="1" t="s">
        <v>394</v>
      </c>
      <c r="J143" s="1" t="s">
        <v>330</v>
      </c>
      <c r="K143" s="1" t="s">
        <v>330</v>
      </c>
      <c r="L143" s="1" t="s">
        <v>330</v>
      </c>
      <c r="M143" s="1" t="s">
        <v>330</v>
      </c>
      <c r="N143" s="1" t="s">
        <v>330</v>
      </c>
      <c r="O143" s="1" t="s">
        <v>330</v>
      </c>
      <c r="P143" s="1" t="s">
        <v>330</v>
      </c>
      <c r="Q143" s="1" t="s">
        <v>330</v>
      </c>
      <c r="R143" s="1" t="s">
        <v>330</v>
      </c>
      <c r="S143" s="1" t="s">
        <v>330</v>
      </c>
      <c r="T143" s="1" t="s">
        <v>330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767</v>
      </c>
      <c r="AH143" s="1">
        <v>3600</v>
      </c>
      <c r="AI143" s="1" t="s">
        <v>2232</v>
      </c>
      <c r="AJ143" s="1">
        <v>0</v>
      </c>
      <c r="AK143" s="1" t="s">
        <v>457</v>
      </c>
      <c r="AL143" s="1" t="s">
        <v>2261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330</v>
      </c>
      <c r="AS143" s="1">
        <v>0</v>
      </c>
      <c r="AT143" s="1" t="s">
        <v>2262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2263</v>
      </c>
      <c r="C144" s="1" t="s">
        <v>2264</v>
      </c>
      <c r="D144" s="1">
        <v>5</v>
      </c>
      <c r="E144" s="1">
        <v>3</v>
      </c>
      <c r="F144" s="1">
        <v>20</v>
      </c>
      <c r="G144" s="1" t="s">
        <v>400</v>
      </c>
      <c r="H144" s="1" t="s">
        <v>330</v>
      </c>
      <c r="I144" s="1" t="s">
        <v>368</v>
      </c>
      <c r="J144" s="1" t="s">
        <v>330</v>
      </c>
      <c r="K144" s="1" t="s">
        <v>330</v>
      </c>
      <c r="L144" s="1" t="s">
        <v>330</v>
      </c>
      <c r="M144" s="1" t="s">
        <v>330</v>
      </c>
      <c r="N144" s="1" t="s">
        <v>330</v>
      </c>
      <c r="O144" s="1" t="s">
        <v>360</v>
      </c>
      <c r="P144" s="1" t="s">
        <v>330</v>
      </c>
      <c r="Q144" s="1" t="s">
        <v>330</v>
      </c>
      <c r="R144" s="1" t="s">
        <v>330</v>
      </c>
      <c r="S144" s="1" t="s">
        <v>330</v>
      </c>
      <c r="T144" s="1" t="s">
        <v>330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742</v>
      </c>
      <c r="AH144" s="1">
        <v>3600</v>
      </c>
      <c r="AI144" s="1" t="s">
        <v>2265</v>
      </c>
      <c r="AJ144" s="1">
        <v>0</v>
      </c>
      <c r="AK144" s="1" t="s">
        <v>458</v>
      </c>
      <c r="AL144" s="1" t="s">
        <v>2266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1582</v>
      </c>
      <c r="AS144" s="1">
        <v>0</v>
      </c>
      <c r="AT144" s="1" t="s">
        <v>1891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2267</v>
      </c>
      <c r="C145" s="1" t="s">
        <v>2268</v>
      </c>
      <c r="D145" s="1">
        <v>5</v>
      </c>
      <c r="E145" s="1">
        <v>2</v>
      </c>
      <c r="F145" s="1">
        <v>19</v>
      </c>
      <c r="G145" s="1" t="s">
        <v>387</v>
      </c>
      <c r="H145" s="1" t="s">
        <v>330</v>
      </c>
      <c r="I145" s="1" t="s">
        <v>330</v>
      </c>
      <c r="J145" s="1" t="s">
        <v>330</v>
      </c>
      <c r="K145" s="1" t="s">
        <v>330</v>
      </c>
      <c r="L145" s="1" t="s">
        <v>330</v>
      </c>
      <c r="M145" s="1" t="s">
        <v>330</v>
      </c>
      <c r="N145" s="1" t="s">
        <v>388</v>
      </c>
      <c r="O145" s="1" t="s">
        <v>330</v>
      </c>
      <c r="P145" s="1" t="s">
        <v>330</v>
      </c>
      <c r="Q145" s="1" t="s">
        <v>330</v>
      </c>
      <c r="R145" s="1" t="s">
        <v>330</v>
      </c>
      <c r="S145" s="1" t="s">
        <v>330</v>
      </c>
      <c r="T145" s="1" t="s">
        <v>330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728</v>
      </c>
      <c r="AH145" s="1">
        <v>3600</v>
      </c>
      <c r="AI145" s="1" t="s">
        <v>2265</v>
      </c>
      <c r="AJ145" s="1">
        <v>0</v>
      </c>
      <c r="AK145" s="1" t="s">
        <v>459</v>
      </c>
      <c r="AL145" s="1" t="s">
        <v>2269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1541</v>
      </c>
      <c r="AS145" s="1">
        <v>0</v>
      </c>
      <c r="AT145" s="1" t="s">
        <v>1891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2270</v>
      </c>
      <c r="C146" s="1" t="s">
        <v>2271</v>
      </c>
      <c r="D146" s="1">
        <v>5</v>
      </c>
      <c r="E146" s="1">
        <v>3</v>
      </c>
      <c r="F146" s="1">
        <v>20</v>
      </c>
      <c r="G146" s="1" t="s">
        <v>330</v>
      </c>
      <c r="H146" s="1" t="s">
        <v>330</v>
      </c>
      <c r="I146" s="1" t="s">
        <v>401</v>
      </c>
      <c r="J146" s="1" t="s">
        <v>330</v>
      </c>
      <c r="K146" s="1" t="s">
        <v>330</v>
      </c>
      <c r="L146" s="1" t="s">
        <v>330</v>
      </c>
      <c r="M146" s="1" t="s">
        <v>330</v>
      </c>
      <c r="N146" s="1" t="s">
        <v>330</v>
      </c>
      <c r="O146" s="1" t="s">
        <v>330</v>
      </c>
      <c r="P146" s="1" t="s">
        <v>330</v>
      </c>
      <c r="Q146" s="1" t="s">
        <v>330</v>
      </c>
      <c r="R146" s="1" t="s">
        <v>330</v>
      </c>
      <c r="S146" s="1" t="s">
        <v>330</v>
      </c>
      <c r="T146" s="1" t="s">
        <v>330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738</v>
      </c>
      <c r="AH146" s="1">
        <v>3600</v>
      </c>
      <c r="AI146" s="1" t="s">
        <v>2265</v>
      </c>
      <c r="AJ146" s="1">
        <v>0</v>
      </c>
      <c r="AK146" s="1" t="s">
        <v>460</v>
      </c>
      <c r="AL146" s="1" t="s">
        <v>2272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1532</v>
      </c>
      <c r="AS146" s="1">
        <v>0</v>
      </c>
      <c r="AT146" s="1" t="s">
        <v>1891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2273</v>
      </c>
      <c r="C147" s="1" t="s">
        <v>2274</v>
      </c>
      <c r="D147" s="1">
        <v>5</v>
      </c>
      <c r="E147" s="1">
        <v>3</v>
      </c>
      <c r="F147" s="1">
        <v>20</v>
      </c>
      <c r="G147" s="1" t="s">
        <v>330</v>
      </c>
      <c r="H147" s="1" t="s">
        <v>330</v>
      </c>
      <c r="I147" s="1" t="s">
        <v>330</v>
      </c>
      <c r="J147" s="1" t="s">
        <v>403</v>
      </c>
      <c r="K147" s="1" t="s">
        <v>333</v>
      </c>
      <c r="L147" s="1" t="s">
        <v>401</v>
      </c>
      <c r="M147" s="1" t="s">
        <v>330</v>
      </c>
      <c r="N147" s="1" t="s">
        <v>330</v>
      </c>
      <c r="O147" s="1" t="s">
        <v>330</v>
      </c>
      <c r="P147" s="1" t="s">
        <v>330</v>
      </c>
      <c r="Q147" s="1" t="s">
        <v>330</v>
      </c>
      <c r="R147" s="1" t="s">
        <v>330</v>
      </c>
      <c r="S147" s="1" t="s">
        <v>330</v>
      </c>
      <c r="T147" s="1" t="s">
        <v>330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743</v>
      </c>
      <c r="AH147" s="1">
        <v>3600</v>
      </c>
      <c r="AI147" s="1" t="s">
        <v>2265</v>
      </c>
      <c r="AJ147" s="1">
        <v>0</v>
      </c>
      <c r="AK147" s="1" t="s">
        <v>461</v>
      </c>
      <c r="AL147" s="1" t="s">
        <v>2275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1583</v>
      </c>
      <c r="AS147" s="1">
        <v>0</v>
      </c>
      <c r="AT147" s="1" t="s">
        <v>1891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2276</v>
      </c>
      <c r="C148" s="1" t="s">
        <v>2277</v>
      </c>
      <c r="D148" s="1">
        <v>5</v>
      </c>
      <c r="E148" s="1">
        <v>3</v>
      </c>
      <c r="F148" s="1">
        <v>20</v>
      </c>
      <c r="G148" s="1" t="s">
        <v>400</v>
      </c>
      <c r="H148" s="1" t="s">
        <v>330</v>
      </c>
      <c r="I148" s="1" t="s">
        <v>368</v>
      </c>
      <c r="J148" s="1" t="s">
        <v>330</v>
      </c>
      <c r="K148" s="1" t="s">
        <v>330</v>
      </c>
      <c r="L148" s="1" t="s">
        <v>330</v>
      </c>
      <c r="M148" s="1" t="s">
        <v>330</v>
      </c>
      <c r="N148" s="1" t="s">
        <v>330</v>
      </c>
      <c r="O148" s="1" t="s">
        <v>330</v>
      </c>
      <c r="P148" s="1" t="s">
        <v>330</v>
      </c>
      <c r="Q148" s="1" t="s">
        <v>330</v>
      </c>
      <c r="R148" s="1" t="s">
        <v>330</v>
      </c>
      <c r="S148" s="1" t="s">
        <v>330</v>
      </c>
      <c r="T148" s="1" t="s">
        <v>356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744</v>
      </c>
      <c r="AH148" s="1">
        <v>3600</v>
      </c>
      <c r="AI148" s="1" t="s">
        <v>2265</v>
      </c>
      <c r="AJ148" s="1">
        <v>0</v>
      </c>
      <c r="AK148" s="1" t="s">
        <v>462</v>
      </c>
      <c r="AL148" s="1" t="s">
        <v>2278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1584</v>
      </c>
      <c r="AS148" s="1">
        <v>0</v>
      </c>
      <c r="AT148" s="1" t="s">
        <v>1891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2279</v>
      </c>
      <c r="C149" s="1" t="s">
        <v>2280</v>
      </c>
      <c r="D149" s="1">
        <v>5</v>
      </c>
      <c r="E149" s="1">
        <v>1</v>
      </c>
      <c r="F149" s="1">
        <v>18</v>
      </c>
      <c r="G149" s="1" t="s">
        <v>330</v>
      </c>
      <c r="H149" s="1" t="s">
        <v>448</v>
      </c>
      <c r="I149" s="1" t="s">
        <v>330</v>
      </c>
      <c r="J149" s="1" t="s">
        <v>330</v>
      </c>
      <c r="K149" s="1" t="s">
        <v>346</v>
      </c>
      <c r="L149" s="1" t="s">
        <v>330</v>
      </c>
      <c r="M149" s="1" t="s">
        <v>424</v>
      </c>
      <c r="N149" s="1" t="s">
        <v>330</v>
      </c>
      <c r="O149" s="1" t="s">
        <v>330</v>
      </c>
      <c r="P149" s="1" t="s">
        <v>330</v>
      </c>
      <c r="Q149" s="1" t="s">
        <v>330</v>
      </c>
      <c r="R149" s="1" t="s">
        <v>330</v>
      </c>
      <c r="S149" s="1" t="s">
        <v>330</v>
      </c>
      <c r="T149" s="1" t="s">
        <v>330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2204</v>
      </c>
      <c r="AJ149" s="1">
        <v>0</v>
      </c>
      <c r="AK149" s="1" t="s">
        <v>463</v>
      </c>
      <c r="AL149" s="1" t="s">
        <v>2281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1585</v>
      </c>
      <c r="AS149" s="1">
        <v>0</v>
      </c>
      <c r="AT149" s="1" t="s">
        <v>1891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2282</v>
      </c>
      <c r="C150" s="1" t="s">
        <v>2283</v>
      </c>
      <c r="D150" s="1">
        <v>5</v>
      </c>
      <c r="E150" s="1">
        <v>2</v>
      </c>
      <c r="F150" s="1">
        <v>19</v>
      </c>
      <c r="G150" s="1" t="s">
        <v>358</v>
      </c>
      <c r="H150" s="1" t="s">
        <v>333</v>
      </c>
      <c r="I150" s="1" t="s">
        <v>330</v>
      </c>
      <c r="J150" s="1" t="s">
        <v>330</v>
      </c>
      <c r="K150" s="1" t="s">
        <v>330</v>
      </c>
      <c r="L150" s="1" t="s">
        <v>452</v>
      </c>
      <c r="M150" s="1" t="s">
        <v>330</v>
      </c>
      <c r="N150" s="1" t="s">
        <v>330</v>
      </c>
      <c r="O150" s="1" t="s">
        <v>330</v>
      </c>
      <c r="P150" s="1" t="s">
        <v>330</v>
      </c>
      <c r="Q150" s="1" t="s">
        <v>330</v>
      </c>
      <c r="R150" s="1" t="s">
        <v>330</v>
      </c>
      <c r="S150" s="1" t="s">
        <v>330</v>
      </c>
      <c r="T150" s="1" t="s">
        <v>330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729</v>
      </c>
      <c r="AH150" s="1">
        <v>3600</v>
      </c>
      <c r="AI150" s="1" t="s">
        <v>2284</v>
      </c>
      <c r="AJ150" s="1">
        <v>0</v>
      </c>
      <c r="AK150" s="1" t="s">
        <v>464</v>
      </c>
      <c r="AL150" s="1" t="s">
        <v>2285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1586</v>
      </c>
      <c r="AS150" s="1">
        <v>0</v>
      </c>
      <c r="AT150" s="1" t="s">
        <v>1891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2286</v>
      </c>
      <c r="C151" s="1" t="s">
        <v>2287</v>
      </c>
      <c r="D151" s="1">
        <v>5</v>
      </c>
      <c r="E151" s="1">
        <v>1</v>
      </c>
      <c r="F151" s="1">
        <v>18</v>
      </c>
      <c r="G151" s="1" t="s">
        <v>337</v>
      </c>
      <c r="H151" s="1" t="s">
        <v>333</v>
      </c>
      <c r="I151" s="1" t="s">
        <v>330</v>
      </c>
      <c r="J151" s="1" t="s">
        <v>330</v>
      </c>
      <c r="K151" s="1" t="s">
        <v>330</v>
      </c>
      <c r="L151" s="1" t="s">
        <v>330</v>
      </c>
      <c r="M151" s="1" t="s">
        <v>399</v>
      </c>
      <c r="N151" s="1" t="s">
        <v>330</v>
      </c>
      <c r="O151" s="1" t="s">
        <v>330</v>
      </c>
      <c r="P151" s="1" t="s">
        <v>330</v>
      </c>
      <c r="Q151" s="1" t="s">
        <v>330</v>
      </c>
      <c r="R151" s="1" t="s">
        <v>330</v>
      </c>
      <c r="S151" s="1" t="s">
        <v>330</v>
      </c>
      <c r="T151" s="1" t="s">
        <v>330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751</v>
      </c>
      <c r="AH151" s="1">
        <v>3600</v>
      </c>
      <c r="AI151" s="1" t="s">
        <v>2288</v>
      </c>
      <c r="AJ151" s="1">
        <v>0</v>
      </c>
      <c r="AK151" s="1" t="s">
        <v>465</v>
      </c>
      <c r="AL151" s="1" t="s">
        <v>2289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1587</v>
      </c>
      <c r="AS151" s="1">
        <v>0</v>
      </c>
      <c r="AT151" s="1" t="s">
        <v>1891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2290</v>
      </c>
      <c r="C152" s="1" t="s">
        <v>2291</v>
      </c>
      <c r="D152" s="1">
        <v>5</v>
      </c>
      <c r="E152" s="1">
        <v>1</v>
      </c>
      <c r="F152" s="1">
        <v>18</v>
      </c>
      <c r="G152" s="1" t="s">
        <v>330</v>
      </c>
      <c r="H152" s="1" t="s">
        <v>339</v>
      </c>
      <c r="I152" s="1" t="s">
        <v>330</v>
      </c>
      <c r="J152" s="1" t="s">
        <v>330</v>
      </c>
      <c r="K152" s="1" t="s">
        <v>400</v>
      </c>
      <c r="L152" s="1" t="s">
        <v>330</v>
      </c>
      <c r="M152" s="1" t="s">
        <v>399</v>
      </c>
      <c r="N152" s="1" t="s">
        <v>330</v>
      </c>
      <c r="O152" s="1" t="s">
        <v>330</v>
      </c>
      <c r="P152" s="1" t="s">
        <v>330</v>
      </c>
      <c r="Q152" s="1" t="s">
        <v>330</v>
      </c>
      <c r="R152" s="1" t="s">
        <v>330</v>
      </c>
      <c r="S152" s="1" t="s">
        <v>330</v>
      </c>
      <c r="T152" s="1" t="s">
        <v>330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2292</v>
      </c>
      <c r="AJ152" s="1">
        <v>0</v>
      </c>
      <c r="AK152" s="1" t="s">
        <v>372</v>
      </c>
      <c r="AL152" s="1" t="s">
        <v>2293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1588</v>
      </c>
      <c r="AS152" s="1">
        <v>0</v>
      </c>
      <c r="AT152" s="1" t="s">
        <v>1891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2294</v>
      </c>
      <c r="C153" s="1" t="s">
        <v>2295</v>
      </c>
      <c r="D153" s="1">
        <v>5</v>
      </c>
      <c r="E153" s="1">
        <v>1</v>
      </c>
      <c r="F153" s="1">
        <v>18</v>
      </c>
      <c r="G153" s="1" t="s">
        <v>356</v>
      </c>
      <c r="H153" s="1" t="s">
        <v>330</v>
      </c>
      <c r="I153" s="1" t="s">
        <v>466</v>
      </c>
      <c r="J153" s="1" t="s">
        <v>330</v>
      </c>
      <c r="K153" s="1" t="s">
        <v>330</v>
      </c>
      <c r="L153" s="1" t="s">
        <v>330</v>
      </c>
      <c r="M153" s="1" t="s">
        <v>401</v>
      </c>
      <c r="N153" s="1" t="s">
        <v>330</v>
      </c>
      <c r="O153" s="1" t="s">
        <v>330</v>
      </c>
      <c r="P153" s="1" t="s">
        <v>330</v>
      </c>
      <c r="Q153" s="1" t="s">
        <v>330</v>
      </c>
      <c r="R153" s="1" t="s">
        <v>330</v>
      </c>
      <c r="S153" s="1" t="s">
        <v>330</v>
      </c>
      <c r="T153" s="1" t="s">
        <v>330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2296</v>
      </c>
      <c r="AJ153" s="1">
        <v>0</v>
      </c>
      <c r="AK153" s="1" t="s">
        <v>467</v>
      </c>
      <c r="AL153" s="1" t="s">
        <v>2297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1589</v>
      </c>
      <c r="AS153" s="1">
        <v>0</v>
      </c>
      <c r="AT153" s="1" t="s">
        <v>1891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2298</v>
      </c>
      <c r="C154" s="1" t="s">
        <v>2299</v>
      </c>
      <c r="D154" s="1">
        <v>5</v>
      </c>
      <c r="E154" s="1">
        <v>1</v>
      </c>
      <c r="F154" s="1">
        <v>18</v>
      </c>
      <c r="G154" s="1" t="s">
        <v>330</v>
      </c>
      <c r="H154" s="1" t="s">
        <v>330</v>
      </c>
      <c r="I154" s="1" t="s">
        <v>468</v>
      </c>
      <c r="J154" s="1" t="s">
        <v>330</v>
      </c>
      <c r="K154" s="1" t="s">
        <v>330</v>
      </c>
      <c r="L154" s="1" t="s">
        <v>330</v>
      </c>
      <c r="M154" s="1" t="s">
        <v>401</v>
      </c>
      <c r="N154" s="1" t="s">
        <v>330</v>
      </c>
      <c r="O154" s="1" t="s">
        <v>330</v>
      </c>
      <c r="P154" s="1" t="s">
        <v>330</v>
      </c>
      <c r="Q154" s="1" t="s">
        <v>330</v>
      </c>
      <c r="R154" s="1" t="s">
        <v>330</v>
      </c>
      <c r="S154" s="1" t="s">
        <v>330</v>
      </c>
      <c r="T154" s="1" t="s">
        <v>330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2300</v>
      </c>
      <c r="AJ154" s="1">
        <v>0</v>
      </c>
      <c r="AK154" s="1" t="s">
        <v>469</v>
      </c>
      <c r="AL154" s="1" t="s">
        <v>2301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1590</v>
      </c>
      <c r="AS154" s="1">
        <v>0</v>
      </c>
      <c r="AT154" s="1" t="s">
        <v>1891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2302</v>
      </c>
      <c r="C155" s="1" t="s">
        <v>2303</v>
      </c>
      <c r="D155" s="1">
        <v>5</v>
      </c>
      <c r="E155" s="1">
        <v>1</v>
      </c>
      <c r="F155" s="1">
        <v>18</v>
      </c>
      <c r="G155" s="1" t="s">
        <v>357</v>
      </c>
      <c r="H155" s="1" t="s">
        <v>340</v>
      </c>
      <c r="I155" s="1" t="s">
        <v>393</v>
      </c>
      <c r="J155" s="1" t="s">
        <v>330</v>
      </c>
      <c r="K155" s="1" t="s">
        <v>330</v>
      </c>
      <c r="L155" s="1" t="s">
        <v>330</v>
      </c>
      <c r="M155" s="1" t="s">
        <v>330</v>
      </c>
      <c r="N155" s="1" t="s">
        <v>330</v>
      </c>
      <c r="O155" s="1" t="s">
        <v>330</v>
      </c>
      <c r="P155" s="1" t="s">
        <v>330</v>
      </c>
      <c r="Q155" s="1" t="s">
        <v>330</v>
      </c>
      <c r="R155" s="1" t="s">
        <v>330</v>
      </c>
      <c r="S155" s="1" t="s">
        <v>330</v>
      </c>
      <c r="T155" s="1" t="s">
        <v>330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265</v>
      </c>
      <c r="AH155" s="1">
        <v>3600</v>
      </c>
      <c r="AI155" s="1" t="s">
        <v>1915</v>
      </c>
      <c r="AJ155" s="1">
        <v>0</v>
      </c>
      <c r="AK155" s="1" t="s">
        <v>470</v>
      </c>
      <c r="AL155" s="1" t="s">
        <v>2304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1591</v>
      </c>
      <c r="AS155" s="1">
        <v>0</v>
      </c>
      <c r="AT155" s="1" t="s">
        <v>1891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2305</v>
      </c>
      <c r="C156" s="1" t="s">
        <v>2306</v>
      </c>
      <c r="D156" s="1">
        <v>5</v>
      </c>
      <c r="E156" s="1">
        <v>1</v>
      </c>
      <c r="F156" s="1">
        <v>18</v>
      </c>
      <c r="G156" s="1" t="s">
        <v>357</v>
      </c>
      <c r="H156" s="1" t="s">
        <v>471</v>
      </c>
      <c r="I156" s="1" t="s">
        <v>393</v>
      </c>
      <c r="J156" s="1" t="s">
        <v>330</v>
      </c>
      <c r="K156" s="1" t="s">
        <v>330</v>
      </c>
      <c r="L156" s="1" t="s">
        <v>330</v>
      </c>
      <c r="M156" s="1" t="s">
        <v>330</v>
      </c>
      <c r="N156" s="1" t="s">
        <v>330</v>
      </c>
      <c r="O156" s="1" t="s">
        <v>330</v>
      </c>
      <c r="P156" s="1" t="s">
        <v>330</v>
      </c>
      <c r="Q156" s="1" t="s">
        <v>330</v>
      </c>
      <c r="R156" s="1" t="s">
        <v>330</v>
      </c>
      <c r="S156" s="1" t="s">
        <v>330</v>
      </c>
      <c r="T156" s="1" t="s">
        <v>330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1461</v>
      </c>
      <c r="AH156" s="1">
        <v>3600</v>
      </c>
      <c r="AI156" s="1" t="s">
        <v>2094</v>
      </c>
      <c r="AJ156" s="1">
        <v>0</v>
      </c>
      <c r="AK156" s="1" t="s">
        <v>385</v>
      </c>
      <c r="AL156" s="1" t="s">
        <v>2307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1592</v>
      </c>
      <c r="AS156" s="1">
        <v>0</v>
      </c>
      <c r="AT156" s="1" t="s">
        <v>1891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2308</v>
      </c>
      <c r="C157" s="1" t="s">
        <v>2309</v>
      </c>
      <c r="D157" s="1">
        <v>5</v>
      </c>
      <c r="E157" s="1">
        <v>1</v>
      </c>
      <c r="F157" s="1">
        <v>18</v>
      </c>
      <c r="G157" s="1" t="s">
        <v>472</v>
      </c>
      <c r="H157" s="1" t="s">
        <v>330</v>
      </c>
      <c r="I157" s="1" t="s">
        <v>330</v>
      </c>
      <c r="J157" s="1" t="s">
        <v>330</v>
      </c>
      <c r="K157" s="1" t="s">
        <v>330</v>
      </c>
      <c r="L157" s="1" t="s">
        <v>330</v>
      </c>
      <c r="M157" s="1" t="s">
        <v>399</v>
      </c>
      <c r="N157" s="1" t="s">
        <v>330</v>
      </c>
      <c r="O157" s="1" t="s">
        <v>330</v>
      </c>
      <c r="P157" s="1" t="s">
        <v>330</v>
      </c>
      <c r="Q157" s="1" t="s">
        <v>330</v>
      </c>
      <c r="R157" s="1" t="s">
        <v>330</v>
      </c>
      <c r="S157" s="1" t="s">
        <v>330</v>
      </c>
      <c r="T157" s="1" t="s">
        <v>330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847</v>
      </c>
      <c r="AH157" s="1">
        <v>3600</v>
      </c>
      <c r="AI157" s="1" t="s">
        <v>2310</v>
      </c>
      <c r="AJ157" s="1">
        <v>0</v>
      </c>
      <c r="AK157" s="1" t="s">
        <v>473</v>
      </c>
      <c r="AL157" s="1" t="s">
        <v>2311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1593</v>
      </c>
      <c r="AS157" s="1">
        <v>0</v>
      </c>
      <c r="AT157" s="1" t="s">
        <v>1891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2312</v>
      </c>
      <c r="C158" s="1" t="s">
        <v>2313</v>
      </c>
      <c r="D158" s="1">
        <v>5</v>
      </c>
      <c r="E158" s="1">
        <v>3</v>
      </c>
      <c r="F158" s="1">
        <v>20</v>
      </c>
      <c r="G158" s="1" t="s">
        <v>393</v>
      </c>
      <c r="H158" s="1" t="s">
        <v>330</v>
      </c>
      <c r="I158" s="1" t="s">
        <v>361</v>
      </c>
      <c r="J158" s="1" t="s">
        <v>330</v>
      </c>
      <c r="K158" s="1" t="s">
        <v>330</v>
      </c>
      <c r="L158" s="1" t="s">
        <v>360</v>
      </c>
      <c r="M158" s="1" t="s">
        <v>330</v>
      </c>
      <c r="N158" s="1" t="s">
        <v>330</v>
      </c>
      <c r="O158" s="1" t="s">
        <v>330</v>
      </c>
      <c r="P158" s="1" t="s">
        <v>330</v>
      </c>
      <c r="Q158" s="1" t="s">
        <v>330</v>
      </c>
      <c r="R158" s="1" t="s">
        <v>330</v>
      </c>
      <c r="S158" s="1" t="s">
        <v>330</v>
      </c>
      <c r="T158" s="1" t="s">
        <v>330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260</v>
      </c>
      <c r="AH158" s="1">
        <v>3600</v>
      </c>
      <c r="AI158" s="1" t="s">
        <v>2314</v>
      </c>
      <c r="AJ158" s="1">
        <v>0</v>
      </c>
      <c r="AK158" s="1" t="s">
        <v>422</v>
      </c>
      <c r="AL158" s="1" t="s">
        <v>2315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1594</v>
      </c>
      <c r="AS158" s="1">
        <v>0</v>
      </c>
      <c r="AT158" s="1" t="s">
        <v>1891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2316</v>
      </c>
      <c r="C159" s="1" t="s">
        <v>2317</v>
      </c>
      <c r="D159" s="1">
        <v>5</v>
      </c>
      <c r="E159" s="1">
        <v>1</v>
      </c>
      <c r="F159" s="1">
        <v>18</v>
      </c>
      <c r="G159" s="1" t="s">
        <v>330</v>
      </c>
      <c r="H159" s="1" t="s">
        <v>330</v>
      </c>
      <c r="I159" s="1" t="s">
        <v>330</v>
      </c>
      <c r="J159" s="1" t="s">
        <v>330</v>
      </c>
      <c r="K159" s="1" t="s">
        <v>334</v>
      </c>
      <c r="L159" s="1" t="s">
        <v>330</v>
      </c>
      <c r="M159" s="1" t="s">
        <v>421</v>
      </c>
      <c r="N159" s="1" t="s">
        <v>330</v>
      </c>
      <c r="O159" s="1" t="s">
        <v>330</v>
      </c>
      <c r="P159" s="1" t="s">
        <v>330</v>
      </c>
      <c r="Q159" s="1" t="s">
        <v>330</v>
      </c>
      <c r="R159" s="1" t="s">
        <v>330</v>
      </c>
      <c r="S159" s="1" t="s">
        <v>330</v>
      </c>
      <c r="T159" s="1" t="s">
        <v>330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2318</v>
      </c>
      <c r="AJ159" s="1">
        <v>0</v>
      </c>
      <c r="AK159" s="1" t="s">
        <v>474</v>
      </c>
      <c r="AL159" s="1" t="s">
        <v>2319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1595</v>
      </c>
      <c r="AS159" s="1">
        <v>0</v>
      </c>
      <c r="AT159" s="1" t="s">
        <v>1891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2320</v>
      </c>
      <c r="C160" s="1" t="s">
        <v>2321</v>
      </c>
      <c r="D160" s="1">
        <v>5</v>
      </c>
      <c r="E160" s="1">
        <v>1</v>
      </c>
      <c r="F160" s="1">
        <v>18</v>
      </c>
      <c r="G160" s="1" t="s">
        <v>336</v>
      </c>
      <c r="H160" s="1" t="s">
        <v>330</v>
      </c>
      <c r="I160" s="1" t="s">
        <v>330</v>
      </c>
      <c r="J160" s="1" t="s">
        <v>330</v>
      </c>
      <c r="K160" s="1" t="s">
        <v>330</v>
      </c>
      <c r="L160" s="1" t="s">
        <v>330</v>
      </c>
      <c r="M160" s="1" t="s">
        <v>329</v>
      </c>
      <c r="N160" s="1" t="s">
        <v>330</v>
      </c>
      <c r="O160" s="1" t="s">
        <v>330</v>
      </c>
      <c r="P160" s="1" t="s">
        <v>330</v>
      </c>
      <c r="Q160" s="1" t="s">
        <v>330</v>
      </c>
      <c r="R160" s="1" t="s">
        <v>330</v>
      </c>
      <c r="S160" s="1" t="s">
        <v>330</v>
      </c>
      <c r="T160" s="1" t="s">
        <v>330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717</v>
      </c>
      <c r="AH160" s="1">
        <v>3600</v>
      </c>
      <c r="AI160" s="1" t="s">
        <v>2322</v>
      </c>
      <c r="AJ160" s="1">
        <v>0</v>
      </c>
      <c r="AK160" s="1" t="s">
        <v>475</v>
      </c>
      <c r="AL160" s="1" t="s">
        <v>2323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1596</v>
      </c>
      <c r="AS160" s="1">
        <v>0</v>
      </c>
      <c r="AT160" s="1" t="s">
        <v>1891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2324</v>
      </c>
      <c r="C161" s="1" t="s">
        <v>2325</v>
      </c>
      <c r="D161" s="1">
        <v>5</v>
      </c>
      <c r="E161" s="1">
        <v>3</v>
      </c>
      <c r="F161" s="1">
        <v>20</v>
      </c>
      <c r="G161" s="1" t="s">
        <v>336</v>
      </c>
      <c r="H161" s="1" t="s">
        <v>330</v>
      </c>
      <c r="I161" s="1" t="s">
        <v>368</v>
      </c>
      <c r="J161" s="1" t="s">
        <v>330</v>
      </c>
      <c r="K161" s="1" t="s">
        <v>330</v>
      </c>
      <c r="L161" s="1" t="s">
        <v>330</v>
      </c>
      <c r="M161" s="1" t="s">
        <v>330</v>
      </c>
      <c r="N161" s="1" t="s">
        <v>330</v>
      </c>
      <c r="O161" s="1" t="s">
        <v>330</v>
      </c>
      <c r="P161" s="1" t="s">
        <v>330</v>
      </c>
      <c r="Q161" s="1" t="s">
        <v>330</v>
      </c>
      <c r="R161" s="1" t="s">
        <v>330</v>
      </c>
      <c r="S161" s="1" t="s">
        <v>330</v>
      </c>
      <c r="T161" s="1" t="s">
        <v>336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2326</v>
      </c>
      <c r="AJ161" s="1">
        <v>0</v>
      </c>
      <c r="AK161" s="1" t="s">
        <v>476</v>
      </c>
      <c r="AL161" s="1" t="s">
        <v>2327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1597</v>
      </c>
      <c r="AS161" s="1">
        <v>0</v>
      </c>
      <c r="AT161" s="1" t="s">
        <v>1891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2328</v>
      </c>
      <c r="C162" s="1" t="s">
        <v>2329</v>
      </c>
      <c r="D162" s="1">
        <v>5</v>
      </c>
      <c r="E162" s="1">
        <v>1</v>
      </c>
      <c r="F162" s="1">
        <v>18</v>
      </c>
      <c r="G162" s="1" t="s">
        <v>330</v>
      </c>
      <c r="H162" s="1" t="s">
        <v>330</v>
      </c>
      <c r="I162" s="1" t="s">
        <v>361</v>
      </c>
      <c r="J162" s="1" t="s">
        <v>330</v>
      </c>
      <c r="K162" s="1" t="s">
        <v>341</v>
      </c>
      <c r="L162" s="1" t="s">
        <v>330</v>
      </c>
      <c r="M162" s="1" t="s">
        <v>401</v>
      </c>
      <c r="N162" s="1" t="s">
        <v>330</v>
      </c>
      <c r="O162" s="1" t="s">
        <v>330</v>
      </c>
      <c r="P162" s="1" t="s">
        <v>330</v>
      </c>
      <c r="Q162" s="1" t="s">
        <v>330</v>
      </c>
      <c r="R162" s="1" t="s">
        <v>330</v>
      </c>
      <c r="S162" s="1" t="s">
        <v>330</v>
      </c>
      <c r="T162" s="1" t="s">
        <v>330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2330</v>
      </c>
      <c r="AJ162" s="1">
        <v>0</v>
      </c>
      <c r="AK162" s="1" t="s">
        <v>477</v>
      </c>
      <c r="AL162" s="1" t="s">
        <v>2331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1598</v>
      </c>
      <c r="AS162" s="1">
        <v>0</v>
      </c>
      <c r="AT162" s="1" t="s">
        <v>1891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2332</v>
      </c>
      <c r="C163" s="1" t="s">
        <v>2333</v>
      </c>
      <c r="D163" s="1">
        <v>5</v>
      </c>
      <c r="E163" s="1">
        <v>1</v>
      </c>
      <c r="F163" s="1">
        <v>18</v>
      </c>
      <c r="G163" s="1" t="s">
        <v>330</v>
      </c>
      <c r="H163" s="1" t="s">
        <v>366</v>
      </c>
      <c r="I163" s="1" t="s">
        <v>361</v>
      </c>
      <c r="J163" s="1" t="s">
        <v>330</v>
      </c>
      <c r="K163" s="1" t="s">
        <v>330</v>
      </c>
      <c r="L163" s="1" t="s">
        <v>330</v>
      </c>
      <c r="M163" s="1" t="s">
        <v>387</v>
      </c>
      <c r="N163" s="1" t="s">
        <v>330</v>
      </c>
      <c r="O163" s="1" t="s">
        <v>330</v>
      </c>
      <c r="P163" s="1" t="s">
        <v>330</v>
      </c>
      <c r="Q163" s="1" t="s">
        <v>330</v>
      </c>
      <c r="R163" s="1" t="s">
        <v>330</v>
      </c>
      <c r="S163" s="1" t="s">
        <v>330</v>
      </c>
      <c r="T163" s="1" t="s">
        <v>330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2334</v>
      </c>
      <c r="AJ163" s="1">
        <v>0</v>
      </c>
      <c r="AK163" s="1" t="s">
        <v>478</v>
      </c>
      <c r="AL163" s="1" t="s">
        <v>2335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1599</v>
      </c>
      <c r="AS163" s="1">
        <v>0</v>
      </c>
      <c r="AT163" s="1" t="s">
        <v>1891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2336</v>
      </c>
      <c r="C164" s="1" t="s">
        <v>2337</v>
      </c>
      <c r="D164" s="1">
        <v>5</v>
      </c>
      <c r="E164" s="1">
        <v>3</v>
      </c>
      <c r="F164" s="1">
        <v>20</v>
      </c>
      <c r="G164" s="1" t="s">
        <v>408</v>
      </c>
      <c r="H164" s="1" t="s">
        <v>330</v>
      </c>
      <c r="I164" s="1" t="s">
        <v>361</v>
      </c>
      <c r="J164" s="1" t="s">
        <v>330</v>
      </c>
      <c r="K164" s="1" t="s">
        <v>408</v>
      </c>
      <c r="L164" s="1" t="s">
        <v>330</v>
      </c>
      <c r="M164" s="1" t="s">
        <v>330</v>
      </c>
      <c r="N164" s="1" t="s">
        <v>330</v>
      </c>
      <c r="O164" s="1" t="s">
        <v>330</v>
      </c>
      <c r="P164" s="1" t="s">
        <v>330</v>
      </c>
      <c r="Q164" s="1" t="s">
        <v>330</v>
      </c>
      <c r="R164" s="1" t="s">
        <v>330</v>
      </c>
      <c r="S164" s="1" t="s">
        <v>330</v>
      </c>
      <c r="T164" s="1" t="s">
        <v>330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745</v>
      </c>
      <c r="AH164" s="1">
        <v>3600</v>
      </c>
      <c r="AI164" s="1" t="s">
        <v>2338</v>
      </c>
      <c r="AJ164" s="1">
        <v>0</v>
      </c>
      <c r="AK164" s="1" t="s">
        <v>479</v>
      </c>
      <c r="AL164" s="1" t="s">
        <v>2339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1600</v>
      </c>
      <c r="AS164" s="1">
        <v>0</v>
      </c>
      <c r="AT164" s="1" t="s">
        <v>1891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2340</v>
      </c>
      <c r="C165" s="1" t="s">
        <v>2341</v>
      </c>
      <c r="D165" s="1">
        <v>5</v>
      </c>
      <c r="E165" s="1">
        <v>1</v>
      </c>
      <c r="F165" s="1">
        <v>18</v>
      </c>
      <c r="G165" s="1" t="s">
        <v>339</v>
      </c>
      <c r="H165" s="1" t="s">
        <v>340</v>
      </c>
      <c r="I165" s="1" t="s">
        <v>330</v>
      </c>
      <c r="J165" s="1" t="s">
        <v>330</v>
      </c>
      <c r="K165" s="1" t="s">
        <v>341</v>
      </c>
      <c r="L165" s="1" t="s">
        <v>330</v>
      </c>
      <c r="M165" s="1" t="s">
        <v>330</v>
      </c>
      <c r="N165" s="1" t="s">
        <v>330</v>
      </c>
      <c r="O165" s="1" t="s">
        <v>330</v>
      </c>
      <c r="P165" s="1" t="s">
        <v>330</v>
      </c>
      <c r="Q165" s="1" t="s">
        <v>330</v>
      </c>
      <c r="R165" s="1" t="s">
        <v>330</v>
      </c>
      <c r="S165" s="1" t="s">
        <v>330</v>
      </c>
      <c r="T165" s="1" t="s">
        <v>330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720</v>
      </c>
      <c r="AH165" s="1">
        <v>2880</v>
      </c>
      <c r="AI165" s="1" t="s">
        <v>2342</v>
      </c>
      <c r="AJ165" s="1">
        <v>0</v>
      </c>
      <c r="AK165" s="1" t="s">
        <v>480</v>
      </c>
      <c r="AL165" s="1" t="s">
        <v>2343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1601</v>
      </c>
      <c r="AS165" s="1">
        <v>0</v>
      </c>
      <c r="AT165" s="1" t="s">
        <v>1891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2344</v>
      </c>
      <c r="C166" s="1" t="s">
        <v>2345</v>
      </c>
      <c r="D166" s="1">
        <v>5</v>
      </c>
      <c r="E166" s="1">
        <v>1</v>
      </c>
      <c r="F166" s="1">
        <v>18</v>
      </c>
      <c r="G166" s="1" t="s">
        <v>330</v>
      </c>
      <c r="H166" s="1" t="s">
        <v>330</v>
      </c>
      <c r="I166" s="1" t="s">
        <v>404</v>
      </c>
      <c r="J166" s="1" t="s">
        <v>330</v>
      </c>
      <c r="K166" s="1" t="s">
        <v>330</v>
      </c>
      <c r="L166" s="1" t="s">
        <v>330</v>
      </c>
      <c r="M166" s="1" t="s">
        <v>387</v>
      </c>
      <c r="N166" s="1" t="s">
        <v>330</v>
      </c>
      <c r="O166" s="1" t="s">
        <v>330</v>
      </c>
      <c r="P166" s="1" t="s">
        <v>330</v>
      </c>
      <c r="Q166" s="1" t="s">
        <v>330</v>
      </c>
      <c r="R166" s="1" t="s">
        <v>330</v>
      </c>
      <c r="S166" s="1" t="s">
        <v>330</v>
      </c>
      <c r="T166" s="1" t="s">
        <v>330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752</v>
      </c>
      <c r="AH166" s="1">
        <v>2820</v>
      </c>
      <c r="AI166" s="1" t="s">
        <v>2192</v>
      </c>
      <c r="AJ166" s="1">
        <v>0</v>
      </c>
      <c r="AK166" s="1" t="s">
        <v>481</v>
      </c>
      <c r="AL166" s="1" t="s">
        <v>2346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1602</v>
      </c>
      <c r="AS166" s="1">
        <v>0</v>
      </c>
      <c r="AT166" s="1" t="s">
        <v>1891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2347</v>
      </c>
      <c r="C167" s="1" t="s">
        <v>2348</v>
      </c>
      <c r="D167" s="1">
        <v>5</v>
      </c>
      <c r="E167" s="1">
        <v>1</v>
      </c>
      <c r="F167" s="1">
        <v>18</v>
      </c>
      <c r="G167" s="1" t="s">
        <v>330</v>
      </c>
      <c r="H167" s="1" t="s">
        <v>330</v>
      </c>
      <c r="I167" s="1" t="s">
        <v>387</v>
      </c>
      <c r="J167" s="1" t="s">
        <v>330</v>
      </c>
      <c r="K167" s="1" t="s">
        <v>330</v>
      </c>
      <c r="L167" s="1" t="s">
        <v>330</v>
      </c>
      <c r="M167" s="1" t="s">
        <v>387</v>
      </c>
      <c r="N167" s="1" t="s">
        <v>330</v>
      </c>
      <c r="O167" s="1" t="s">
        <v>330</v>
      </c>
      <c r="P167" s="1" t="s">
        <v>330</v>
      </c>
      <c r="Q167" s="1" t="s">
        <v>330</v>
      </c>
      <c r="R167" s="1" t="s">
        <v>330</v>
      </c>
      <c r="S167" s="1" t="s">
        <v>330</v>
      </c>
      <c r="T167" s="1" t="s">
        <v>330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758</v>
      </c>
      <c r="AH167" s="1">
        <v>2820</v>
      </c>
      <c r="AI167" s="1" t="s">
        <v>2349</v>
      </c>
      <c r="AJ167" s="1">
        <v>0</v>
      </c>
      <c r="AK167" s="1" t="s">
        <v>482</v>
      </c>
      <c r="AL167" s="1" t="s">
        <v>2350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1599</v>
      </c>
      <c r="AS167" s="1">
        <v>0</v>
      </c>
      <c r="AT167" s="1" t="s">
        <v>1891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2351</v>
      </c>
      <c r="C168" s="1" t="s">
        <v>2352</v>
      </c>
      <c r="D168" s="1">
        <v>5</v>
      </c>
      <c r="E168" s="1">
        <v>1</v>
      </c>
      <c r="F168" s="1">
        <v>18</v>
      </c>
      <c r="G168" s="1" t="s">
        <v>330</v>
      </c>
      <c r="H168" s="1" t="s">
        <v>330</v>
      </c>
      <c r="I168" s="1" t="s">
        <v>330</v>
      </c>
      <c r="J168" s="1" t="s">
        <v>330</v>
      </c>
      <c r="K168" s="1" t="s">
        <v>330</v>
      </c>
      <c r="L168" s="1" t="s">
        <v>340</v>
      </c>
      <c r="M168" s="1" t="s">
        <v>329</v>
      </c>
      <c r="N168" s="1" t="s">
        <v>330</v>
      </c>
      <c r="O168" s="1" t="s">
        <v>330</v>
      </c>
      <c r="P168" s="1" t="s">
        <v>330</v>
      </c>
      <c r="Q168" s="1" t="s">
        <v>330</v>
      </c>
      <c r="R168" s="1" t="s">
        <v>330</v>
      </c>
      <c r="S168" s="1" t="s">
        <v>330</v>
      </c>
      <c r="T168" s="1" t="s">
        <v>330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2353</v>
      </c>
      <c r="AJ168" s="1">
        <v>0</v>
      </c>
      <c r="AK168" s="1" t="s">
        <v>483</v>
      </c>
      <c r="AL168" s="1" t="s">
        <v>2354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1603</v>
      </c>
      <c r="AS168" s="1">
        <v>0</v>
      </c>
      <c r="AT168" s="1" t="s">
        <v>1891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2355</v>
      </c>
      <c r="C169" s="1" t="s">
        <v>2356</v>
      </c>
      <c r="D169" s="1">
        <v>5</v>
      </c>
      <c r="E169" s="1">
        <v>2</v>
      </c>
      <c r="F169" s="1">
        <v>19</v>
      </c>
      <c r="G169" s="1" t="s">
        <v>337</v>
      </c>
      <c r="H169" s="1" t="s">
        <v>330</v>
      </c>
      <c r="I169" s="1" t="s">
        <v>330</v>
      </c>
      <c r="J169" s="1" t="s">
        <v>330</v>
      </c>
      <c r="K169" s="1" t="s">
        <v>330</v>
      </c>
      <c r="L169" s="1" t="s">
        <v>330</v>
      </c>
      <c r="M169" s="1" t="s">
        <v>330</v>
      </c>
      <c r="N169" s="1" t="s">
        <v>354</v>
      </c>
      <c r="O169" s="1" t="s">
        <v>330</v>
      </c>
      <c r="P169" s="1" t="s">
        <v>330</v>
      </c>
      <c r="Q169" s="1" t="s">
        <v>330</v>
      </c>
      <c r="R169" s="1" t="s">
        <v>330</v>
      </c>
      <c r="S169" s="1" t="s">
        <v>330</v>
      </c>
      <c r="T169" s="1" t="s">
        <v>330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1734</v>
      </c>
      <c r="AH169" s="1">
        <v>3300</v>
      </c>
      <c r="AI169" s="1" t="s">
        <v>2357</v>
      </c>
      <c r="AJ169" s="1">
        <v>0</v>
      </c>
      <c r="AK169" s="1" t="s">
        <v>484</v>
      </c>
      <c r="AL169" s="1" t="s">
        <v>2358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1604</v>
      </c>
      <c r="AS169" s="1">
        <v>0</v>
      </c>
      <c r="AT169" s="1" t="s">
        <v>1891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2359</v>
      </c>
      <c r="C170" s="1" t="s">
        <v>2360</v>
      </c>
      <c r="D170" s="1">
        <v>5</v>
      </c>
      <c r="E170" s="1">
        <v>3</v>
      </c>
      <c r="F170" s="1">
        <v>20</v>
      </c>
      <c r="G170" s="1" t="s">
        <v>330</v>
      </c>
      <c r="H170" s="1" t="s">
        <v>330</v>
      </c>
      <c r="I170" s="1" t="s">
        <v>358</v>
      </c>
      <c r="J170" s="1" t="s">
        <v>330</v>
      </c>
      <c r="K170" s="1" t="s">
        <v>330</v>
      </c>
      <c r="L170" s="1" t="s">
        <v>330</v>
      </c>
      <c r="M170" s="1" t="s">
        <v>387</v>
      </c>
      <c r="N170" s="1" t="s">
        <v>330</v>
      </c>
      <c r="O170" s="1" t="s">
        <v>330</v>
      </c>
      <c r="P170" s="1" t="s">
        <v>330</v>
      </c>
      <c r="Q170" s="1" t="s">
        <v>330</v>
      </c>
      <c r="R170" s="1" t="s">
        <v>330</v>
      </c>
      <c r="S170" s="1" t="s">
        <v>330</v>
      </c>
      <c r="T170" s="1" t="s">
        <v>330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746</v>
      </c>
      <c r="AH170" s="1">
        <v>3120</v>
      </c>
      <c r="AI170" s="1" t="s">
        <v>2361</v>
      </c>
      <c r="AJ170" s="1">
        <v>0</v>
      </c>
      <c r="AK170" s="1" t="s">
        <v>485</v>
      </c>
      <c r="AL170" s="1" t="s">
        <v>2362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1599</v>
      </c>
      <c r="AS170" s="1">
        <v>0</v>
      </c>
      <c r="AT170" s="1" t="s">
        <v>1891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2363</v>
      </c>
      <c r="C171" s="1" t="s">
        <v>2364</v>
      </c>
      <c r="D171" s="1">
        <v>5</v>
      </c>
      <c r="E171" s="1">
        <v>1</v>
      </c>
      <c r="F171" s="1">
        <v>18</v>
      </c>
      <c r="G171" s="1" t="s">
        <v>337</v>
      </c>
      <c r="H171" s="1" t="s">
        <v>330</v>
      </c>
      <c r="I171" s="1" t="s">
        <v>330</v>
      </c>
      <c r="J171" s="1" t="s">
        <v>330</v>
      </c>
      <c r="K171" s="1" t="s">
        <v>330</v>
      </c>
      <c r="L171" s="1" t="s">
        <v>330</v>
      </c>
      <c r="M171" s="1" t="s">
        <v>329</v>
      </c>
      <c r="N171" s="1" t="s">
        <v>330</v>
      </c>
      <c r="O171" s="1" t="s">
        <v>330</v>
      </c>
      <c r="P171" s="1" t="s">
        <v>330</v>
      </c>
      <c r="Q171" s="1" t="s">
        <v>330</v>
      </c>
      <c r="R171" s="1" t="s">
        <v>330</v>
      </c>
      <c r="S171" s="1" t="s">
        <v>330</v>
      </c>
      <c r="T171" s="1" t="s">
        <v>330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2365</v>
      </c>
      <c r="AJ171" s="1">
        <v>0</v>
      </c>
      <c r="AK171" s="1" t="s">
        <v>486</v>
      </c>
      <c r="AL171" s="1" t="s">
        <v>2366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1605</v>
      </c>
      <c r="AS171" s="1">
        <v>0</v>
      </c>
      <c r="AT171" s="1" t="s">
        <v>1891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2367</v>
      </c>
      <c r="C172" s="1" t="s">
        <v>2368</v>
      </c>
      <c r="D172" s="1">
        <v>5</v>
      </c>
      <c r="E172" s="1">
        <v>2</v>
      </c>
      <c r="F172" s="1">
        <v>19</v>
      </c>
      <c r="G172" s="1" t="s">
        <v>358</v>
      </c>
      <c r="H172" s="1" t="s">
        <v>330</v>
      </c>
      <c r="I172" s="1" t="s">
        <v>330</v>
      </c>
      <c r="J172" s="1" t="s">
        <v>330</v>
      </c>
      <c r="K172" s="1" t="s">
        <v>330</v>
      </c>
      <c r="L172" s="1" t="s">
        <v>340</v>
      </c>
      <c r="M172" s="1" t="s">
        <v>330</v>
      </c>
      <c r="N172" s="1" t="s">
        <v>330</v>
      </c>
      <c r="O172" s="1" t="s">
        <v>330</v>
      </c>
      <c r="P172" s="1" t="s">
        <v>330</v>
      </c>
      <c r="Q172" s="1" t="s">
        <v>330</v>
      </c>
      <c r="R172" s="1" t="s">
        <v>330</v>
      </c>
      <c r="S172" s="1" t="s">
        <v>330</v>
      </c>
      <c r="T172" s="1" t="s">
        <v>330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733</v>
      </c>
      <c r="AH172" s="1">
        <v>3480</v>
      </c>
      <c r="AI172" s="1" t="s">
        <v>2369</v>
      </c>
      <c r="AJ172" s="1">
        <v>0</v>
      </c>
      <c r="AK172" s="1" t="s">
        <v>487</v>
      </c>
      <c r="AL172" s="1" t="s">
        <v>2370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1606</v>
      </c>
      <c r="AS172" s="1">
        <v>0</v>
      </c>
      <c r="AT172" s="1" t="s">
        <v>1891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2371</v>
      </c>
      <c r="C173" s="1" t="s">
        <v>2372</v>
      </c>
      <c r="D173" s="1">
        <v>5</v>
      </c>
      <c r="E173" s="1">
        <v>2</v>
      </c>
      <c r="F173" s="1">
        <v>19</v>
      </c>
      <c r="G173" s="1" t="s">
        <v>392</v>
      </c>
      <c r="H173" s="1" t="s">
        <v>427</v>
      </c>
      <c r="I173" s="1" t="s">
        <v>330</v>
      </c>
      <c r="J173" s="1" t="s">
        <v>330</v>
      </c>
      <c r="K173" s="1" t="s">
        <v>330</v>
      </c>
      <c r="L173" s="1" t="s">
        <v>330</v>
      </c>
      <c r="M173" s="1" t="s">
        <v>330</v>
      </c>
      <c r="N173" s="1" t="s">
        <v>330</v>
      </c>
      <c r="O173" s="1" t="s">
        <v>330</v>
      </c>
      <c r="P173" s="1" t="s">
        <v>330</v>
      </c>
      <c r="Q173" s="1" t="s">
        <v>330</v>
      </c>
      <c r="R173" s="1" t="s">
        <v>330</v>
      </c>
      <c r="S173" s="1" t="s">
        <v>330</v>
      </c>
      <c r="T173" s="1" t="s">
        <v>330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730</v>
      </c>
      <c r="AH173" s="1">
        <v>3240</v>
      </c>
      <c r="AI173" s="1" t="s">
        <v>2373</v>
      </c>
      <c r="AJ173" s="1">
        <v>0</v>
      </c>
      <c r="AK173" s="1" t="s">
        <v>488</v>
      </c>
      <c r="AL173" s="1" t="s">
        <v>2374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1607</v>
      </c>
      <c r="AS173" s="1">
        <v>0</v>
      </c>
      <c r="AT173" s="1" t="s">
        <v>2375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2376</v>
      </c>
      <c r="C174" s="1" t="s">
        <v>2377</v>
      </c>
      <c r="D174" s="1">
        <v>5</v>
      </c>
      <c r="E174" s="1">
        <v>1</v>
      </c>
      <c r="F174" s="1">
        <v>18</v>
      </c>
      <c r="G174" s="1" t="s">
        <v>336</v>
      </c>
      <c r="H174" s="1" t="s">
        <v>330</v>
      </c>
      <c r="I174" s="1" t="s">
        <v>360</v>
      </c>
      <c r="J174" s="1" t="s">
        <v>330</v>
      </c>
      <c r="K174" s="1" t="s">
        <v>330</v>
      </c>
      <c r="L174" s="1" t="s">
        <v>330</v>
      </c>
      <c r="M174" s="1" t="s">
        <v>329</v>
      </c>
      <c r="N174" s="1" t="s">
        <v>330</v>
      </c>
      <c r="O174" s="1" t="s">
        <v>330</v>
      </c>
      <c r="P174" s="1" t="s">
        <v>330</v>
      </c>
      <c r="Q174" s="1" t="s">
        <v>330</v>
      </c>
      <c r="R174" s="1" t="s">
        <v>330</v>
      </c>
      <c r="S174" s="1" t="s">
        <v>330</v>
      </c>
      <c r="T174" s="1" t="s">
        <v>330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489</v>
      </c>
      <c r="AL174" s="1" t="s">
        <v>2378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1608</v>
      </c>
      <c r="AS174" s="1">
        <v>0</v>
      </c>
      <c r="AT174" s="1" t="s">
        <v>1891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2379</v>
      </c>
      <c r="C175" s="1" t="s">
        <v>2380</v>
      </c>
      <c r="D175" s="1">
        <v>5</v>
      </c>
      <c r="E175" s="1">
        <v>2</v>
      </c>
      <c r="F175" s="1">
        <v>19</v>
      </c>
      <c r="G175" s="1" t="s">
        <v>343</v>
      </c>
      <c r="H175" s="1" t="s">
        <v>330</v>
      </c>
      <c r="I175" s="1" t="s">
        <v>330</v>
      </c>
      <c r="J175" s="1" t="s">
        <v>330</v>
      </c>
      <c r="K175" s="1" t="s">
        <v>333</v>
      </c>
      <c r="L175" s="1" t="s">
        <v>330</v>
      </c>
      <c r="M175" s="1" t="s">
        <v>330</v>
      </c>
      <c r="N175" s="1" t="s">
        <v>490</v>
      </c>
      <c r="O175" s="1" t="s">
        <v>330</v>
      </c>
      <c r="P175" s="1" t="s">
        <v>330</v>
      </c>
      <c r="Q175" s="1" t="s">
        <v>330</v>
      </c>
      <c r="R175" s="1" t="s">
        <v>330</v>
      </c>
      <c r="S175" s="1" t="s">
        <v>330</v>
      </c>
      <c r="T175" s="1" t="s">
        <v>330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1738</v>
      </c>
      <c r="AH175" s="1">
        <v>3180</v>
      </c>
      <c r="AI175" s="1" t="s">
        <v>1928</v>
      </c>
      <c r="AJ175" s="1">
        <v>0</v>
      </c>
      <c r="AK175" s="1" t="s">
        <v>491</v>
      </c>
      <c r="AL175" s="1" t="s">
        <v>2381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1609</v>
      </c>
      <c r="AS175" s="1">
        <v>0</v>
      </c>
      <c r="AT175" s="1" t="s">
        <v>1891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2382</v>
      </c>
      <c r="C176" s="1" t="s">
        <v>2383</v>
      </c>
      <c r="D176" s="1">
        <v>5</v>
      </c>
      <c r="E176" s="1">
        <v>1</v>
      </c>
      <c r="F176" s="1">
        <v>18</v>
      </c>
      <c r="G176" s="1" t="s">
        <v>330</v>
      </c>
      <c r="H176" s="1" t="s">
        <v>345</v>
      </c>
      <c r="I176" s="1" t="s">
        <v>330</v>
      </c>
      <c r="J176" s="1" t="s">
        <v>330</v>
      </c>
      <c r="K176" s="1" t="s">
        <v>346</v>
      </c>
      <c r="L176" s="1" t="s">
        <v>387</v>
      </c>
      <c r="M176" s="1" t="s">
        <v>330</v>
      </c>
      <c r="N176" s="1" t="s">
        <v>330</v>
      </c>
      <c r="O176" s="1" t="s">
        <v>330</v>
      </c>
      <c r="P176" s="1" t="s">
        <v>330</v>
      </c>
      <c r="Q176" s="1" t="s">
        <v>330</v>
      </c>
      <c r="R176" s="1" t="s">
        <v>330</v>
      </c>
      <c r="S176" s="1" t="s">
        <v>330</v>
      </c>
      <c r="T176" s="1" t="s">
        <v>330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722</v>
      </c>
      <c r="AH176" s="1">
        <v>3000</v>
      </c>
      <c r="AI176" s="1" t="s">
        <v>2384</v>
      </c>
      <c r="AJ176" s="1">
        <v>0</v>
      </c>
      <c r="AK176" s="1" t="s">
        <v>492</v>
      </c>
      <c r="AL176" s="1" t="s">
        <v>2385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1610</v>
      </c>
      <c r="AS176" s="1">
        <v>0</v>
      </c>
      <c r="AT176" s="1" t="s">
        <v>1891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2386</v>
      </c>
      <c r="C177" s="1" t="s">
        <v>2387</v>
      </c>
      <c r="D177" s="1">
        <v>5</v>
      </c>
      <c r="E177" s="1">
        <v>2</v>
      </c>
      <c r="F177" s="1">
        <v>19</v>
      </c>
      <c r="G177" s="1" t="s">
        <v>337</v>
      </c>
      <c r="H177" s="1" t="s">
        <v>330</v>
      </c>
      <c r="I177" s="1" t="s">
        <v>330</v>
      </c>
      <c r="J177" s="1" t="s">
        <v>330</v>
      </c>
      <c r="K177" s="1" t="s">
        <v>330</v>
      </c>
      <c r="L177" s="1" t="s">
        <v>330</v>
      </c>
      <c r="M177" s="1" t="s">
        <v>330</v>
      </c>
      <c r="N177" s="1" t="s">
        <v>354</v>
      </c>
      <c r="O177" s="1" t="s">
        <v>330</v>
      </c>
      <c r="P177" s="1" t="s">
        <v>330</v>
      </c>
      <c r="Q177" s="1" t="s">
        <v>330</v>
      </c>
      <c r="R177" s="1" t="s">
        <v>330</v>
      </c>
      <c r="S177" s="1" t="s">
        <v>330</v>
      </c>
      <c r="T177" s="1" t="s">
        <v>330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267</v>
      </c>
      <c r="AH177" s="1">
        <v>3300</v>
      </c>
      <c r="AI177" s="1" t="s">
        <v>1928</v>
      </c>
      <c r="AJ177" s="1">
        <v>0</v>
      </c>
      <c r="AK177" s="1" t="s">
        <v>493</v>
      </c>
      <c r="AL177" s="1" t="s">
        <v>2388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1604</v>
      </c>
      <c r="AS177" s="1">
        <v>0</v>
      </c>
      <c r="AT177" s="1" t="s">
        <v>1891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2389</v>
      </c>
      <c r="C178" s="1" t="s">
        <v>2390</v>
      </c>
      <c r="D178" s="1">
        <v>5</v>
      </c>
      <c r="E178" s="1">
        <v>1</v>
      </c>
      <c r="F178" s="1">
        <v>18</v>
      </c>
      <c r="G178" s="1" t="s">
        <v>330</v>
      </c>
      <c r="H178" s="1" t="s">
        <v>330</v>
      </c>
      <c r="I178" s="1" t="s">
        <v>327</v>
      </c>
      <c r="J178" s="1" t="s">
        <v>330</v>
      </c>
      <c r="K178" s="1" t="s">
        <v>330</v>
      </c>
      <c r="L178" s="1" t="s">
        <v>330</v>
      </c>
      <c r="M178" s="1" t="s">
        <v>387</v>
      </c>
      <c r="N178" s="1" t="s">
        <v>330</v>
      </c>
      <c r="O178" s="1" t="s">
        <v>330</v>
      </c>
      <c r="P178" s="1" t="s">
        <v>330</v>
      </c>
      <c r="Q178" s="1" t="s">
        <v>330</v>
      </c>
      <c r="R178" s="1" t="s">
        <v>330</v>
      </c>
      <c r="S178" s="1" t="s">
        <v>330</v>
      </c>
      <c r="T178" s="1" t="s">
        <v>330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264</v>
      </c>
      <c r="AH178" s="1">
        <v>2820</v>
      </c>
      <c r="AI178" s="1" t="s">
        <v>1928</v>
      </c>
      <c r="AJ178" s="1">
        <v>0</v>
      </c>
      <c r="AK178" s="1" t="s">
        <v>494</v>
      </c>
      <c r="AL178" s="1" t="s">
        <v>2391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1599</v>
      </c>
      <c r="AS178" s="1">
        <v>0</v>
      </c>
      <c r="AT178" s="1" t="s">
        <v>1891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2392</v>
      </c>
      <c r="C179" s="1" t="s">
        <v>2393</v>
      </c>
      <c r="D179" s="1">
        <v>5</v>
      </c>
      <c r="E179" s="1">
        <v>1</v>
      </c>
      <c r="F179" s="1">
        <v>18</v>
      </c>
      <c r="G179" s="1" t="s">
        <v>330</v>
      </c>
      <c r="H179" s="1" t="s">
        <v>330</v>
      </c>
      <c r="I179" s="1" t="s">
        <v>415</v>
      </c>
      <c r="J179" s="1" t="s">
        <v>330</v>
      </c>
      <c r="K179" s="1" t="s">
        <v>330</v>
      </c>
      <c r="L179" s="1" t="s">
        <v>330</v>
      </c>
      <c r="M179" s="1" t="s">
        <v>387</v>
      </c>
      <c r="N179" s="1" t="s">
        <v>330</v>
      </c>
      <c r="O179" s="1" t="s">
        <v>330</v>
      </c>
      <c r="P179" s="1" t="s">
        <v>330</v>
      </c>
      <c r="Q179" s="1" t="s">
        <v>330</v>
      </c>
      <c r="R179" s="1" t="s">
        <v>330</v>
      </c>
      <c r="S179" s="1" t="s">
        <v>330</v>
      </c>
      <c r="T179" s="1" t="s">
        <v>330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2394</v>
      </c>
      <c r="AJ179" s="1">
        <v>0</v>
      </c>
      <c r="AK179" s="1" t="s">
        <v>949</v>
      </c>
      <c r="AL179" s="1" t="s">
        <v>2395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1611</v>
      </c>
      <c r="AS179" s="1">
        <v>0</v>
      </c>
      <c r="AT179" s="1" t="s">
        <v>1891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2396</v>
      </c>
      <c r="C180" s="1" t="s">
        <v>2397</v>
      </c>
      <c r="D180" s="1">
        <v>5</v>
      </c>
      <c r="E180" s="1">
        <v>2</v>
      </c>
      <c r="F180" s="1">
        <v>19</v>
      </c>
      <c r="G180" s="1" t="s">
        <v>343</v>
      </c>
      <c r="H180" s="1" t="s">
        <v>330</v>
      </c>
      <c r="I180" s="1" t="s">
        <v>330</v>
      </c>
      <c r="J180" s="1" t="s">
        <v>330</v>
      </c>
      <c r="K180" s="1" t="s">
        <v>495</v>
      </c>
      <c r="L180" s="1" t="s">
        <v>330</v>
      </c>
      <c r="M180" s="1" t="s">
        <v>330</v>
      </c>
      <c r="N180" s="1" t="s">
        <v>388</v>
      </c>
      <c r="O180" s="1" t="s">
        <v>330</v>
      </c>
      <c r="P180" s="1" t="s">
        <v>330</v>
      </c>
      <c r="Q180" s="1" t="s">
        <v>330</v>
      </c>
      <c r="R180" s="1" t="s">
        <v>330</v>
      </c>
      <c r="S180" s="1" t="s">
        <v>330</v>
      </c>
      <c r="T180" s="1" t="s">
        <v>330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2398</v>
      </c>
      <c r="AJ180" s="1">
        <v>0</v>
      </c>
      <c r="AK180" s="1" t="s">
        <v>355</v>
      </c>
      <c r="AL180" s="1" t="s">
        <v>2399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1525</v>
      </c>
      <c r="AS180" s="1">
        <v>0</v>
      </c>
      <c r="AT180" s="1" t="s">
        <v>1891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2400</v>
      </c>
      <c r="C181" s="1" t="s">
        <v>2401</v>
      </c>
      <c r="D181" s="1">
        <v>5</v>
      </c>
      <c r="E181" s="1">
        <v>2</v>
      </c>
      <c r="F181" s="1">
        <v>19</v>
      </c>
      <c r="G181" s="1" t="s">
        <v>387</v>
      </c>
      <c r="H181" s="1" t="s">
        <v>330</v>
      </c>
      <c r="I181" s="1" t="s">
        <v>330</v>
      </c>
      <c r="J181" s="1" t="s">
        <v>330</v>
      </c>
      <c r="K181" s="1" t="s">
        <v>495</v>
      </c>
      <c r="L181" s="1" t="s">
        <v>330</v>
      </c>
      <c r="M181" s="1" t="s">
        <v>330</v>
      </c>
      <c r="N181" s="1" t="s">
        <v>330</v>
      </c>
      <c r="O181" s="1" t="s">
        <v>330</v>
      </c>
      <c r="P181" s="1" t="s">
        <v>330</v>
      </c>
      <c r="Q181" s="1" t="s">
        <v>330</v>
      </c>
      <c r="R181" s="1" t="s">
        <v>330</v>
      </c>
      <c r="S181" s="1" t="s">
        <v>330</v>
      </c>
      <c r="T181" s="1" t="s">
        <v>330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2130</v>
      </c>
      <c r="AJ181" s="1">
        <v>0</v>
      </c>
      <c r="AK181" s="1" t="s">
        <v>496</v>
      </c>
      <c r="AL181" s="1" t="s">
        <v>2402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1527</v>
      </c>
      <c r="AS181" s="1">
        <v>0</v>
      </c>
      <c r="AT181" s="1" t="s">
        <v>1891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2403</v>
      </c>
      <c r="C182" s="1" t="s">
        <v>2404</v>
      </c>
      <c r="D182" s="1">
        <v>5</v>
      </c>
      <c r="E182" s="1">
        <v>3</v>
      </c>
      <c r="F182" s="1">
        <v>20</v>
      </c>
      <c r="G182" s="1" t="s">
        <v>330</v>
      </c>
      <c r="H182" s="1" t="s">
        <v>330</v>
      </c>
      <c r="I182" s="1" t="s">
        <v>330</v>
      </c>
      <c r="J182" s="1" t="s">
        <v>403</v>
      </c>
      <c r="K182" s="1" t="s">
        <v>330</v>
      </c>
      <c r="L182" s="1" t="s">
        <v>365</v>
      </c>
      <c r="M182" s="1" t="s">
        <v>330</v>
      </c>
      <c r="N182" s="1" t="s">
        <v>330</v>
      </c>
      <c r="O182" s="1" t="s">
        <v>330</v>
      </c>
      <c r="P182" s="1" t="s">
        <v>330</v>
      </c>
      <c r="Q182" s="1" t="s">
        <v>330</v>
      </c>
      <c r="R182" s="1" t="s">
        <v>330</v>
      </c>
      <c r="S182" s="1" t="s">
        <v>330</v>
      </c>
      <c r="T182" s="1" t="s">
        <v>330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250</v>
      </c>
      <c r="AH182" s="1">
        <v>3360</v>
      </c>
      <c r="AI182" s="1" t="s">
        <v>1928</v>
      </c>
      <c r="AJ182" s="1">
        <v>0</v>
      </c>
      <c r="AK182" s="1" t="s">
        <v>497</v>
      </c>
      <c r="AL182" s="1" t="s">
        <v>2405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1551</v>
      </c>
      <c r="AS182" s="1">
        <v>0</v>
      </c>
      <c r="AT182" s="1" t="s">
        <v>1891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2406</v>
      </c>
      <c r="C183" s="1" t="s">
        <v>2407</v>
      </c>
      <c r="D183" s="1">
        <v>5</v>
      </c>
      <c r="E183" s="1">
        <v>3</v>
      </c>
      <c r="F183" s="1">
        <v>20</v>
      </c>
      <c r="G183" s="1" t="s">
        <v>392</v>
      </c>
      <c r="H183" s="1" t="s">
        <v>330</v>
      </c>
      <c r="I183" s="1" t="s">
        <v>358</v>
      </c>
      <c r="J183" s="1" t="s">
        <v>330</v>
      </c>
      <c r="K183" s="1" t="s">
        <v>330</v>
      </c>
      <c r="L183" s="1" t="s">
        <v>330</v>
      </c>
      <c r="M183" s="1" t="s">
        <v>330</v>
      </c>
      <c r="N183" s="1" t="s">
        <v>330</v>
      </c>
      <c r="O183" s="1" t="s">
        <v>330</v>
      </c>
      <c r="P183" s="1" t="s">
        <v>330</v>
      </c>
      <c r="Q183" s="1" t="s">
        <v>330</v>
      </c>
      <c r="R183" s="1" t="s">
        <v>330</v>
      </c>
      <c r="S183" s="1" t="s">
        <v>330</v>
      </c>
      <c r="T183" s="1" t="s">
        <v>330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253</v>
      </c>
      <c r="AH183" s="1">
        <v>3120</v>
      </c>
      <c r="AI183" s="1" t="s">
        <v>1928</v>
      </c>
      <c r="AJ183" s="1">
        <v>0</v>
      </c>
      <c r="AK183" s="1" t="s">
        <v>498</v>
      </c>
      <c r="AL183" s="1" t="s">
        <v>2408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1612</v>
      </c>
      <c r="AS183" s="1">
        <v>0</v>
      </c>
      <c r="AT183" s="1" t="s">
        <v>1891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2409</v>
      </c>
      <c r="C184" s="1" t="s">
        <v>2410</v>
      </c>
      <c r="D184" s="1">
        <v>5</v>
      </c>
      <c r="E184" s="1">
        <v>1</v>
      </c>
      <c r="F184" s="1">
        <v>18</v>
      </c>
      <c r="G184" s="1" t="s">
        <v>337</v>
      </c>
      <c r="H184" s="1" t="s">
        <v>472</v>
      </c>
      <c r="I184" s="1" t="s">
        <v>330</v>
      </c>
      <c r="J184" s="1" t="s">
        <v>330</v>
      </c>
      <c r="K184" s="1" t="s">
        <v>330</v>
      </c>
      <c r="L184" s="1" t="s">
        <v>330</v>
      </c>
      <c r="M184" s="1" t="s">
        <v>399</v>
      </c>
      <c r="N184" s="1" t="s">
        <v>330</v>
      </c>
      <c r="O184" s="1" t="s">
        <v>330</v>
      </c>
      <c r="P184" s="1" t="s">
        <v>330</v>
      </c>
      <c r="Q184" s="1" t="s">
        <v>330</v>
      </c>
      <c r="R184" s="1" t="s">
        <v>330</v>
      </c>
      <c r="S184" s="1" t="s">
        <v>330</v>
      </c>
      <c r="T184" s="1" t="s">
        <v>330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753</v>
      </c>
      <c r="AH184" s="1">
        <v>2700</v>
      </c>
      <c r="AI184" s="1" t="s">
        <v>1928</v>
      </c>
      <c r="AJ184" s="1">
        <v>0</v>
      </c>
      <c r="AK184" s="1" t="s">
        <v>499</v>
      </c>
      <c r="AL184" s="1" t="s">
        <v>2411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1613</v>
      </c>
      <c r="AS184" s="1">
        <v>0</v>
      </c>
      <c r="AT184" s="1" t="s">
        <v>2412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2413</v>
      </c>
      <c r="C185" s="1" t="s">
        <v>2414</v>
      </c>
      <c r="D185" s="1">
        <v>5</v>
      </c>
      <c r="E185" s="1">
        <v>2</v>
      </c>
      <c r="F185" s="1">
        <v>19</v>
      </c>
      <c r="G185" s="1" t="s">
        <v>343</v>
      </c>
      <c r="H185" s="1" t="s">
        <v>330</v>
      </c>
      <c r="I185" s="1" t="s">
        <v>330</v>
      </c>
      <c r="J185" s="1" t="s">
        <v>330</v>
      </c>
      <c r="K185" s="1" t="s">
        <v>330</v>
      </c>
      <c r="L185" s="1" t="s">
        <v>391</v>
      </c>
      <c r="M185" s="1" t="s">
        <v>500</v>
      </c>
      <c r="N185" s="1" t="s">
        <v>330</v>
      </c>
      <c r="O185" s="1" t="s">
        <v>330</v>
      </c>
      <c r="P185" s="1" t="s">
        <v>330</v>
      </c>
      <c r="Q185" s="1" t="s">
        <v>330</v>
      </c>
      <c r="R185" s="1" t="s">
        <v>330</v>
      </c>
      <c r="S185" s="1" t="s">
        <v>330</v>
      </c>
      <c r="T185" s="1" t="s">
        <v>330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251</v>
      </c>
      <c r="AH185" s="1">
        <v>3240</v>
      </c>
      <c r="AI185" s="1" t="s">
        <v>1928</v>
      </c>
      <c r="AJ185" s="1">
        <v>0</v>
      </c>
      <c r="AK185" s="1" t="s">
        <v>501</v>
      </c>
      <c r="AL185" s="1" t="s">
        <v>2415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1614</v>
      </c>
      <c r="AS185" s="1">
        <v>0</v>
      </c>
      <c r="AT185" s="1" t="s">
        <v>1891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2416</v>
      </c>
      <c r="C186" s="1" t="s">
        <v>2417</v>
      </c>
      <c r="D186" s="1">
        <v>5</v>
      </c>
      <c r="E186" s="1">
        <v>1</v>
      </c>
      <c r="F186" s="1">
        <v>18</v>
      </c>
      <c r="G186" s="1" t="s">
        <v>330</v>
      </c>
      <c r="H186" s="1" t="s">
        <v>472</v>
      </c>
      <c r="I186" s="1" t="s">
        <v>360</v>
      </c>
      <c r="J186" s="1" t="s">
        <v>330</v>
      </c>
      <c r="K186" s="1" t="s">
        <v>330</v>
      </c>
      <c r="L186" s="1" t="s">
        <v>330</v>
      </c>
      <c r="M186" s="1" t="s">
        <v>387</v>
      </c>
      <c r="N186" s="1" t="s">
        <v>330</v>
      </c>
      <c r="O186" s="1" t="s">
        <v>330</v>
      </c>
      <c r="P186" s="1" t="s">
        <v>330</v>
      </c>
      <c r="Q186" s="1" t="s">
        <v>330</v>
      </c>
      <c r="R186" s="1" t="s">
        <v>330</v>
      </c>
      <c r="S186" s="1" t="s">
        <v>330</v>
      </c>
      <c r="T186" s="1" t="s">
        <v>330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249</v>
      </c>
      <c r="AH186" s="1">
        <v>2820</v>
      </c>
      <c r="AI186" s="1" t="s">
        <v>1928</v>
      </c>
      <c r="AJ186" s="1">
        <v>0</v>
      </c>
      <c r="AK186" s="1" t="s">
        <v>502</v>
      </c>
      <c r="AL186" s="1" t="s">
        <v>2418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1615</v>
      </c>
      <c r="AS186" s="1">
        <v>0</v>
      </c>
      <c r="AT186" s="1" t="s">
        <v>1891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2419</v>
      </c>
      <c r="C187" s="1" t="s">
        <v>2420</v>
      </c>
      <c r="D187" s="1">
        <v>5</v>
      </c>
      <c r="E187" s="1">
        <v>1</v>
      </c>
      <c r="F187" s="1">
        <v>18</v>
      </c>
      <c r="G187" s="1" t="s">
        <v>337</v>
      </c>
      <c r="H187" s="1" t="s">
        <v>472</v>
      </c>
      <c r="I187" s="1" t="s">
        <v>330</v>
      </c>
      <c r="J187" s="1" t="s">
        <v>330</v>
      </c>
      <c r="K187" s="1" t="s">
        <v>330</v>
      </c>
      <c r="L187" s="1" t="s">
        <v>330</v>
      </c>
      <c r="M187" s="1" t="s">
        <v>399</v>
      </c>
      <c r="N187" s="1" t="s">
        <v>330</v>
      </c>
      <c r="O187" s="1" t="s">
        <v>330</v>
      </c>
      <c r="P187" s="1" t="s">
        <v>330</v>
      </c>
      <c r="Q187" s="1" t="s">
        <v>330</v>
      </c>
      <c r="R187" s="1" t="s">
        <v>330</v>
      </c>
      <c r="S187" s="1" t="s">
        <v>330</v>
      </c>
      <c r="T187" s="1" t="s">
        <v>330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754</v>
      </c>
      <c r="AH187" s="1">
        <v>2700</v>
      </c>
      <c r="AI187" s="1" t="s">
        <v>1928</v>
      </c>
      <c r="AJ187" s="1">
        <v>0</v>
      </c>
      <c r="AK187" s="1" t="s">
        <v>499</v>
      </c>
      <c r="AL187" s="1" t="s">
        <v>2421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1613</v>
      </c>
      <c r="AS187" s="1">
        <v>0</v>
      </c>
      <c r="AT187" s="1" t="s">
        <v>2422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2423</v>
      </c>
      <c r="C188" s="1" t="s">
        <v>2424</v>
      </c>
      <c r="D188" s="1">
        <v>5</v>
      </c>
      <c r="E188" s="1">
        <v>1</v>
      </c>
      <c r="F188" s="1">
        <v>18</v>
      </c>
      <c r="G188" s="1" t="s">
        <v>337</v>
      </c>
      <c r="H188" s="1" t="s">
        <v>472</v>
      </c>
      <c r="I188" s="1" t="s">
        <v>330</v>
      </c>
      <c r="J188" s="1" t="s">
        <v>330</v>
      </c>
      <c r="K188" s="1" t="s">
        <v>330</v>
      </c>
      <c r="L188" s="1" t="s">
        <v>330</v>
      </c>
      <c r="M188" s="1" t="s">
        <v>399</v>
      </c>
      <c r="N188" s="1" t="s">
        <v>330</v>
      </c>
      <c r="O188" s="1" t="s">
        <v>330</v>
      </c>
      <c r="P188" s="1" t="s">
        <v>330</v>
      </c>
      <c r="Q188" s="1" t="s">
        <v>330</v>
      </c>
      <c r="R188" s="1" t="s">
        <v>330</v>
      </c>
      <c r="S188" s="1" t="s">
        <v>330</v>
      </c>
      <c r="T188" s="1" t="s">
        <v>330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755</v>
      </c>
      <c r="AH188" s="1">
        <v>2700</v>
      </c>
      <c r="AI188" s="1" t="s">
        <v>1928</v>
      </c>
      <c r="AJ188" s="1">
        <v>0</v>
      </c>
      <c r="AK188" s="1" t="s">
        <v>499</v>
      </c>
      <c r="AL188" s="1" t="s">
        <v>2425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1613</v>
      </c>
      <c r="AS188" s="1">
        <v>0</v>
      </c>
      <c r="AT188" s="1" t="s">
        <v>2426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2427</v>
      </c>
      <c r="C189" s="1" t="s">
        <v>2428</v>
      </c>
      <c r="D189" s="1">
        <v>5</v>
      </c>
      <c r="E189" s="1">
        <v>3</v>
      </c>
      <c r="F189" s="1">
        <v>20</v>
      </c>
      <c r="G189" s="1" t="s">
        <v>393</v>
      </c>
      <c r="H189" s="1" t="s">
        <v>337</v>
      </c>
      <c r="I189" s="1" t="s">
        <v>330</v>
      </c>
      <c r="J189" s="1" t="s">
        <v>330</v>
      </c>
      <c r="K189" s="1" t="s">
        <v>330</v>
      </c>
      <c r="L189" s="1" t="s">
        <v>393</v>
      </c>
      <c r="M189" s="1" t="s">
        <v>330</v>
      </c>
      <c r="N189" s="1" t="s">
        <v>330</v>
      </c>
      <c r="O189" s="1" t="s">
        <v>330</v>
      </c>
      <c r="P189" s="1" t="s">
        <v>330</v>
      </c>
      <c r="Q189" s="1" t="s">
        <v>330</v>
      </c>
      <c r="R189" s="1" t="s">
        <v>330</v>
      </c>
      <c r="S189" s="1" t="s">
        <v>330</v>
      </c>
      <c r="T189" s="1" t="s">
        <v>330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1499</v>
      </c>
      <c r="AH189" s="1">
        <v>3120</v>
      </c>
      <c r="AI189" s="1" t="s">
        <v>2429</v>
      </c>
      <c r="AJ189" s="1">
        <v>0</v>
      </c>
      <c r="AK189" s="1" t="s">
        <v>503</v>
      </c>
      <c r="AL189" s="1" t="s">
        <v>2430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1616</v>
      </c>
      <c r="AS189" s="1">
        <v>0</v>
      </c>
      <c r="AT189" s="1" t="s">
        <v>1891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2431</v>
      </c>
      <c r="C190" s="1" t="s">
        <v>2432</v>
      </c>
      <c r="D190" s="1">
        <v>5</v>
      </c>
      <c r="E190" s="1">
        <v>1</v>
      </c>
      <c r="F190" s="1">
        <v>18</v>
      </c>
      <c r="G190" s="1" t="s">
        <v>337</v>
      </c>
      <c r="H190" s="1" t="s">
        <v>330</v>
      </c>
      <c r="I190" s="1" t="s">
        <v>330</v>
      </c>
      <c r="J190" s="1" t="s">
        <v>330</v>
      </c>
      <c r="K190" s="1" t="s">
        <v>330</v>
      </c>
      <c r="L190" s="1" t="s">
        <v>330</v>
      </c>
      <c r="M190" s="1" t="s">
        <v>329</v>
      </c>
      <c r="N190" s="1" t="s">
        <v>330</v>
      </c>
      <c r="O190" s="1" t="s">
        <v>330</v>
      </c>
      <c r="P190" s="1" t="s">
        <v>330</v>
      </c>
      <c r="Q190" s="1" t="s">
        <v>330</v>
      </c>
      <c r="R190" s="1" t="s">
        <v>330</v>
      </c>
      <c r="S190" s="1" t="s">
        <v>330</v>
      </c>
      <c r="T190" s="1" t="s">
        <v>330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841</v>
      </c>
      <c r="AH190" s="1">
        <v>2700</v>
      </c>
      <c r="AI190" s="1" t="s">
        <v>2384</v>
      </c>
      <c r="AJ190" s="1">
        <v>0</v>
      </c>
      <c r="AK190" s="1" t="s">
        <v>504</v>
      </c>
      <c r="AL190" s="1" t="s">
        <v>2433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1573</v>
      </c>
      <c r="AS190" s="1">
        <v>0</v>
      </c>
      <c r="AT190" s="1" t="s">
        <v>1891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2434</v>
      </c>
      <c r="C191" s="1" t="s">
        <v>2435</v>
      </c>
      <c r="D191" s="1">
        <v>5</v>
      </c>
      <c r="E191" s="1">
        <v>3</v>
      </c>
      <c r="F191" s="1">
        <v>20</v>
      </c>
      <c r="G191" s="1" t="s">
        <v>364</v>
      </c>
      <c r="H191" s="1" t="s">
        <v>330</v>
      </c>
      <c r="I191" s="1" t="s">
        <v>365</v>
      </c>
      <c r="J191" s="1" t="s">
        <v>330</v>
      </c>
      <c r="K191" s="1" t="s">
        <v>330</v>
      </c>
      <c r="L191" s="1" t="s">
        <v>330</v>
      </c>
      <c r="M191" s="1" t="s">
        <v>330</v>
      </c>
      <c r="N191" s="1" t="s">
        <v>330</v>
      </c>
      <c r="O191" s="1" t="s">
        <v>330</v>
      </c>
      <c r="P191" s="1" t="s">
        <v>330</v>
      </c>
      <c r="Q191" s="1" t="s">
        <v>330</v>
      </c>
      <c r="R191" s="1" t="s">
        <v>330</v>
      </c>
      <c r="S191" s="1" t="s">
        <v>330</v>
      </c>
      <c r="T191" s="1" t="s">
        <v>330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834</v>
      </c>
      <c r="AH191" s="1">
        <v>3120</v>
      </c>
      <c r="AI191" s="1" t="s">
        <v>1928</v>
      </c>
      <c r="AJ191" s="1">
        <v>0</v>
      </c>
      <c r="AK191" s="1" t="s">
        <v>505</v>
      </c>
      <c r="AL191" s="1" t="s">
        <v>2436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1530</v>
      </c>
      <c r="AS191" s="1">
        <v>0</v>
      </c>
      <c r="AT191" s="1" t="s">
        <v>1891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2437</v>
      </c>
      <c r="C192" s="1" t="s">
        <v>2438</v>
      </c>
      <c r="D192" s="1">
        <v>5</v>
      </c>
      <c r="E192" s="1">
        <v>3</v>
      </c>
      <c r="F192" s="1">
        <v>20</v>
      </c>
      <c r="G192" s="1" t="s">
        <v>330</v>
      </c>
      <c r="H192" s="1" t="s">
        <v>330</v>
      </c>
      <c r="I192" s="1" t="s">
        <v>333</v>
      </c>
      <c r="J192" s="1" t="s">
        <v>330</v>
      </c>
      <c r="K192" s="1" t="s">
        <v>330</v>
      </c>
      <c r="L192" s="1" t="s">
        <v>330</v>
      </c>
      <c r="M192" s="1" t="s">
        <v>330</v>
      </c>
      <c r="N192" s="1" t="s">
        <v>330</v>
      </c>
      <c r="O192" s="1" t="s">
        <v>360</v>
      </c>
      <c r="P192" s="1" t="s">
        <v>330</v>
      </c>
      <c r="Q192" s="1" t="s">
        <v>330</v>
      </c>
      <c r="R192" s="1" t="s">
        <v>330</v>
      </c>
      <c r="S192" s="1" t="s">
        <v>330</v>
      </c>
      <c r="T192" s="1" t="s">
        <v>330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740</v>
      </c>
      <c r="AH192" s="1">
        <v>3060</v>
      </c>
      <c r="AI192" s="1" t="s">
        <v>1928</v>
      </c>
      <c r="AJ192" s="1">
        <v>0</v>
      </c>
      <c r="AK192" s="1" t="s">
        <v>506</v>
      </c>
      <c r="AL192" s="1" t="s">
        <v>2439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1529</v>
      </c>
      <c r="AS192" s="1">
        <v>0</v>
      </c>
      <c r="AT192" s="1" t="s">
        <v>1891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2440</v>
      </c>
      <c r="C193" s="1" t="s">
        <v>2441</v>
      </c>
      <c r="D193" s="1">
        <v>5</v>
      </c>
      <c r="E193" s="1">
        <v>1</v>
      </c>
      <c r="F193" s="1">
        <v>18</v>
      </c>
      <c r="G193" s="1" t="s">
        <v>330</v>
      </c>
      <c r="H193" s="1" t="s">
        <v>330</v>
      </c>
      <c r="I193" s="1" t="s">
        <v>415</v>
      </c>
      <c r="J193" s="1" t="s">
        <v>330</v>
      </c>
      <c r="K193" s="1" t="s">
        <v>330</v>
      </c>
      <c r="L193" s="1" t="s">
        <v>330</v>
      </c>
      <c r="M193" s="1" t="s">
        <v>387</v>
      </c>
      <c r="N193" s="1" t="s">
        <v>330</v>
      </c>
      <c r="O193" s="1" t="s">
        <v>330</v>
      </c>
      <c r="P193" s="1" t="s">
        <v>330</v>
      </c>
      <c r="Q193" s="1" t="s">
        <v>330</v>
      </c>
      <c r="R193" s="1" t="s">
        <v>330</v>
      </c>
      <c r="S193" s="1" t="s">
        <v>330</v>
      </c>
      <c r="T193" s="1" t="s">
        <v>330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756</v>
      </c>
      <c r="AH193" s="1">
        <v>2820</v>
      </c>
      <c r="AI193" s="1" t="s">
        <v>1928</v>
      </c>
      <c r="AJ193" s="1">
        <v>0</v>
      </c>
      <c r="AK193" s="1" t="s">
        <v>507</v>
      </c>
      <c r="AL193" s="1" t="s">
        <v>2442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1611</v>
      </c>
      <c r="AS193" s="1">
        <v>0</v>
      </c>
      <c r="AT193" s="1" t="s">
        <v>1891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2443</v>
      </c>
      <c r="C194" s="1" t="s">
        <v>2444</v>
      </c>
      <c r="D194" s="1">
        <v>5</v>
      </c>
      <c r="E194" s="1">
        <v>2</v>
      </c>
      <c r="F194" s="1">
        <v>19</v>
      </c>
      <c r="G194" s="1" t="s">
        <v>404</v>
      </c>
      <c r="H194" s="1" t="s">
        <v>330</v>
      </c>
      <c r="I194" s="1" t="s">
        <v>330</v>
      </c>
      <c r="J194" s="1" t="s">
        <v>330</v>
      </c>
      <c r="K194" s="1" t="s">
        <v>330</v>
      </c>
      <c r="L194" s="1" t="s">
        <v>330</v>
      </c>
      <c r="M194" s="1" t="s">
        <v>330</v>
      </c>
      <c r="N194" s="1" t="s">
        <v>388</v>
      </c>
      <c r="O194" s="1" t="s">
        <v>330</v>
      </c>
      <c r="P194" s="1" t="s">
        <v>330</v>
      </c>
      <c r="Q194" s="1" t="s">
        <v>330</v>
      </c>
      <c r="R194" s="1" t="s">
        <v>330</v>
      </c>
      <c r="S194" s="1" t="s">
        <v>330</v>
      </c>
      <c r="T194" s="1" t="s">
        <v>330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2032</v>
      </c>
      <c r="AJ194" s="1">
        <v>0</v>
      </c>
      <c r="AK194" s="1" t="s">
        <v>508</v>
      </c>
      <c r="AL194" s="1" t="s">
        <v>2445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1525</v>
      </c>
      <c r="AS194" s="1">
        <v>0</v>
      </c>
      <c r="AT194" s="1" t="s">
        <v>1891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2446</v>
      </c>
      <c r="C195" s="1" t="s">
        <v>2447</v>
      </c>
      <c r="D195" s="1">
        <v>5</v>
      </c>
      <c r="E195" s="1">
        <v>1</v>
      </c>
      <c r="F195" s="1">
        <v>18</v>
      </c>
      <c r="G195" s="1" t="s">
        <v>333</v>
      </c>
      <c r="H195" s="1" t="s">
        <v>330</v>
      </c>
      <c r="I195" s="1" t="s">
        <v>343</v>
      </c>
      <c r="J195" s="1" t="s">
        <v>330</v>
      </c>
      <c r="K195" s="1" t="s">
        <v>330</v>
      </c>
      <c r="L195" s="1" t="s">
        <v>330</v>
      </c>
      <c r="M195" s="1" t="s">
        <v>330</v>
      </c>
      <c r="N195" s="1" t="s">
        <v>330</v>
      </c>
      <c r="O195" s="1" t="s">
        <v>330</v>
      </c>
      <c r="P195" s="1" t="s">
        <v>330</v>
      </c>
      <c r="Q195" s="1" t="s">
        <v>330</v>
      </c>
      <c r="R195" s="1" t="s">
        <v>330</v>
      </c>
      <c r="S195" s="1" t="s">
        <v>330</v>
      </c>
      <c r="T195" s="1" t="s">
        <v>330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1928</v>
      </c>
      <c r="AJ195" s="1">
        <v>0</v>
      </c>
      <c r="AK195" s="1" t="s">
        <v>509</v>
      </c>
      <c r="AL195" s="1" t="s">
        <v>2448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1617</v>
      </c>
      <c r="AS195" s="1">
        <v>0</v>
      </c>
      <c r="AT195" s="1" t="s">
        <v>1891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2449</v>
      </c>
      <c r="C196" s="1" t="s">
        <v>2450</v>
      </c>
      <c r="D196" s="1">
        <v>5</v>
      </c>
      <c r="E196" s="1">
        <v>3</v>
      </c>
      <c r="F196" s="1">
        <v>20</v>
      </c>
      <c r="G196" s="1" t="s">
        <v>436</v>
      </c>
      <c r="H196" s="1" t="s">
        <v>330</v>
      </c>
      <c r="I196" s="1" t="s">
        <v>398</v>
      </c>
      <c r="J196" s="1" t="s">
        <v>330</v>
      </c>
      <c r="K196" s="1" t="s">
        <v>330</v>
      </c>
      <c r="L196" s="1" t="s">
        <v>330</v>
      </c>
      <c r="M196" s="1" t="s">
        <v>330</v>
      </c>
      <c r="N196" s="1" t="s">
        <v>330</v>
      </c>
      <c r="O196" s="1" t="s">
        <v>330</v>
      </c>
      <c r="P196" s="1" t="s">
        <v>330</v>
      </c>
      <c r="Q196" s="1" t="s">
        <v>330</v>
      </c>
      <c r="R196" s="1" t="s">
        <v>330</v>
      </c>
      <c r="S196" s="1" t="s">
        <v>330</v>
      </c>
      <c r="T196" s="1" t="s">
        <v>330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1928</v>
      </c>
      <c r="AJ196" s="1">
        <v>0</v>
      </c>
      <c r="AK196" s="1" t="s">
        <v>510</v>
      </c>
      <c r="AL196" s="1" t="s">
        <v>2451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1531</v>
      </c>
      <c r="AS196" s="1">
        <v>0</v>
      </c>
      <c r="AT196" s="1" t="s">
        <v>1891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2452</v>
      </c>
      <c r="C197" s="1" t="s">
        <v>2453</v>
      </c>
      <c r="D197" s="1">
        <v>5</v>
      </c>
      <c r="E197" s="1">
        <v>1</v>
      </c>
      <c r="F197" s="1">
        <v>18</v>
      </c>
      <c r="G197" s="1" t="s">
        <v>330</v>
      </c>
      <c r="H197" s="1" t="s">
        <v>330</v>
      </c>
      <c r="I197" s="1" t="s">
        <v>343</v>
      </c>
      <c r="J197" s="1" t="s">
        <v>330</v>
      </c>
      <c r="K197" s="1" t="s">
        <v>330</v>
      </c>
      <c r="L197" s="1" t="s">
        <v>330</v>
      </c>
      <c r="M197" s="1" t="s">
        <v>490</v>
      </c>
      <c r="N197" s="1" t="s">
        <v>330</v>
      </c>
      <c r="O197" s="1" t="s">
        <v>330</v>
      </c>
      <c r="P197" s="1" t="s">
        <v>330</v>
      </c>
      <c r="Q197" s="1" t="s">
        <v>330</v>
      </c>
      <c r="R197" s="1" t="s">
        <v>330</v>
      </c>
      <c r="S197" s="1" t="s">
        <v>330</v>
      </c>
      <c r="T197" s="1" t="s">
        <v>330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1928</v>
      </c>
      <c r="AJ197" s="1">
        <v>0</v>
      </c>
      <c r="AK197" s="1" t="s">
        <v>511</v>
      </c>
      <c r="AL197" s="1" t="s">
        <v>2454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1618</v>
      </c>
      <c r="AS197" s="1">
        <v>0</v>
      </c>
      <c r="AT197" s="1" t="s">
        <v>1891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2455</v>
      </c>
      <c r="C198" s="1" t="s">
        <v>2456</v>
      </c>
      <c r="D198" s="1">
        <v>5</v>
      </c>
      <c r="E198" s="1">
        <v>1</v>
      </c>
      <c r="F198" s="1">
        <v>18</v>
      </c>
      <c r="G198" s="1" t="s">
        <v>330</v>
      </c>
      <c r="H198" s="1" t="s">
        <v>330</v>
      </c>
      <c r="I198" s="1" t="s">
        <v>392</v>
      </c>
      <c r="J198" s="1" t="s">
        <v>330</v>
      </c>
      <c r="K198" s="1" t="s">
        <v>330</v>
      </c>
      <c r="L198" s="1" t="s">
        <v>330</v>
      </c>
      <c r="M198" s="1" t="s">
        <v>394</v>
      </c>
      <c r="N198" s="1" t="s">
        <v>330</v>
      </c>
      <c r="O198" s="1" t="s">
        <v>330</v>
      </c>
      <c r="P198" s="1" t="s">
        <v>330</v>
      </c>
      <c r="Q198" s="1" t="s">
        <v>330</v>
      </c>
      <c r="R198" s="1" t="s">
        <v>330</v>
      </c>
      <c r="S198" s="1" t="s">
        <v>330</v>
      </c>
      <c r="T198" s="1" t="s">
        <v>330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935</v>
      </c>
      <c r="AH198" s="1">
        <v>2820</v>
      </c>
      <c r="AI198" s="1" t="s">
        <v>2457</v>
      </c>
      <c r="AJ198" s="1">
        <v>0</v>
      </c>
      <c r="AK198" s="1" t="s">
        <v>512</v>
      </c>
      <c r="AL198" s="1" t="s">
        <v>2458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1538</v>
      </c>
      <c r="AS198" s="1">
        <v>0</v>
      </c>
      <c r="AT198" s="1" t="s">
        <v>2459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2460</v>
      </c>
      <c r="C199" s="1" t="s">
        <v>2461</v>
      </c>
      <c r="D199" s="1">
        <v>5</v>
      </c>
      <c r="E199" s="1">
        <v>2</v>
      </c>
      <c r="F199" s="1">
        <v>19</v>
      </c>
      <c r="G199" s="1" t="s">
        <v>393</v>
      </c>
      <c r="H199" s="1" t="s">
        <v>330</v>
      </c>
      <c r="I199" s="1" t="s">
        <v>330</v>
      </c>
      <c r="J199" s="1" t="s">
        <v>330</v>
      </c>
      <c r="K199" s="1" t="s">
        <v>330</v>
      </c>
      <c r="L199" s="1" t="s">
        <v>330</v>
      </c>
      <c r="M199" s="1" t="s">
        <v>330</v>
      </c>
      <c r="N199" s="1" t="s">
        <v>412</v>
      </c>
      <c r="O199" s="1" t="s">
        <v>330</v>
      </c>
      <c r="P199" s="1" t="s">
        <v>330</v>
      </c>
      <c r="Q199" s="1" t="s">
        <v>330</v>
      </c>
      <c r="R199" s="1" t="s">
        <v>330</v>
      </c>
      <c r="S199" s="1" t="s">
        <v>330</v>
      </c>
      <c r="T199" s="1" t="s">
        <v>330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933</v>
      </c>
      <c r="AH199" s="1">
        <v>3180</v>
      </c>
      <c r="AI199" s="1" t="s">
        <v>2462</v>
      </c>
      <c r="AJ199" s="1">
        <v>0</v>
      </c>
      <c r="AK199" s="1" t="s">
        <v>512</v>
      </c>
      <c r="AL199" s="1" t="s">
        <v>2463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1541</v>
      </c>
      <c r="AS199" s="1">
        <v>0</v>
      </c>
      <c r="AT199" s="1" t="s">
        <v>2464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2465</v>
      </c>
      <c r="C200" s="1" t="s">
        <v>2466</v>
      </c>
      <c r="D200" s="1">
        <v>5</v>
      </c>
      <c r="E200" s="1">
        <v>3</v>
      </c>
      <c r="F200" s="1">
        <v>20</v>
      </c>
      <c r="G200" s="1" t="s">
        <v>436</v>
      </c>
      <c r="H200" s="1" t="s">
        <v>330</v>
      </c>
      <c r="I200" s="1" t="s">
        <v>398</v>
      </c>
      <c r="J200" s="1" t="s">
        <v>330</v>
      </c>
      <c r="K200" s="1" t="s">
        <v>330</v>
      </c>
      <c r="L200" s="1" t="s">
        <v>330</v>
      </c>
      <c r="M200" s="1" t="s">
        <v>330</v>
      </c>
      <c r="N200" s="1" t="s">
        <v>330</v>
      </c>
      <c r="O200" s="1" t="s">
        <v>330</v>
      </c>
      <c r="P200" s="1" t="s">
        <v>330</v>
      </c>
      <c r="Q200" s="1" t="s">
        <v>330</v>
      </c>
      <c r="R200" s="1" t="s">
        <v>330</v>
      </c>
      <c r="S200" s="1" t="s">
        <v>330</v>
      </c>
      <c r="T200" s="1" t="s">
        <v>330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934</v>
      </c>
      <c r="AH200" s="1">
        <v>3120</v>
      </c>
      <c r="AI200" s="1" t="s">
        <v>2462</v>
      </c>
      <c r="AJ200" s="1">
        <v>0</v>
      </c>
      <c r="AK200" s="1" t="s">
        <v>512</v>
      </c>
      <c r="AL200" s="1" t="s">
        <v>2467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1528</v>
      </c>
      <c r="AS200" s="1">
        <v>0</v>
      </c>
      <c r="AT200" s="1" t="s">
        <v>2468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2469</v>
      </c>
      <c r="C201" s="1" t="s">
        <v>2470</v>
      </c>
      <c r="D201" s="1">
        <v>5</v>
      </c>
      <c r="E201" s="1">
        <v>1</v>
      </c>
      <c r="F201" s="1">
        <v>18</v>
      </c>
      <c r="G201" s="1" t="s">
        <v>330</v>
      </c>
      <c r="H201" s="1" t="s">
        <v>330</v>
      </c>
      <c r="I201" s="1" t="s">
        <v>330</v>
      </c>
      <c r="J201" s="1" t="s">
        <v>330</v>
      </c>
      <c r="K201" s="1" t="s">
        <v>330</v>
      </c>
      <c r="L201" s="1" t="s">
        <v>330</v>
      </c>
      <c r="M201" s="1" t="s">
        <v>421</v>
      </c>
      <c r="N201" s="1" t="s">
        <v>330</v>
      </c>
      <c r="O201" s="1" t="s">
        <v>330</v>
      </c>
      <c r="P201" s="1" t="s">
        <v>330</v>
      </c>
      <c r="Q201" s="1" t="s">
        <v>330</v>
      </c>
      <c r="R201" s="1" t="s">
        <v>330</v>
      </c>
      <c r="S201" s="1" t="s">
        <v>330</v>
      </c>
      <c r="T201" s="1" t="s">
        <v>330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936</v>
      </c>
      <c r="AH201" s="1">
        <v>3600</v>
      </c>
      <c r="AI201" s="1" t="s">
        <v>2471</v>
      </c>
      <c r="AJ201" s="1">
        <v>0</v>
      </c>
      <c r="AK201" s="1" t="s">
        <v>513</v>
      </c>
      <c r="AL201" s="1" t="s">
        <v>2472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1519</v>
      </c>
      <c r="AS201" s="1">
        <v>0</v>
      </c>
      <c r="AT201" s="1" t="s">
        <v>2473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2474</v>
      </c>
      <c r="C202" s="1" t="s">
        <v>2475</v>
      </c>
      <c r="D202" s="1">
        <v>5</v>
      </c>
      <c r="E202" s="1">
        <v>2</v>
      </c>
      <c r="F202" s="1">
        <v>19</v>
      </c>
      <c r="G202" s="1" t="s">
        <v>427</v>
      </c>
      <c r="H202" s="1" t="s">
        <v>330</v>
      </c>
      <c r="I202" s="1" t="s">
        <v>330</v>
      </c>
      <c r="J202" s="1" t="s">
        <v>330</v>
      </c>
      <c r="K202" s="1" t="s">
        <v>330</v>
      </c>
      <c r="L202" s="1" t="s">
        <v>330</v>
      </c>
      <c r="M202" s="1" t="s">
        <v>330</v>
      </c>
      <c r="N202" s="1" t="s">
        <v>330</v>
      </c>
      <c r="O202" s="1" t="s">
        <v>330</v>
      </c>
      <c r="P202" s="1" t="s">
        <v>330</v>
      </c>
      <c r="Q202" s="1" t="s">
        <v>330</v>
      </c>
      <c r="R202" s="1" t="s">
        <v>330</v>
      </c>
      <c r="S202" s="1" t="s">
        <v>330</v>
      </c>
      <c r="T202" s="1" t="s">
        <v>330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937</v>
      </c>
      <c r="AH202" s="1">
        <v>3480</v>
      </c>
      <c r="AI202" s="1" t="s">
        <v>2462</v>
      </c>
      <c r="AJ202" s="1">
        <v>0</v>
      </c>
      <c r="AK202" s="1" t="s">
        <v>513</v>
      </c>
      <c r="AL202" s="1" t="s">
        <v>2476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1527</v>
      </c>
      <c r="AS202" s="1">
        <v>0</v>
      </c>
      <c r="AT202" s="1" t="s">
        <v>2477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2478</v>
      </c>
      <c r="C203" s="1" t="s">
        <v>2479</v>
      </c>
      <c r="D203" s="1">
        <v>5</v>
      </c>
      <c r="E203" s="1">
        <v>3</v>
      </c>
      <c r="F203" s="1">
        <v>20</v>
      </c>
      <c r="G203" s="1" t="s">
        <v>330</v>
      </c>
      <c r="H203" s="1" t="s">
        <v>330</v>
      </c>
      <c r="I203" s="1" t="s">
        <v>427</v>
      </c>
      <c r="J203" s="1" t="s">
        <v>330</v>
      </c>
      <c r="K203" s="1" t="s">
        <v>330</v>
      </c>
      <c r="L203" s="1" t="s">
        <v>330</v>
      </c>
      <c r="M203" s="1" t="s">
        <v>330</v>
      </c>
      <c r="N203" s="1" t="s">
        <v>330</v>
      </c>
      <c r="O203" s="1" t="s">
        <v>330</v>
      </c>
      <c r="P203" s="1" t="s">
        <v>330</v>
      </c>
      <c r="Q203" s="1" t="s">
        <v>330</v>
      </c>
      <c r="R203" s="1" t="s">
        <v>330</v>
      </c>
      <c r="S203" s="1" t="s">
        <v>330</v>
      </c>
      <c r="T203" s="1" t="s">
        <v>330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938</v>
      </c>
      <c r="AH203" s="1">
        <v>3120</v>
      </c>
      <c r="AI203" s="1" t="s">
        <v>2462</v>
      </c>
      <c r="AJ203" s="1">
        <v>0</v>
      </c>
      <c r="AK203" s="1" t="s">
        <v>513</v>
      </c>
      <c r="AL203" s="1" t="s">
        <v>2480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1532</v>
      </c>
      <c r="AS203" s="1">
        <v>0</v>
      </c>
      <c r="AT203" s="1" t="s">
        <v>2481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2482</v>
      </c>
      <c r="C204" s="1" t="s">
        <v>2483</v>
      </c>
      <c r="D204" s="1">
        <v>5</v>
      </c>
      <c r="E204" s="1">
        <v>3</v>
      </c>
      <c r="F204" s="1">
        <v>20</v>
      </c>
      <c r="G204" s="1" t="s">
        <v>393</v>
      </c>
      <c r="H204" s="1" t="s">
        <v>337</v>
      </c>
      <c r="I204" s="1" t="s">
        <v>371</v>
      </c>
      <c r="J204" s="1" t="s">
        <v>330</v>
      </c>
      <c r="K204" s="1" t="s">
        <v>330</v>
      </c>
      <c r="L204" s="1" t="s">
        <v>330</v>
      </c>
      <c r="M204" s="1" t="s">
        <v>330</v>
      </c>
      <c r="N204" s="1" t="s">
        <v>330</v>
      </c>
      <c r="O204" s="1" t="s">
        <v>330</v>
      </c>
      <c r="P204" s="1" t="s">
        <v>330</v>
      </c>
      <c r="Q204" s="1" t="s">
        <v>330</v>
      </c>
      <c r="R204" s="1" t="s">
        <v>330</v>
      </c>
      <c r="S204" s="1" t="s">
        <v>330</v>
      </c>
      <c r="T204" s="1" t="s">
        <v>330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840</v>
      </c>
      <c r="AH204" s="1">
        <v>3120</v>
      </c>
      <c r="AI204" s="1" t="s">
        <v>2484</v>
      </c>
      <c r="AJ204" s="1">
        <v>0</v>
      </c>
      <c r="AK204" s="1" t="s">
        <v>514</v>
      </c>
      <c r="AL204" s="1" t="s">
        <v>2485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1619</v>
      </c>
      <c r="AS204" s="1">
        <v>0</v>
      </c>
      <c r="AT204" s="1" t="s">
        <v>1891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2486</v>
      </c>
      <c r="C205" s="1" t="s">
        <v>2487</v>
      </c>
      <c r="D205" s="1">
        <v>5</v>
      </c>
      <c r="E205" s="1">
        <v>2</v>
      </c>
      <c r="F205" s="1">
        <v>19</v>
      </c>
      <c r="G205" s="1" t="s">
        <v>358</v>
      </c>
      <c r="H205" s="1" t="s">
        <v>339</v>
      </c>
      <c r="I205" s="1" t="s">
        <v>330</v>
      </c>
      <c r="J205" s="1" t="s">
        <v>330</v>
      </c>
      <c r="K205" s="1" t="s">
        <v>330</v>
      </c>
      <c r="L205" s="1" t="s">
        <v>330</v>
      </c>
      <c r="M205" s="1" t="s">
        <v>330</v>
      </c>
      <c r="N205" s="1" t="s">
        <v>330</v>
      </c>
      <c r="O205" s="1" t="s">
        <v>330</v>
      </c>
      <c r="P205" s="1" t="s">
        <v>330</v>
      </c>
      <c r="Q205" s="1" t="s">
        <v>330</v>
      </c>
      <c r="R205" s="1" t="s">
        <v>330</v>
      </c>
      <c r="S205" s="1" t="s">
        <v>330</v>
      </c>
      <c r="T205" s="1" t="s">
        <v>330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731</v>
      </c>
      <c r="AH205" s="1">
        <v>3600</v>
      </c>
      <c r="AI205" s="1" t="s">
        <v>1928</v>
      </c>
      <c r="AJ205" s="1">
        <v>0</v>
      </c>
      <c r="AK205" s="1" t="s">
        <v>515</v>
      </c>
      <c r="AL205" s="1" t="s">
        <v>2488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1619</v>
      </c>
      <c r="AS205" s="1">
        <v>0</v>
      </c>
      <c r="AT205" s="1" t="s">
        <v>1891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2489</v>
      </c>
      <c r="C206" s="1" t="s">
        <v>2490</v>
      </c>
      <c r="D206" s="1">
        <v>5</v>
      </c>
      <c r="E206" s="1">
        <v>1</v>
      </c>
      <c r="F206" s="1">
        <v>18</v>
      </c>
      <c r="G206" s="1" t="s">
        <v>333</v>
      </c>
      <c r="H206" s="1" t="s">
        <v>330</v>
      </c>
      <c r="I206" s="1" t="s">
        <v>343</v>
      </c>
      <c r="J206" s="1" t="s">
        <v>330</v>
      </c>
      <c r="K206" s="1" t="s">
        <v>330</v>
      </c>
      <c r="L206" s="1" t="s">
        <v>330</v>
      </c>
      <c r="M206" s="1" t="s">
        <v>330</v>
      </c>
      <c r="N206" s="1" t="s">
        <v>330</v>
      </c>
      <c r="O206" s="1" t="s">
        <v>330</v>
      </c>
      <c r="P206" s="1" t="s">
        <v>330</v>
      </c>
      <c r="Q206" s="1" t="s">
        <v>330</v>
      </c>
      <c r="R206" s="1" t="s">
        <v>330</v>
      </c>
      <c r="S206" s="1" t="s">
        <v>330</v>
      </c>
      <c r="T206" s="1" t="s">
        <v>330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1737</v>
      </c>
      <c r="AH206" s="1">
        <v>2820</v>
      </c>
      <c r="AI206" s="1" t="s">
        <v>2491</v>
      </c>
      <c r="AJ206" s="1">
        <v>0</v>
      </c>
      <c r="AK206" s="1" t="s">
        <v>516</v>
      </c>
      <c r="AL206" s="1" t="s">
        <v>2492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1617</v>
      </c>
      <c r="AS206" s="1">
        <v>0</v>
      </c>
      <c r="AT206" s="1" t="s">
        <v>2493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2494</v>
      </c>
      <c r="C207" s="1" t="s">
        <v>2495</v>
      </c>
      <c r="D207" s="1">
        <v>5</v>
      </c>
      <c r="E207" s="1">
        <v>1</v>
      </c>
      <c r="F207" s="1">
        <v>18</v>
      </c>
      <c r="G207" s="1" t="s">
        <v>330</v>
      </c>
      <c r="H207" s="1" t="s">
        <v>330</v>
      </c>
      <c r="I207" s="1" t="s">
        <v>330</v>
      </c>
      <c r="J207" s="1" t="s">
        <v>330</v>
      </c>
      <c r="K207" s="1" t="s">
        <v>330</v>
      </c>
      <c r="L207" s="1" t="s">
        <v>337</v>
      </c>
      <c r="M207" s="1" t="s">
        <v>329</v>
      </c>
      <c r="N207" s="1" t="s">
        <v>330</v>
      </c>
      <c r="O207" s="1" t="s">
        <v>330</v>
      </c>
      <c r="P207" s="1" t="s">
        <v>330</v>
      </c>
      <c r="Q207" s="1" t="s">
        <v>330</v>
      </c>
      <c r="R207" s="1" t="s">
        <v>330</v>
      </c>
      <c r="S207" s="1" t="s">
        <v>330</v>
      </c>
      <c r="T207" s="1" t="s">
        <v>330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1683</v>
      </c>
      <c r="AH207" s="1">
        <v>2700</v>
      </c>
      <c r="AI207" s="1" t="s">
        <v>1928</v>
      </c>
      <c r="AJ207" s="1">
        <v>0</v>
      </c>
      <c r="AK207" s="1" t="s">
        <v>517</v>
      </c>
      <c r="AL207" s="1" t="s">
        <v>2496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1620</v>
      </c>
      <c r="AS207" s="1">
        <v>0</v>
      </c>
      <c r="AT207" s="1" t="s">
        <v>1891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2497</v>
      </c>
      <c r="C208" s="1" t="s">
        <v>2498</v>
      </c>
      <c r="D208" s="1">
        <v>5</v>
      </c>
      <c r="E208" s="1">
        <v>1</v>
      </c>
      <c r="F208" s="1">
        <v>18</v>
      </c>
      <c r="G208" s="1" t="s">
        <v>356</v>
      </c>
      <c r="H208" s="1" t="s">
        <v>330</v>
      </c>
      <c r="I208" s="1" t="s">
        <v>330</v>
      </c>
      <c r="J208" s="1" t="s">
        <v>330</v>
      </c>
      <c r="K208" s="1" t="s">
        <v>330</v>
      </c>
      <c r="L208" s="1" t="s">
        <v>330</v>
      </c>
      <c r="M208" s="1" t="s">
        <v>329</v>
      </c>
      <c r="N208" s="1" t="s">
        <v>330</v>
      </c>
      <c r="O208" s="1" t="s">
        <v>330</v>
      </c>
      <c r="P208" s="1" t="s">
        <v>330</v>
      </c>
      <c r="Q208" s="1" t="s">
        <v>330</v>
      </c>
      <c r="R208" s="1" t="s">
        <v>330</v>
      </c>
      <c r="S208" s="1" t="s">
        <v>330</v>
      </c>
      <c r="T208" s="1" t="s">
        <v>330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1928</v>
      </c>
      <c r="AJ208" s="1">
        <v>0</v>
      </c>
      <c r="AK208" s="1" t="s">
        <v>518</v>
      </c>
      <c r="AL208" s="1" t="s">
        <v>2499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1573</v>
      </c>
      <c r="AS208" s="1">
        <v>0</v>
      </c>
      <c r="AT208" s="1" t="s">
        <v>1891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2500</v>
      </c>
      <c r="C209" s="1" t="s">
        <v>2501</v>
      </c>
      <c r="D209" s="1">
        <v>5</v>
      </c>
      <c r="E209" s="1">
        <v>1</v>
      </c>
      <c r="F209" s="1">
        <v>18</v>
      </c>
      <c r="G209" s="1" t="s">
        <v>330</v>
      </c>
      <c r="H209" s="1" t="s">
        <v>330</v>
      </c>
      <c r="I209" s="1" t="s">
        <v>360</v>
      </c>
      <c r="J209" s="1" t="s">
        <v>330</v>
      </c>
      <c r="K209" s="1" t="s">
        <v>330</v>
      </c>
      <c r="L209" s="1" t="s">
        <v>330</v>
      </c>
      <c r="M209" s="1" t="s">
        <v>387</v>
      </c>
      <c r="N209" s="1" t="s">
        <v>330</v>
      </c>
      <c r="O209" s="1" t="s">
        <v>330</v>
      </c>
      <c r="P209" s="1" t="s">
        <v>330</v>
      </c>
      <c r="Q209" s="1" t="s">
        <v>330</v>
      </c>
      <c r="R209" s="1" t="s">
        <v>330</v>
      </c>
      <c r="S209" s="1" t="s">
        <v>330</v>
      </c>
      <c r="T209" s="1" t="s">
        <v>330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757</v>
      </c>
      <c r="AH209" s="1">
        <v>2820</v>
      </c>
      <c r="AI209" s="1" t="s">
        <v>2147</v>
      </c>
      <c r="AJ209" s="1">
        <v>0</v>
      </c>
      <c r="AK209" s="1" t="s">
        <v>519</v>
      </c>
      <c r="AL209" s="1" t="s">
        <v>2502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1621</v>
      </c>
      <c r="AS209" s="1">
        <v>0</v>
      </c>
      <c r="AT209" s="1" t="s">
        <v>1891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2503</v>
      </c>
      <c r="C210" s="1" t="s">
        <v>2504</v>
      </c>
      <c r="D210" s="1">
        <v>5</v>
      </c>
      <c r="E210" s="1">
        <v>2</v>
      </c>
      <c r="F210" s="1">
        <v>19</v>
      </c>
      <c r="G210" s="1" t="s">
        <v>337</v>
      </c>
      <c r="H210" s="1" t="s">
        <v>330</v>
      </c>
      <c r="I210" s="1" t="s">
        <v>330</v>
      </c>
      <c r="J210" s="1" t="s">
        <v>330</v>
      </c>
      <c r="K210" s="1" t="s">
        <v>330</v>
      </c>
      <c r="L210" s="1" t="s">
        <v>330</v>
      </c>
      <c r="M210" s="1" t="s">
        <v>330</v>
      </c>
      <c r="N210" s="1" t="s">
        <v>354</v>
      </c>
      <c r="O210" s="1" t="s">
        <v>330</v>
      </c>
      <c r="P210" s="1" t="s">
        <v>330</v>
      </c>
      <c r="Q210" s="1" t="s">
        <v>330</v>
      </c>
      <c r="R210" s="1" t="s">
        <v>330</v>
      </c>
      <c r="S210" s="1" t="s">
        <v>330</v>
      </c>
      <c r="T210" s="1" t="s">
        <v>330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1928</v>
      </c>
      <c r="AJ210" s="1">
        <v>0</v>
      </c>
      <c r="AK210" s="1" t="s">
        <v>520</v>
      </c>
      <c r="AL210" s="1" t="s">
        <v>2505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1604</v>
      </c>
      <c r="AS210" s="1">
        <v>0</v>
      </c>
      <c r="AT210" s="1" t="s">
        <v>2506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2507</v>
      </c>
      <c r="C211" s="1" t="s">
        <v>2508</v>
      </c>
      <c r="D211" s="1">
        <v>5</v>
      </c>
      <c r="E211" s="1">
        <v>2</v>
      </c>
      <c r="F211" s="1">
        <v>19</v>
      </c>
      <c r="G211" s="1" t="s">
        <v>337</v>
      </c>
      <c r="H211" s="1" t="s">
        <v>330</v>
      </c>
      <c r="I211" s="1" t="s">
        <v>330</v>
      </c>
      <c r="J211" s="1" t="s">
        <v>330</v>
      </c>
      <c r="K211" s="1" t="s">
        <v>330</v>
      </c>
      <c r="L211" s="1" t="s">
        <v>330</v>
      </c>
      <c r="M211" s="1" t="s">
        <v>330</v>
      </c>
      <c r="N211" s="1" t="s">
        <v>354</v>
      </c>
      <c r="O211" s="1" t="s">
        <v>330</v>
      </c>
      <c r="P211" s="1" t="s">
        <v>330</v>
      </c>
      <c r="Q211" s="1" t="s">
        <v>330</v>
      </c>
      <c r="R211" s="1" t="s">
        <v>330</v>
      </c>
      <c r="S211" s="1" t="s">
        <v>330</v>
      </c>
      <c r="T211" s="1" t="s">
        <v>330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838</v>
      </c>
      <c r="AH211" s="1">
        <v>3300</v>
      </c>
      <c r="AI211" s="1" t="s">
        <v>1928</v>
      </c>
      <c r="AJ211" s="1">
        <v>0</v>
      </c>
      <c r="AK211" s="1" t="s">
        <v>900</v>
      </c>
      <c r="AL211" s="1" t="s">
        <v>2509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1604</v>
      </c>
      <c r="AS211" s="1">
        <v>0</v>
      </c>
      <c r="AT211" s="1" t="s">
        <v>1891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2510</v>
      </c>
      <c r="C212" s="1" t="s">
        <v>2511</v>
      </c>
      <c r="D212" s="1">
        <v>5</v>
      </c>
      <c r="E212" s="1">
        <v>3</v>
      </c>
      <c r="F212" s="1">
        <v>20</v>
      </c>
      <c r="G212" s="1" t="s">
        <v>330</v>
      </c>
      <c r="H212" s="1" t="s">
        <v>330</v>
      </c>
      <c r="I212" s="1" t="s">
        <v>387</v>
      </c>
      <c r="J212" s="1" t="s">
        <v>330</v>
      </c>
      <c r="K212" s="1" t="s">
        <v>330</v>
      </c>
      <c r="L212" s="1" t="s">
        <v>330</v>
      </c>
      <c r="M212" s="1" t="s">
        <v>330</v>
      </c>
      <c r="N212" s="1" t="s">
        <v>330</v>
      </c>
      <c r="O212" s="1" t="s">
        <v>337</v>
      </c>
      <c r="P212" s="1" t="s">
        <v>330</v>
      </c>
      <c r="Q212" s="1" t="s">
        <v>330</v>
      </c>
      <c r="R212" s="1" t="s">
        <v>330</v>
      </c>
      <c r="S212" s="1" t="s">
        <v>330</v>
      </c>
      <c r="T212" s="1" t="s">
        <v>330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843</v>
      </c>
      <c r="AH212" s="1">
        <v>3120</v>
      </c>
      <c r="AI212" s="1" t="s">
        <v>1928</v>
      </c>
      <c r="AJ212" s="1">
        <v>0</v>
      </c>
      <c r="AK212" s="1" t="s">
        <v>901</v>
      </c>
      <c r="AL212" s="1" t="s">
        <v>2512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1532</v>
      </c>
      <c r="AS212" s="1">
        <v>902257</v>
      </c>
      <c r="AT212" s="1" t="s">
        <v>2513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2514</v>
      </c>
      <c r="C213" s="1" t="s">
        <v>2515</v>
      </c>
      <c r="D213" s="1">
        <v>5</v>
      </c>
      <c r="E213" s="1">
        <v>3</v>
      </c>
      <c r="F213" s="1">
        <v>20</v>
      </c>
      <c r="G213" s="1" t="s">
        <v>337</v>
      </c>
      <c r="H213" s="1" t="s">
        <v>330</v>
      </c>
      <c r="I213" s="1" t="s">
        <v>365</v>
      </c>
      <c r="J213" s="1" t="s">
        <v>330</v>
      </c>
      <c r="K213" s="1" t="s">
        <v>330</v>
      </c>
      <c r="L213" s="1" t="s">
        <v>330</v>
      </c>
      <c r="M213" s="1" t="s">
        <v>330</v>
      </c>
      <c r="N213" s="1" t="s">
        <v>330</v>
      </c>
      <c r="O213" s="1" t="s">
        <v>330</v>
      </c>
      <c r="P213" s="1" t="s">
        <v>330</v>
      </c>
      <c r="Q213" s="1" t="s">
        <v>330</v>
      </c>
      <c r="R213" s="1" t="s">
        <v>330</v>
      </c>
      <c r="S213" s="1" t="s">
        <v>330</v>
      </c>
      <c r="T213" s="1" t="s">
        <v>330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835</v>
      </c>
      <c r="AH213" s="1">
        <v>3600</v>
      </c>
      <c r="AI213" s="1" t="s">
        <v>1928</v>
      </c>
      <c r="AJ213" s="1">
        <v>0</v>
      </c>
      <c r="AK213" s="1" t="s">
        <v>902</v>
      </c>
      <c r="AL213" s="1" t="s">
        <v>2516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1622</v>
      </c>
      <c r="AS213" s="1">
        <v>0</v>
      </c>
      <c r="AT213" s="1" t="s">
        <v>1891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2517</v>
      </c>
      <c r="C214" s="1" t="s">
        <v>2518</v>
      </c>
      <c r="D214" s="1">
        <v>5</v>
      </c>
      <c r="E214" s="1">
        <v>2</v>
      </c>
      <c r="F214" s="1">
        <v>19</v>
      </c>
      <c r="G214" s="1" t="s">
        <v>337</v>
      </c>
      <c r="H214" s="1" t="s">
        <v>330</v>
      </c>
      <c r="I214" s="1" t="s">
        <v>330</v>
      </c>
      <c r="J214" s="1" t="s">
        <v>330</v>
      </c>
      <c r="K214" s="1" t="s">
        <v>330</v>
      </c>
      <c r="L214" s="1" t="s">
        <v>330</v>
      </c>
      <c r="M214" s="1" t="s">
        <v>330</v>
      </c>
      <c r="N214" s="1" t="s">
        <v>354</v>
      </c>
      <c r="O214" s="1" t="s">
        <v>330</v>
      </c>
      <c r="P214" s="1" t="s">
        <v>330</v>
      </c>
      <c r="Q214" s="1" t="s">
        <v>330</v>
      </c>
      <c r="R214" s="1" t="s">
        <v>330</v>
      </c>
      <c r="S214" s="1" t="s">
        <v>330</v>
      </c>
      <c r="T214" s="1" t="s">
        <v>330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842</v>
      </c>
      <c r="AH214" s="1">
        <v>3300</v>
      </c>
      <c r="AI214" s="1" t="s">
        <v>1928</v>
      </c>
      <c r="AJ214" s="1">
        <v>0</v>
      </c>
      <c r="AK214" s="1" t="s">
        <v>903</v>
      </c>
      <c r="AL214" s="1" t="s">
        <v>2519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1604</v>
      </c>
      <c r="AS214" s="1">
        <v>0</v>
      </c>
      <c r="AT214" s="1" t="s">
        <v>1891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2520</v>
      </c>
      <c r="C215" s="1" t="s">
        <v>2521</v>
      </c>
      <c r="D215" s="1">
        <v>5</v>
      </c>
      <c r="E215" s="1">
        <v>2</v>
      </c>
      <c r="F215" s="1">
        <v>19</v>
      </c>
      <c r="G215" s="1" t="s">
        <v>360</v>
      </c>
      <c r="H215" s="1" t="s">
        <v>330</v>
      </c>
      <c r="I215" s="1" t="s">
        <v>330</v>
      </c>
      <c r="J215" s="1" t="s">
        <v>330</v>
      </c>
      <c r="K215" s="1" t="s">
        <v>330</v>
      </c>
      <c r="L215" s="1" t="s">
        <v>330</v>
      </c>
      <c r="M215" s="1" t="s">
        <v>387</v>
      </c>
      <c r="N215" s="1" t="s">
        <v>330</v>
      </c>
      <c r="O215" s="1" t="s">
        <v>330</v>
      </c>
      <c r="P215" s="1" t="s">
        <v>330</v>
      </c>
      <c r="Q215" s="1" t="s">
        <v>330</v>
      </c>
      <c r="R215" s="1" t="s">
        <v>330</v>
      </c>
      <c r="S215" s="1" t="s">
        <v>330</v>
      </c>
      <c r="T215" s="1" t="s">
        <v>330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1656</v>
      </c>
      <c r="AH215" s="1">
        <v>3240</v>
      </c>
      <c r="AI215" s="1" t="s">
        <v>1928</v>
      </c>
      <c r="AJ215" s="1">
        <v>0</v>
      </c>
      <c r="AK215" s="1" t="s">
        <v>904</v>
      </c>
      <c r="AL215" s="1" t="s">
        <v>2522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1623</v>
      </c>
      <c r="AS215" s="1">
        <v>0</v>
      </c>
      <c r="AT215" s="1" t="s">
        <v>2523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2524</v>
      </c>
      <c r="C216" s="1" t="s">
        <v>2525</v>
      </c>
      <c r="D216" s="1">
        <v>5</v>
      </c>
      <c r="E216" s="1">
        <v>1</v>
      </c>
      <c r="F216" s="1">
        <v>18</v>
      </c>
      <c r="G216" s="1" t="s">
        <v>366</v>
      </c>
      <c r="H216" s="1" t="s">
        <v>330</v>
      </c>
      <c r="I216" s="1" t="s">
        <v>330</v>
      </c>
      <c r="J216" s="1" t="s">
        <v>330</v>
      </c>
      <c r="K216" s="1" t="s">
        <v>330</v>
      </c>
      <c r="L216" s="1" t="s">
        <v>330</v>
      </c>
      <c r="M216" s="1" t="s">
        <v>398</v>
      </c>
      <c r="N216" s="1" t="s">
        <v>330</v>
      </c>
      <c r="O216" s="1" t="s">
        <v>330</v>
      </c>
      <c r="P216" s="1" t="s">
        <v>330</v>
      </c>
      <c r="Q216" s="1" t="s">
        <v>330</v>
      </c>
      <c r="R216" s="1" t="s">
        <v>330</v>
      </c>
      <c r="S216" s="1" t="s">
        <v>330</v>
      </c>
      <c r="T216" s="1" t="s">
        <v>330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2526</v>
      </c>
      <c r="AJ216" s="1">
        <v>0</v>
      </c>
      <c r="AK216" s="1" t="s">
        <v>899</v>
      </c>
      <c r="AL216" s="1" t="s">
        <v>2527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1596</v>
      </c>
      <c r="AS216" s="1">
        <v>0</v>
      </c>
      <c r="AT216" s="1" t="s">
        <v>1891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2528</v>
      </c>
      <c r="C217" s="1" t="s">
        <v>2529</v>
      </c>
      <c r="D217" s="1">
        <v>5</v>
      </c>
      <c r="E217" s="1">
        <v>3</v>
      </c>
      <c r="F217" s="1">
        <v>20</v>
      </c>
      <c r="G217" s="1" t="s">
        <v>330</v>
      </c>
      <c r="H217" s="1" t="s">
        <v>330</v>
      </c>
      <c r="I217" s="1" t="s">
        <v>490</v>
      </c>
      <c r="J217" s="1" t="s">
        <v>330</v>
      </c>
      <c r="K217" s="1" t="s">
        <v>330</v>
      </c>
      <c r="L217" s="1" t="s">
        <v>330</v>
      </c>
      <c r="M217" s="1" t="s">
        <v>330</v>
      </c>
      <c r="N217" s="1" t="s">
        <v>330</v>
      </c>
      <c r="O217" s="1" t="s">
        <v>330</v>
      </c>
      <c r="P217" s="1" t="s">
        <v>330</v>
      </c>
      <c r="Q217" s="1" t="s">
        <v>330</v>
      </c>
      <c r="R217" s="1" t="s">
        <v>330</v>
      </c>
      <c r="S217" s="1" t="s">
        <v>330</v>
      </c>
      <c r="T217" s="1" t="s">
        <v>330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1928</v>
      </c>
      <c r="AJ217" s="1">
        <v>0</v>
      </c>
      <c r="AK217" s="1" t="s">
        <v>910</v>
      </c>
      <c r="AL217" s="1" t="s">
        <v>2530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1624</v>
      </c>
      <c r="AS217" s="1">
        <v>0</v>
      </c>
      <c r="AT217" s="1" t="s">
        <v>2531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2532</v>
      </c>
      <c r="C218" s="1" t="s">
        <v>2533</v>
      </c>
      <c r="D218" s="1">
        <v>5</v>
      </c>
      <c r="E218" s="1">
        <v>1</v>
      </c>
      <c r="F218" s="1">
        <v>18</v>
      </c>
      <c r="G218" s="1" t="s">
        <v>333</v>
      </c>
      <c r="H218" s="1" t="s">
        <v>330</v>
      </c>
      <c r="I218" s="1" t="s">
        <v>343</v>
      </c>
      <c r="J218" s="1" t="s">
        <v>330</v>
      </c>
      <c r="K218" s="1" t="s">
        <v>330</v>
      </c>
      <c r="L218" s="1" t="s">
        <v>330</v>
      </c>
      <c r="M218" s="1" t="s">
        <v>330</v>
      </c>
      <c r="N218" s="1" t="s">
        <v>330</v>
      </c>
      <c r="O218" s="1" t="s">
        <v>330</v>
      </c>
      <c r="P218" s="1" t="s">
        <v>330</v>
      </c>
      <c r="Q218" s="1" t="s">
        <v>330</v>
      </c>
      <c r="R218" s="1" t="s">
        <v>330</v>
      </c>
      <c r="S218" s="1" t="s">
        <v>330</v>
      </c>
      <c r="T218" s="1" t="s">
        <v>330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920</v>
      </c>
      <c r="AH218" s="1">
        <v>2820</v>
      </c>
      <c r="AI218" s="1" t="s">
        <v>1928</v>
      </c>
      <c r="AJ218" s="1">
        <v>0</v>
      </c>
      <c r="AK218" s="1" t="s">
        <v>905</v>
      </c>
      <c r="AL218" s="1" t="s">
        <v>2534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1617</v>
      </c>
      <c r="AS218" s="1">
        <v>0</v>
      </c>
      <c r="AT218" s="1" t="s">
        <v>1891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2535</v>
      </c>
      <c r="C219" s="1" t="s">
        <v>2536</v>
      </c>
      <c r="D219" s="1">
        <v>5</v>
      </c>
      <c r="E219" s="1">
        <v>1</v>
      </c>
      <c r="F219" s="1">
        <v>18</v>
      </c>
      <c r="G219" s="1" t="s">
        <v>330</v>
      </c>
      <c r="H219" s="1" t="s">
        <v>363</v>
      </c>
      <c r="I219" s="1" t="s">
        <v>330</v>
      </c>
      <c r="J219" s="1" t="s">
        <v>330</v>
      </c>
      <c r="K219" s="1" t="s">
        <v>330</v>
      </c>
      <c r="L219" s="1" t="s">
        <v>337</v>
      </c>
      <c r="M219" s="1" t="s">
        <v>394</v>
      </c>
      <c r="N219" s="1" t="s">
        <v>330</v>
      </c>
      <c r="O219" s="1" t="s">
        <v>330</v>
      </c>
      <c r="P219" s="1" t="s">
        <v>330</v>
      </c>
      <c r="Q219" s="1" t="s">
        <v>330</v>
      </c>
      <c r="R219" s="1" t="s">
        <v>330</v>
      </c>
      <c r="S219" s="1" t="s">
        <v>330</v>
      </c>
      <c r="T219" s="1" t="s">
        <v>330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1928</v>
      </c>
      <c r="AJ219" s="1">
        <v>0</v>
      </c>
      <c r="AK219" s="1" t="s">
        <v>911</v>
      </c>
      <c r="AL219" s="1" t="s">
        <v>2537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1625</v>
      </c>
      <c r="AS219" s="1">
        <v>0</v>
      </c>
      <c r="AT219" s="1" t="s">
        <v>1891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2538</v>
      </c>
      <c r="C220" s="1" t="s">
        <v>2539</v>
      </c>
      <c r="D220" s="1">
        <v>5</v>
      </c>
      <c r="E220" s="1">
        <v>2</v>
      </c>
      <c r="F220" s="1">
        <v>19</v>
      </c>
      <c r="G220" s="1" t="s">
        <v>336</v>
      </c>
      <c r="H220" s="1" t="s">
        <v>330</v>
      </c>
      <c r="I220" s="1" t="s">
        <v>330</v>
      </c>
      <c r="J220" s="1" t="s">
        <v>330</v>
      </c>
      <c r="K220" s="1" t="s">
        <v>330</v>
      </c>
      <c r="L220" s="1" t="s">
        <v>330</v>
      </c>
      <c r="M220" s="1" t="s">
        <v>330</v>
      </c>
      <c r="N220" s="1" t="s">
        <v>354</v>
      </c>
      <c r="O220" s="1" t="s">
        <v>330</v>
      </c>
      <c r="P220" s="1" t="s">
        <v>330</v>
      </c>
      <c r="Q220" s="1" t="s">
        <v>330</v>
      </c>
      <c r="R220" s="1" t="s">
        <v>330</v>
      </c>
      <c r="S220" s="1" t="s">
        <v>330</v>
      </c>
      <c r="T220" s="1" t="s">
        <v>330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2003</v>
      </c>
      <c r="AJ220" s="1">
        <v>0</v>
      </c>
      <c r="AK220" s="1" t="s">
        <v>950</v>
      </c>
      <c r="AL220" s="1" t="s">
        <v>2540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1626</v>
      </c>
      <c r="AS220" s="1">
        <v>0</v>
      </c>
      <c r="AT220" s="1" t="s">
        <v>1891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2541</v>
      </c>
      <c r="C221" s="1" t="s">
        <v>2542</v>
      </c>
      <c r="D221" s="1">
        <v>3</v>
      </c>
      <c r="E221" s="1">
        <v>1</v>
      </c>
      <c r="F221" s="1">
        <v>16</v>
      </c>
      <c r="G221" s="1" t="s">
        <v>330</v>
      </c>
      <c r="H221" s="1" t="s">
        <v>337</v>
      </c>
      <c r="I221" s="1" t="s">
        <v>330</v>
      </c>
      <c r="J221" s="1" t="s">
        <v>330</v>
      </c>
      <c r="K221" s="1" t="s">
        <v>330</v>
      </c>
      <c r="L221" s="1" t="s">
        <v>330</v>
      </c>
      <c r="M221" s="1" t="s">
        <v>326</v>
      </c>
      <c r="N221" s="1" t="s">
        <v>330</v>
      </c>
      <c r="O221" s="1" t="s">
        <v>330</v>
      </c>
      <c r="P221" s="1" t="s">
        <v>330</v>
      </c>
      <c r="Q221" s="1" t="s">
        <v>330</v>
      </c>
      <c r="R221" s="1" t="s">
        <v>330</v>
      </c>
      <c r="S221" s="1" t="s">
        <v>330</v>
      </c>
      <c r="T221" s="1" t="s">
        <v>330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939</v>
      </c>
      <c r="AH221" s="1">
        <v>2040</v>
      </c>
      <c r="AI221" s="1" t="s">
        <v>2208</v>
      </c>
      <c r="AJ221" s="1">
        <v>0</v>
      </c>
      <c r="AK221" s="1" t="s">
        <v>330</v>
      </c>
      <c r="AL221" s="1" t="s">
        <v>2543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1627</v>
      </c>
      <c r="AS221" s="1">
        <v>0</v>
      </c>
      <c r="AT221" s="1" t="s">
        <v>1891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2544</v>
      </c>
      <c r="C222" s="1" t="s">
        <v>2545</v>
      </c>
      <c r="D222" s="1">
        <v>4</v>
      </c>
      <c r="E222" s="1">
        <v>1</v>
      </c>
      <c r="F222" s="1">
        <v>16</v>
      </c>
      <c r="G222" s="1" t="s">
        <v>330</v>
      </c>
      <c r="H222" s="1" t="s">
        <v>442</v>
      </c>
      <c r="I222" s="1" t="s">
        <v>330</v>
      </c>
      <c r="J222" s="1" t="s">
        <v>330</v>
      </c>
      <c r="K222" s="1" t="s">
        <v>330</v>
      </c>
      <c r="L222" s="1" t="s">
        <v>330</v>
      </c>
      <c r="M222" s="1" t="s">
        <v>327</v>
      </c>
      <c r="N222" s="1" t="s">
        <v>330</v>
      </c>
      <c r="O222" s="1" t="s">
        <v>330</v>
      </c>
      <c r="P222" s="1" t="s">
        <v>330</v>
      </c>
      <c r="Q222" s="1" t="s">
        <v>330</v>
      </c>
      <c r="R222" s="1" t="s">
        <v>330</v>
      </c>
      <c r="S222" s="1" t="s">
        <v>330</v>
      </c>
      <c r="T222" s="1" t="s">
        <v>330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940</v>
      </c>
      <c r="AH222" s="1">
        <v>2940</v>
      </c>
      <c r="AI222" s="1" t="s">
        <v>2208</v>
      </c>
      <c r="AJ222" s="1">
        <v>0</v>
      </c>
      <c r="AK222" s="1" t="s">
        <v>330</v>
      </c>
      <c r="AL222" s="1" t="s">
        <v>2546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1628</v>
      </c>
      <c r="AS222" s="1">
        <v>0</v>
      </c>
      <c r="AT222" s="1" t="s">
        <v>1891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2547</v>
      </c>
      <c r="C223" s="1" t="s">
        <v>2548</v>
      </c>
      <c r="D223" s="1">
        <v>5</v>
      </c>
      <c r="E223" s="1">
        <v>1</v>
      </c>
      <c r="F223" s="1">
        <v>16</v>
      </c>
      <c r="G223" s="1" t="s">
        <v>330</v>
      </c>
      <c r="H223" s="1" t="s">
        <v>361</v>
      </c>
      <c r="I223" s="1" t="s">
        <v>330</v>
      </c>
      <c r="J223" s="1" t="s">
        <v>330</v>
      </c>
      <c r="K223" s="1" t="s">
        <v>330</v>
      </c>
      <c r="L223" s="1" t="s">
        <v>330</v>
      </c>
      <c r="M223" s="1" t="s">
        <v>912</v>
      </c>
      <c r="N223" s="1" t="s">
        <v>330</v>
      </c>
      <c r="O223" s="1" t="s">
        <v>330</v>
      </c>
      <c r="P223" s="1" t="s">
        <v>330</v>
      </c>
      <c r="Q223" s="1" t="s">
        <v>330</v>
      </c>
      <c r="R223" s="1" t="s">
        <v>330</v>
      </c>
      <c r="S223" s="1" t="s">
        <v>330</v>
      </c>
      <c r="T223" s="1" t="s">
        <v>330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941</v>
      </c>
      <c r="AH223" s="1">
        <v>3540</v>
      </c>
      <c r="AI223" s="1" t="s">
        <v>2208</v>
      </c>
      <c r="AJ223" s="1">
        <v>0</v>
      </c>
      <c r="AK223" s="1" t="s">
        <v>330</v>
      </c>
      <c r="AL223" s="1" t="s">
        <v>2549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1629</v>
      </c>
      <c r="AS223" s="1">
        <v>0</v>
      </c>
      <c r="AT223" s="1" t="s">
        <v>1891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2550</v>
      </c>
      <c r="C224" s="1" t="s">
        <v>2551</v>
      </c>
      <c r="D224" s="1">
        <v>5</v>
      </c>
      <c r="E224" s="1">
        <v>2</v>
      </c>
      <c r="F224" s="1">
        <v>6</v>
      </c>
      <c r="G224" s="1" t="s">
        <v>330</v>
      </c>
      <c r="H224" s="1" t="s">
        <v>330</v>
      </c>
      <c r="I224" s="1" t="s">
        <v>330</v>
      </c>
      <c r="J224" s="1" t="s">
        <v>330</v>
      </c>
      <c r="K224" s="1" t="s">
        <v>378</v>
      </c>
      <c r="L224" s="1" t="s">
        <v>330</v>
      </c>
      <c r="M224" s="1" t="s">
        <v>330</v>
      </c>
      <c r="N224" s="1" t="s">
        <v>330</v>
      </c>
      <c r="O224" s="1" t="s">
        <v>330</v>
      </c>
      <c r="P224" s="1" t="s">
        <v>330</v>
      </c>
      <c r="Q224" s="1" t="s">
        <v>330</v>
      </c>
      <c r="R224" s="1" t="s">
        <v>330</v>
      </c>
      <c r="S224" s="1" t="s">
        <v>330</v>
      </c>
      <c r="T224" s="1" t="s">
        <v>330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931</v>
      </c>
      <c r="AH224" s="1">
        <v>3420</v>
      </c>
      <c r="AI224" s="1" t="s">
        <v>1928</v>
      </c>
      <c r="AJ224" s="1">
        <v>0</v>
      </c>
      <c r="AK224" s="1" t="s">
        <v>330</v>
      </c>
      <c r="AL224" s="1" t="s">
        <v>2552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330</v>
      </c>
      <c r="AS224" s="1">
        <v>0</v>
      </c>
      <c r="AT224" s="1" t="s">
        <v>2553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2554</v>
      </c>
      <c r="C225" s="1" t="s">
        <v>2555</v>
      </c>
      <c r="D225" s="1">
        <v>4</v>
      </c>
      <c r="E225" s="1">
        <v>2</v>
      </c>
      <c r="F225" s="1">
        <v>5</v>
      </c>
      <c r="G225" s="1" t="s">
        <v>472</v>
      </c>
      <c r="H225" s="1" t="s">
        <v>330</v>
      </c>
      <c r="I225" s="1" t="s">
        <v>330</v>
      </c>
      <c r="J225" s="1" t="s">
        <v>330</v>
      </c>
      <c r="K225" s="1" t="s">
        <v>330</v>
      </c>
      <c r="L225" s="1" t="s">
        <v>330</v>
      </c>
      <c r="M225" s="1" t="s">
        <v>330</v>
      </c>
      <c r="N225" s="1" t="s">
        <v>913</v>
      </c>
      <c r="O225" s="1" t="s">
        <v>330</v>
      </c>
      <c r="P225" s="1" t="s">
        <v>330</v>
      </c>
      <c r="Q225" s="1" t="s">
        <v>330</v>
      </c>
      <c r="R225" s="1" t="s">
        <v>330</v>
      </c>
      <c r="S225" s="1" t="s">
        <v>330</v>
      </c>
      <c r="T225" s="1" t="s">
        <v>330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930</v>
      </c>
      <c r="AH225" s="1">
        <v>2400</v>
      </c>
      <c r="AI225" s="1" t="s">
        <v>1928</v>
      </c>
      <c r="AJ225" s="1">
        <v>0</v>
      </c>
      <c r="AK225" s="1" t="s">
        <v>330</v>
      </c>
      <c r="AL225" s="1" t="s">
        <v>2556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1630</v>
      </c>
      <c r="AS225" s="1">
        <v>0</v>
      </c>
      <c r="AT225" s="1" t="s">
        <v>1891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2557</v>
      </c>
      <c r="C226" s="1" t="s">
        <v>2558</v>
      </c>
      <c r="D226" s="1">
        <v>5</v>
      </c>
      <c r="E226" s="1">
        <v>2</v>
      </c>
      <c r="F226" s="1">
        <v>5</v>
      </c>
      <c r="G226" s="1" t="s">
        <v>360</v>
      </c>
      <c r="H226" s="1" t="s">
        <v>330</v>
      </c>
      <c r="I226" s="1" t="s">
        <v>330</v>
      </c>
      <c r="J226" s="1" t="s">
        <v>330</v>
      </c>
      <c r="K226" s="1" t="s">
        <v>330</v>
      </c>
      <c r="L226" s="1" t="s">
        <v>330</v>
      </c>
      <c r="M226" s="1" t="s">
        <v>330</v>
      </c>
      <c r="N226" s="1" t="s">
        <v>914</v>
      </c>
      <c r="O226" s="1" t="s">
        <v>330</v>
      </c>
      <c r="P226" s="1" t="s">
        <v>330</v>
      </c>
      <c r="Q226" s="1" t="s">
        <v>330</v>
      </c>
      <c r="R226" s="1" t="s">
        <v>330</v>
      </c>
      <c r="S226" s="1" t="s">
        <v>330</v>
      </c>
      <c r="T226" s="1" t="s">
        <v>330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929</v>
      </c>
      <c r="AH226" s="1">
        <v>3000</v>
      </c>
      <c r="AI226" s="1" t="s">
        <v>1928</v>
      </c>
      <c r="AJ226" s="1">
        <v>0</v>
      </c>
      <c r="AK226" s="1" t="s">
        <v>330</v>
      </c>
      <c r="AL226" s="1" t="s">
        <v>2559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1631</v>
      </c>
      <c r="AS226" s="1">
        <v>0</v>
      </c>
      <c r="AT226" s="1" t="s">
        <v>1891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2560</v>
      </c>
      <c r="C227" s="1" t="s">
        <v>2561</v>
      </c>
      <c r="D227" s="1">
        <v>4</v>
      </c>
      <c r="E227" s="1">
        <v>2</v>
      </c>
      <c r="F227" s="1">
        <v>17</v>
      </c>
      <c r="G227" s="1" t="s">
        <v>330</v>
      </c>
      <c r="H227" s="1" t="s">
        <v>330</v>
      </c>
      <c r="I227" s="1" t="s">
        <v>330</v>
      </c>
      <c r="J227" s="1" t="s">
        <v>330</v>
      </c>
      <c r="K227" s="1" t="s">
        <v>915</v>
      </c>
      <c r="L227" s="1" t="s">
        <v>330</v>
      </c>
      <c r="M227" s="1" t="s">
        <v>330</v>
      </c>
      <c r="N227" s="1" t="s">
        <v>916</v>
      </c>
      <c r="O227" s="1" t="s">
        <v>330</v>
      </c>
      <c r="P227" s="1" t="s">
        <v>330</v>
      </c>
      <c r="Q227" s="1" t="s">
        <v>330</v>
      </c>
      <c r="R227" s="1" t="s">
        <v>330</v>
      </c>
      <c r="S227" s="1" t="s">
        <v>330</v>
      </c>
      <c r="T227" s="1" t="s">
        <v>330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928</v>
      </c>
      <c r="AH227" s="1">
        <v>2880</v>
      </c>
      <c r="AI227" s="1" t="s">
        <v>1928</v>
      </c>
      <c r="AJ227" s="1">
        <v>0</v>
      </c>
      <c r="AK227" s="1" t="s">
        <v>330</v>
      </c>
      <c r="AL227" s="1" t="s">
        <v>2562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1632</v>
      </c>
      <c r="AS227" s="1">
        <v>0</v>
      </c>
      <c r="AT227" s="1" t="s">
        <v>1891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2563</v>
      </c>
      <c r="C228" s="1" t="s">
        <v>2564</v>
      </c>
      <c r="D228" s="1">
        <v>5</v>
      </c>
      <c r="E228" s="1">
        <v>2</v>
      </c>
      <c r="F228" s="1">
        <v>17</v>
      </c>
      <c r="G228" s="1" t="s">
        <v>330</v>
      </c>
      <c r="H228" s="1" t="s">
        <v>330</v>
      </c>
      <c r="I228" s="1" t="s">
        <v>330</v>
      </c>
      <c r="J228" s="1" t="s">
        <v>330</v>
      </c>
      <c r="K228" s="1" t="s">
        <v>915</v>
      </c>
      <c r="L228" s="1" t="s">
        <v>330</v>
      </c>
      <c r="M228" s="1" t="s">
        <v>330</v>
      </c>
      <c r="N228" s="1" t="s">
        <v>917</v>
      </c>
      <c r="O228" s="1" t="s">
        <v>330</v>
      </c>
      <c r="P228" s="1" t="s">
        <v>330</v>
      </c>
      <c r="Q228" s="1" t="s">
        <v>330</v>
      </c>
      <c r="R228" s="1" t="s">
        <v>330</v>
      </c>
      <c r="S228" s="1" t="s">
        <v>330</v>
      </c>
      <c r="T228" s="1" t="s">
        <v>330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927</v>
      </c>
      <c r="AH228" s="1">
        <v>3480</v>
      </c>
      <c r="AI228" s="1" t="s">
        <v>1928</v>
      </c>
      <c r="AJ228" s="1">
        <v>0</v>
      </c>
      <c r="AK228" s="1" t="s">
        <v>330</v>
      </c>
      <c r="AL228" s="1" t="s">
        <v>2565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1632</v>
      </c>
      <c r="AS228" s="1">
        <v>0</v>
      </c>
      <c r="AT228" s="1" t="s">
        <v>1891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2566</v>
      </c>
      <c r="C229" s="1" t="s">
        <v>2567</v>
      </c>
      <c r="D229" s="1">
        <v>4</v>
      </c>
      <c r="E229" s="1">
        <v>2</v>
      </c>
      <c r="F229" s="1">
        <v>7</v>
      </c>
      <c r="G229" s="1" t="s">
        <v>330</v>
      </c>
      <c r="H229" s="1" t="s">
        <v>330</v>
      </c>
      <c r="I229" s="1" t="s">
        <v>330</v>
      </c>
      <c r="J229" s="1" t="s">
        <v>330</v>
      </c>
      <c r="K229" s="1" t="s">
        <v>356</v>
      </c>
      <c r="L229" s="1" t="s">
        <v>909</v>
      </c>
      <c r="M229" s="1" t="s">
        <v>330</v>
      </c>
      <c r="N229" s="1" t="s">
        <v>330</v>
      </c>
      <c r="O229" s="1" t="s">
        <v>330</v>
      </c>
      <c r="P229" s="1" t="s">
        <v>330</v>
      </c>
      <c r="Q229" s="1" t="s">
        <v>330</v>
      </c>
      <c r="R229" s="1" t="s">
        <v>330</v>
      </c>
      <c r="S229" s="1" t="s">
        <v>330</v>
      </c>
      <c r="T229" s="1" t="s">
        <v>330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926</v>
      </c>
      <c r="AH229" s="1">
        <v>2700</v>
      </c>
      <c r="AI229" s="1" t="s">
        <v>1928</v>
      </c>
      <c r="AJ229" s="1">
        <v>0</v>
      </c>
      <c r="AK229" s="1" t="s">
        <v>330</v>
      </c>
      <c r="AL229" s="1" t="s">
        <v>2568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1633</v>
      </c>
      <c r="AS229" s="1">
        <v>300901</v>
      </c>
      <c r="AT229" s="1" t="s">
        <v>1891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2569</v>
      </c>
      <c r="C230" s="1" t="s">
        <v>2570</v>
      </c>
      <c r="D230" s="1">
        <v>5</v>
      </c>
      <c r="E230" s="1">
        <v>2</v>
      </c>
      <c r="F230" s="1">
        <v>7</v>
      </c>
      <c r="G230" s="1" t="s">
        <v>330</v>
      </c>
      <c r="H230" s="1" t="s">
        <v>330</v>
      </c>
      <c r="I230" s="1" t="s">
        <v>330</v>
      </c>
      <c r="J230" s="1" t="s">
        <v>330</v>
      </c>
      <c r="K230" s="1" t="s">
        <v>360</v>
      </c>
      <c r="L230" s="1" t="s">
        <v>908</v>
      </c>
      <c r="M230" s="1" t="s">
        <v>330</v>
      </c>
      <c r="N230" s="1" t="s">
        <v>330</v>
      </c>
      <c r="O230" s="1" t="s">
        <v>330</v>
      </c>
      <c r="P230" s="1" t="s">
        <v>330</v>
      </c>
      <c r="Q230" s="1" t="s">
        <v>330</v>
      </c>
      <c r="R230" s="1" t="s">
        <v>330</v>
      </c>
      <c r="S230" s="1" t="s">
        <v>330</v>
      </c>
      <c r="T230" s="1" t="s">
        <v>330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925</v>
      </c>
      <c r="AH230" s="1">
        <v>3300</v>
      </c>
      <c r="AI230" s="1" t="s">
        <v>1928</v>
      </c>
      <c r="AJ230" s="1">
        <v>0</v>
      </c>
      <c r="AK230" s="1" t="s">
        <v>330</v>
      </c>
      <c r="AL230" s="1" t="s">
        <v>2571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1633</v>
      </c>
      <c r="AS230" s="1">
        <v>300901</v>
      </c>
      <c r="AT230" s="1" t="s">
        <v>1891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2572</v>
      </c>
      <c r="C231" s="1" t="s">
        <v>2573</v>
      </c>
      <c r="D231" s="1">
        <v>3</v>
      </c>
      <c r="E231" s="1">
        <v>3</v>
      </c>
      <c r="F231" s="1">
        <v>9</v>
      </c>
      <c r="G231" s="1" t="s">
        <v>472</v>
      </c>
      <c r="H231" s="1" t="s">
        <v>330</v>
      </c>
      <c r="I231" s="1" t="s">
        <v>330</v>
      </c>
      <c r="J231" s="1" t="s">
        <v>330</v>
      </c>
      <c r="K231" s="1" t="s">
        <v>337</v>
      </c>
      <c r="L231" s="1" t="s">
        <v>918</v>
      </c>
      <c r="M231" s="1" t="s">
        <v>330</v>
      </c>
      <c r="N231" s="1" t="s">
        <v>330</v>
      </c>
      <c r="O231" s="1" t="s">
        <v>330</v>
      </c>
      <c r="P231" s="1" t="s">
        <v>330</v>
      </c>
      <c r="Q231" s="1" t="s">
        <v>330</v>
      </c>
      <c r="R231" s="1" t="s">
        <v>330</v>
      </c>
      <c r="S231" s="1" t="s">
        <v>330</v>
      </c>
      <c r="T231" s="1" t="s">
        <v>330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924</v>
      </c>
      <c r="AH231" s="1">
        <v>1560</v>
      </c>
      <c r="AI231" s="1" t="s">
        <v>1928</v>
      </c>
      <c r="AJ231" s="1">
        <v>0</v>
      </c>
      <c r="AK231" s="1" t="s">
        <v>330</v>
      </c>
      <c r="AL231" s="1" t="s">
        <v>2574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1634</v>
      </c>
      <c r="AS231" s="1">
        <v>0</v>
      </c>
      <c r="AT231" s="1" t="s">
        <v>1891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2575</v>
      </c>
      <c r="C232" s="1" t="s">
        <v>2576</v>
      </c>
      <c r="D232" s="1">
        <v>4</v>
      </c>
      <c r="E232" s="1">
        <v>3</v>
      </c>
      <c r="F232" s="1">
        <v>9</v>
      </c>
      <c r="G232" s="1" t="s">
        <v>339</v>
      </c>
      <c r="H232" s="1" t="s">
        <v>330</v>
      </c>
      <c r="I232" s="1" t="s">
        <v>330</v>
      </c>
      <c r="J232" s="1" t="s">
        <v>330</v>
      </c>
      <c r="K232" s="1" t="s">
        <v>404</v>
      </c>
      <c r="L232" s="1" t="s">
        <v>918</v>
      </c>
      <c r="M232" s="1" t="s">
        <v>330</v>
      </c>
      <c r="N232" s="1" t="s">
        <v>330</v>
      </c>
      <c r="O232" s="1" t="s">
        <v>330</v>
      </c>
      <c r="P232" s="1" t="s">
        <v>330</v>
      </c>
      <c r="Q232" s="1" t="s">
        <v>330</v>
      </c>
      <c r="R232" s="1" t="s">
        <v>330</v>
      </c>
      <c r="S232" s="1" t="s">
        <v>330</v>
      </c>
      <c r="T232" s="1" t="s">
        <v>330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923</v>
      </c>
      <c r="AH232" s="1">
        <v>2460</v>
      </c>
      <c r="AI232" s="1" t="s">
        <v>1928</v>
      </c>
      <c r="AJ232" s="1">
        <v>0</v>
      </c>
      <c r="AK232" s="1" t="s">
        <v>330</v>
      </c>
      <c r="AL232" s="1" t="s">
        <v>2577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1634</v>
      </c>
      <c r="AS232" s="1">
        <v>0</v>
      </c>
      <c r="AT232" s="1" t="s">
        <v>1891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2578</v>
      </c>
      <c r="C233" s="1" t="s">
        <v>2579</v>
      </c>
      <c r="D233" s="1">
        <v>5</v>
      </c>
      <c r="E233" s="1">
        <v>3</v>
      </c>
      <c r="F233" s="1">
        <v>9</v>
      </c>
      <c r="G233" s="1" t="s">
        <v>404</v>
      </c>
      <c r="H233" s="1" t="s">
        <v>330</v>
      </c>
      <c r="I233" s="1" t="s">
        <v>330</v>
      </c>
      <c r="J233" s="1" t="s">
        <v>330</v>
      </c>
      <c r="K233" s="1" t="s">
        <v>377</v>
      </c>
      <c r="L233" s="1" t="s">
        <v>918</v>
      </c>
      <c r="M233" s="1" t="s">
        <v>330</v>
      </c>
      <c r="N233" s="1" t="s">
        <v>330</v>
      </c>
      <c r="O233" s="1" t="s">
        <v>330</v>
      </c>
      <c r="P233" s="1" t="s">
        <v>330</v>
      </c>
      <c r="Q233" s="1" t="s">
        <v>330</v>
      </c>
      <c r="R233" s="1" t="s">
        <v>330</v>
      </c>
      <c r="S233" s="1" t="s">
        <v>330</v>
      </c>
      <c r="T233" s="1" t="s">
        <v>330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922</v>
      </c>
      <c r="AH233" s="1">
        <v>3060</v>
      </c>
      <c r="AI233" s="1" t="s">
        <v>1928</v>
      </c>
      <c r="AJ233" s="1">
        <v>0</v>
      </c>
      <c r="AK233" s="1" t="s">
        <v>330</v>
      </c>
      <c r="AL233" s="1" t="s">
        <v>2580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1635</v>
      </c>
      <c r="AS233" s="1">
        <v>0</v>
      </c>
      <c r="AT233" s="1" t="s">
        <v>1891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2581</v>
      </c>
      <c r="C234" s="1" t="s">
        <v>2582</v>
      </c>
      <c r="D234" s="1">
        <v>5</v>
      </c>
      <c r="E234" s="1">
        <v>2</v>
      </c>
      <c r="F234" s="1">
        <v>7</v>
      </c>
      <c r="G234" s="1" t="s">
        <v>330</v>
      </c>
      <c r="H234" s="1" t="s">
        <v>358</v>
      </c>
      <c r="I234" s="1" t="s">
        <v>330</v>
      </c>
      <c r="J234" s="1" t="s">
        <v>330</v>
      </c>
      <c r="K234" s="1" t="s">
        <v>330</v>
      </c>
      <c r="L234" s="1" t="s">
        <v>330</v>
      </c>
      <c r="M234" s="1" t="s">
        <v>330</v>
      </c>
      <c r="N234" s="1" t="s">
        <v>330</v>
      </c>
      <c r="O234" s="1" t="s">
        <v>330</v>
      </c>
      <c r="P234" s="1" t="s">
        <v>330</v>
      </c>
      <c r="Q234" s="1" t="s">
        <v>330</v>
      </c>
      <c r="R234" s="1" t="s">
        <v>330</v>
      </c>
      <c r="S234" s="1" t="s">
        <v>330</v>
      </c>
      <c r="T234" s="1" t="s">
        <v>330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921</v>
      </c>
      <c r="AH234" s="1">
        <v>3420</v>
      </c>
      <c r="AI234" s="1" t="s">
        <v>1928</v>
      </c>
      <c r="AJ234" s="1">
        <v>0</v>
      </c>
      <c r="AK234" s="1" t="s">
        <v>330</v>
      </c>
      <c r="AL234" s="1" t="s">
        <v>2583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1545</v>
      </c>
      <c r="AS234" s="1">
        <v>0</v>
      </c>
      <c r="AT234" s="1" t="s">
        <v>2584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2585</v>
      </c>
      <c r="C235" s="1" t="s">
        <v>2586</v>
      </c>
      <c r="D235" s="1">
        <v>5</v>
      </c>
      <c r="E235" s="1">
        <v>3</v>
      </c>
      <c r="F235" s="1">
        <v>20</v>
      </c>
      <c r="G235" s="1" t="s">
        <v>1659</v>
      </c>
      <c r="H235" s="1" t="s">
        <v>330</v>
      </c>
      <c r="I235" s="1" t="s">
        <v>365</v>
      </c>
      <c r="J235" s="1" t="s">
        <v>330</v>
      </c>
      <c r="K235" s="1" t="s">
        <v>330</v>
      </c>
      <c r="L235" s="1" t="s">
        <v>330</v>
      </c>
      <c r="M235" s="1" t="s">
        <v>330</v>
      </c>
      <c r="N235" s="1" t="s">
        <v>330</v>
      </c>
      <c r="O235" s="1" t="s">
        <v>330</v>
      </c>
      <c r="P235" s="1" t="s">
        <v>330</v>
      </c>
      <c r="Q235" s="1" t="s">
        <v>330</v>
      </c>
      <c r="R235" s="1" t="s">
        <v>330</v>
      </c>
      <c r="S235" s="1" t="s">
        <v>330</v>
      </c>
      <c r="T235" s="1" t="s">
        <v>330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2587</v>
      </c>
      <c r="AJ235" s="1">
        <v>0</v>
      </c>
      <c r="AK235" s="1" t="s">
        <v>919</v>
      </c>
      <c r="AL235" s="1" t="s">
        <v>2588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1636</v>
      </c>
      <c r="AS235" s="1">
        <v>116202</v>
      </c>
      <c r="AT235" s="1" t="s">
        <v>2589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2590</v>
      </c>
      <c r="C236" s="1" t="s">
        <v>2591</v>
      </c>
      <c r="D236" s="1">
        <v>5</v>
      </c>
      <c r="E236" s="1">
        <v>3</v>
      </c>
      <c r="F236" s="1">
        <v>20</v>
      </c>
      <c r="G236" s="1" t="s">
        <v>330</v>
      </c>
      <c r="H236" s="1" t="s">
        <v>330</v>
      </c>
      <c r="I236" s="1" t="s">
        <v>951</v>
      </c>
      <c r="J236" s="1" t="s">
        <v>366</v>
      </c>
      <c r="K236" s="1" t="s">
        <v>330</v>
      </c>
      <c r="L236" s="1" t="s">
        <v>330</v>
      </c>
      <c r="M236" s="1" t="s">
        <v>330</v>
      </c>
      <c r="N236" s="1" t="s">
        <v>330</v>
      </c>
      <c r="O236" s="1" t="s">
        <v>330</v>
      </c>
      <c r="P236" s="1" t="s">
        <v>330</v>
      </c>
      <c r="Q236" s="1" t="s">
        <v>330</v>
      </c>
      <c r="R236" s="1" t="s">
        <v>330</v>
      </c>
      <c r="S236" s="1" t="s">
        <v>330</v>
      </c>
      <c r="T236" s="1" t="s">
        <v>330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1928</v>
      </c>
      <c r="AJ236" s="1">
        <v>0</v>
      </c>
      <c r="AK236" s="1" t="s">
        <v>952</v>
      </c>
      <c r="AL236" s="1" t="s">
        <v>2592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1624</v>
      </c>
      <c r="AS236" s="1">
        <v>0</v>
      </c>
      <c r="AT236" s="1" t="s">
        <v>2593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2594</v>
      </c>
      <c r="C237" s="1" t="s">
        <v>2595</v>
      </c>
      <c r="D237" s="1">
        <v>5</v>
      </c>
      <c r="E237" s="1">
        <v>2</v>
      </c>
      <c r="F237" s="1">
        <v>19</v>
      </c>
      <c r="G237" s="1" t="s">
        <v>326</v>
      </c>
      <c r="H237" s="1" t="s">
        <v>330</v>
      </c>
      <c r="I237" s="1" t="s">
        <v>330</v>
      </c>
      <c r="J237" s="1" t="s">
        <v>330</v>
      </c>
      <c r="K237" s="1" t="s">
        <v>330</v>
      </c>
      <c r="L237" s="1" t="s">
        <v>330</v>
      </c>
      <c r="M237" s="1" t="s">
        <v>330</v>
      </c>
      <c r="N237" s="1" t="s">
        <v>330</v>
      </c>
      <c r="O237" s="1" t="s">
        <v>330</v>
      </c>
      <c r="P237" s="1" t="s">
        <v>330</v>
      </c>
      <c r="Q237" s="1" t="s">
        <v>330</v>
      </c>
      <c r="R237" s="1" t="s">
        <v>330</v>
      </c>
      <c r="S237" s="1" t="s">
        <v>330</v>
      </c>
      <c r="T237" s="1" t="s">
        <v>330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956</v>
      </c>
      <c r="AH237" s="1">
        <v>3600</v>
      </c>
      <c r="AI237" s="1" t="s">
        <v>2596</v>
      </c>
      <c r="AJ237" s="1">
        <v>0</v>
      </c>
      <c r="AK237" s="1" t="s">
        <v>949</v>
      </c>
      <c r="AL237" s="1" t="s">
        <v>2597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1525</v>
      </c>
      <c r="AS237" s="1">
        <v>0</v>
      </c>
      <c r="AT237" s="1" t="s">
        <v>2553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2598</v>
      </c>
      <c r="C238" s="1" t="s">
        <v>2599</v>
      </c>
      <c r="D238" s="1">
        <v>5</v>
      </c>
      <c r="E238" s="1">
        <v>2</v>
      </c>
      <c r="F238" s="1">
        <v>19</v>
      </c>
      <c r="G238" s="1" t="s">
        <v>378</v>
      </c>
      <c r="H238" s="1" t="s">
        <v>330</v>
      </c>
      <c r="I238" s="1" t="s">
        <v>330</v>
      </c>
      <c r="J238" s="1" t="s">
        <v>330</v>
      </c>
      <c r="K238" s="1" t="s">
        <v>330</v>
      </c>
      <c r="L238" s="1" t="s">
        <v>330</v>
      </c>
      <c r="M238" s="1" t="s">
        <v>330</v>
      </c>
      <c r="N238" s="1" t="s">
        <v>953</v>
      </c>
      <c r="O238" s="1" t="s">
        <v>330</v>
      </c>
      <c r="P238" s="1" t="s">
        <v>330</v>
      </c>
      <c r="Q238" s="1" t="s">
        <v>330</v>
      </c>
      <c r="R238" s="1" t="s">
        <v>330</v>
      </c>
      <c r="S238" s="1" t="s">
        <v>330</v>
      </c>
      <c r="T238" s="1" t="s">
        <v>330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945</v>
      </c>
      <c r="AH238" s="1">
        <v>3300</v>
      </c>
      <c r="AI238" s="1" t="s">
        <v>2600</v>
      </c>
      <c r="AJ238" s="1">
        <v>0</v>
      </c>
      <c r="AK238" s="1" t="s">
        <v>948</v>
      </c>
      <c r="AL238" s="1" t="s">
        <v>2601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1632</v>
      </c>
      <c r="AS238" s="1">
        <v>0</v>
      </c>
      <c r="AT238" s="1" t="s">
        <v>2602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2603</v>
      </c>
      <c r="C239" s="1" t="s">
        <v>2604</v>
      </c>
      <c r="D239" s="1">
        <v>5</v>
      </c>
      <c r="E239" s="1">
        <v>3</v>
      </c>
      <c r="F239" s="1">
        <v>20</v>
      </c>
      <c r="G239" s="1" t="s">
        <v>330</v>
      </c>
      <c r="H239" s="1" t="s">
        <v>330</v>
      </c>
      <c r="I239" s="1" t="s">
        <v>330</v>
      </c>
      <c r="J239" s="1" t="s">
        <v>366</v>
      </c>
      <c r="K239" s="1" t="s">
        <v>330</v>
      </c>
      <c r="L239" s="1" t="s">
        <v>330</v>
      </c>
      <c r="M239" s="1" t="s">
        <v>330</v>
      </c>
      <c r="N239" s="1" t="s">
        <v>330</v>
      </c>
      <c r="O239" s="1" t="s">
        <v>360</v>
      </c>
      <c r="P239" s="1" t="s">
        <v>330</v>
      </c>
      <c r="Q239" s="1" t="s">
        <v>330</v>
      </c>
      <c r="R239" s="1" t="s">
        <v>330</v>
      </c>
      <c r="S239" s="1" t="s">
        <v>330</v>
      </c>
      <c r="T239" s="1" t="s">
        <v>330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946</v>
      </c>
      <c r="AH239" s="1">
        <v>3060</v>
      </c>
      <c r="AI239" s="1" t="s">
        <v>1928</v>
      </c>
      <c r="AJ239" s="1">
        <v>0</v>
      </c>
      <c r="AK239" s="1" t="s">
        <v>954</v>
      </c>
      <c r="AL239" s="1" t="s">
        <v>2605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1637</v>
      </c>
      <c r="AS239" s="1">
        <v>0</v>
      </c>
      <c r="AT239" s="1" t="s">
        <v>1891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2606</v>
      </c>
      <c r="C240" s="1" t="s">
        <v>2607</v>
      </c>
      <c r="D240" s="1">
        <v>5</v>
      </c>
      <c r="E240" s="1">
        <v>2</v>
      </c>
      <c r="F240" s="1">
        <v>19</v>
      </c>
      <c r="G240" s="1" t="s">
        <v>400</v>
      </c>
      <c r="H240" s="1" t="s">
        <v>408</v>
      </c>
      <c r="I240" s="1" t="s">
        <v>330</v>
      </c>
      <c r="J240" s="1" t="s">
        <v>330</v>
      </c>
      <c r="K240" s="1" t="s">
        <v>330</v>
      </c>
      <c r="L240" s="1" t="s">
        <v>330</v>
      </c>
      <c r="M240" s="1" t="s">
        <v>330</v>
      </c>
      <c r="N240" s="1" t="s">
        <v>354</v>
      </c>
      <c r="O240" s="1" t="s">
        <v>330</v>
      </c>
      <c r="P240" s="1" t="s">
        <v>330</v>
      </c>
      <c r="Q240" s="1" t="s">
        <v>330</v>
      </c>
      <c r="R240" s="1" t="s">
        <v>330</v>
      </c>
      <c r="S240" s="1" t="s">
        <v>330</v>
      </c>
      <c r="T240" s="1" t="s">
        <v>330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947</v>
      </c>
      <c r="AH240" s="1">
        <v>3300</v>
      </c>
      <c r="AI240" s="1" t="s">
        <v>1928</v>
      </c>
      <c r="AJ240" s="1">
        <v>0</v>
      </c>
      <c r="AK240" s="1" t="s">
        <v>955</v>
      </c>
      <c r="AL240" s="1" t="s">
        <v>2608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1638</v>
      </c>
      <c r="AS240" s="1">
        <v>0</v>
      </c>
      <c r="AT240" s="1" t="s">
        <v>1891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2609</v>
      </c>
      <c r="C241" s="1" t="s">
        <v>2610</v>
      </c>
      <c r="D241" s="1">
        <v>5</v>
      </c>
      <c r="E241" s="1">
        <v>2</v>
      </c>
      <c r="F241" s="1">
        <v>19</v>
      </c>
      <c r="G241" s="1" t="s">
        <v>333</v>
      </c>
      <c r="H241" s="1" t="s">
        <v>330</v>
      </c>
      <c r="I241" s="1" t="s">
        <v>330</v>
      </c>
      <c r="J241" s="1" t="s">
        <v>330</v>
      </c>
      <c r="K241" s="1" t="s">
        <v>330</v>
      </c>
      <c r="L241" s="1" t="s">
        <v>330</v>
      </c>
      <c r="M241" s="1" t="s">
        <v>330</v>
      </c>
      <c r="N241" s="1" t="s">
        <v>354</v>
      </c>
      <c r="O241" s="1" t="s">
        <v>330</v>
      </c>
      <c r="P241" s="1" t="s">
        <v>330</v>
      </c>
      <c r="Q241" s="1" t="s">
        <v>330</v>
      </c>
      <c r="R241" s="1" t="s">
        <v>330</v>
      </c>
      <c r="S241" s="1" t="s">
        <v>330</v>
      </c>
      <c r="T241" s="1" t="s">
        <v>330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1928</v>
      </c>
      <c r="AJ241" s="1">
        <v>0</v>
      </c>
      <c r="AK241" s="1" t="s">
        <v>1639</v>
      </c>
      <c r="AL241" s="1" t="s">
        <v>2611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1604</v>
      </c>
      <c r="AS241" s="1">
        <v>756005</v>
      </c>
      <c r="AT241" s="1" t="s">
        <v>2612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2613</v>
      </c>
      <c r="C242" s="1" t="s">
        <v>2614</v>
      </c>
      <c r="D242" s="1">
        <v>5</v>
      </c>
      <c r="E242" s="1">
        <v>1</v>
      </c>
      <c r="F242" s="1">
        <v>18</v>
      </c>
      <c r="G242" s="1" t="s">
        <v>400</v>
      </c>
      <c r="H242" s="1" t="s">
        <v>330</v>
      </c>
      <c r="I242" s="1" t="s">
        <v>330</v>
      </c>
      <c r="J242" s="1" t="s">
        <v>330</v>
      </c>
      <c r="K242" s="1" t="s">
        <v>330</v>
      </c>
      <c r="L242" s="1" t="s">
        <v>330</v>
      </c>
      <c r="M242" s="1" t="s">
        <v>329</v>
      </c>
      <c r="N242" s="1" t="s">
        <v>330</v>
      </c>
      <c r="O242" s="1" t="s">
        <v>330</v>
      </c>
      <c r="P242" s="1" t="s">
        <v>330</v>
      </c>
      <c r="Q242" s="1" t="s">
        <v>330</v>
      </c>
      <c r="R242" s="1" t="s">
        <v>330</v>
      </c>
      <c r="S242" s="1" t="s">
        <v>330</v>
      </c>
      <c r="T242" s="1" t="s">
        <v>330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1235</v>
      </c>
      <c r="AH242" s="1">
        <v>3600</v>
      </c>
      <c r="AI242" s="1" t="s">
        <v>2126</v>
      </c>
      <c r="AJ242" s="1">
        <v>0</v>
      </c>
      <c r="AK242" s="1" t="s">
        <v>1640</v>
      </c>
      <c r="AL242" s="1" t="s">
        <v>2615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1641</v>
      </c>
      <c r="AS242" s="1">
        <v>0</v>
      </c>
      <c r="AT242" s="1" t="s">
        <v>1891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2616</v>
      </c>
      <c r="C243" s="1" t="s">
        <v>2617</v>
      </c>
      <c r="D243" s="1">
        <v>5</v>
      </c>
      <c r="E243" s="1">
        <v>1</v>
      </c>
      <c r="F243" s="1">
        <v>18</v>
      </c>
      <c r="G243" s="1" t="s">
        <v>339</v>
      </c>
      <c r="H243" s="1" t="s">
        <v>340</v>
      </c>
      <c r="I243" s="1" t="s">
        <v>360</v>
      </c>
      <c r="J243" s="1" t="s">
        <v>330</v>
      </c>
      <c r="K243" s="1" t="s">
        <v>330</v>
      </c>
      <c r="L243" s="1" t="s">
        <v>330</v>
      </c>
      <c r="M243" s="1" t="s">
        <v>330</v>
      </c>
      <c r="N243" s="1" t="s">
        <v>330</v>
      </c>
      <c r="O243" s="1" t="s">
        <v>330</v>
      </c>
      <c r="P243" s="1" t="s">
        <v>330</v>
      </c>
      <c r="Q243" s="1" t="s">
        <v>330</v>
      </c>
      <c r="R243" s="1" t="s">
        <v>330</v>
      </c>
      <c r="S243" s="1" t="s">
        <v>330</v>
      </c>
      <c r="T243" s="1" t="s">
        <v>330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1185</v>
      </c>
      <c r="AH243" s="1">
        <v>3600</v>
      </c>
      <c r="AI243" s="1" t="s">
        <v>1928</v>
      </c>
      <c r="AJ243" s="1">
        <v>0</v>
      </c>
      <c r="AK243" s="1" t="s">
        <v>1524</v>
      </c>
      <c r="AL243" s="1" t="s">
        <v>2618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1642</v>
      </c>
      <c r="AS243" s="1">
        <v>0</v>
      </c>
      <c r="AT243" s="1" t="s">
        <v>1891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2619</v>
      </c>
      <c r="C244" s="1" t="s">
        <v>2620</v>
      </c>
      <c r="D244" s="1">
        <v>5</v>
      </c>
      <c r="E244" s="1">
        <v>1</v>
      </c>
      <c r="F244" s="1">
        <v>18</v>
      </c>
      <c r="G244" s="1" t="s">
        <v>330</v>
      </c>
      <c r="H244" s="1" t="s">
        <v>361</v>
      </c>
      <c r="I244" s="1" t="s">
        <v>360</v>
      </c>
      <c r="J244" s="1" t="s">
        <v>330</v>
      </c>
      <c r="K244" s="1" t="s">
        <v>330</v>
      </c>
      <c r="L244" s="1" t="s">
        <v>330</v>
      </c>
      <c r="M244" s="1" t="s">
        <v>912</v>
      </c>
      <c r="N244" s="1" t="s">
        <v>330</v>
      </c>
      <c r="O244" s="1" t="s">
        <v>330</v>
      </c>
      <c r="P244" s="1" t="s">
        <v>330</v>
      </c>
      <c r="Q244" s="1" t="s">
        <v>330</v>
      </c>
      <c r="R244" s="1" t="s">
        <v>330</v>
      </c>
      <c r="S244" s="1" t="s">
        <v>330</v>
      </c>
      <c r="T244" s="1" t="s">
        <v>330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2621</v>
      </c>
      <c r="AJ244" s="1">
        <v>0</v>
      </c>
      <c r="AK244" s="1" t="s">
        <v>1643</v>
      </c>
      <c r="AL244" s="1" t="s">
        <v>2622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1644</v>
      </c>
      <c r="AS244" s="1">
        <v>0</v>
      </c>
      <c r="AT244" s="1" t="s">
        <v>1891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2623</v>
      </c>
      <c r="C245" s="1" t="s">
        <v>2624</v>
      </c>
      <c r="D245" s="1">
        <v>5</v>
      </c>
      <c r="E245" s="1">
        <v>1</v>
      </c>
      <c r="F245" s="1">
        <v>18</v>
      </c>
      <c r="G245" s="1" t="s">
        <v>330</v>
      </c>
      <c r="H245" s="1" t="s">
        <v>330</v>
      </c>
      <c r="I245" s="1" t="s">
        <v>343</v>
      </c>
      <c r="J245" s="1" t="s">
        <v>330</v>
      </c>
      <c r="K245" s="1" t="s">
        <v>330</v>
      </c>
      <c r="L245" s="1" t="s">
        <v>330</v>
      </c>
      <c r="M245" s="1" t="s">
        <v>387</v>
      </c>
      <c r="N245" s="1" t="s">
        <v>330</v>
      </c>
      <c r="O245" s="1" t="s">
        <v>330</v>
      </c>
      <c r="P245" s="1" t="s">
        <v>330</v>
      </c>
      <c r="Q245" s="1" t="s">
        <v>330</v>
      </c>
      <c r="R245" s="1" t="s">
        <v>330</v>
      </c>
      <c r="S245" s="1" t="s">
        <v>330</v>
      </c>
      <c r="T245" s="1" t="s">
        <v>330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2625</v>
      </c>
      <c r="AJ245" s="1">
        <v>0</v>
      </c>
      <c r="AK245" s="1" t="s">
        <v>1645</v>
      </c>
      <c r="AL245" s="1" t="s">
        <v>2626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1646</v>
      </c>
      <c r="AS245" s="1">
        <v>0</v>
      </c>
      <c r="AT245" s="1" t="s">
        <v>2627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2628</v>
      </c>
      <c r="C246" s="1" t="s">
        <v>2629</v>
      </c>
      <c r="D246" s="1">
        <v>5</v>
      </c>
      <c r="E246" s="1">
        <v>1</v>
      </c>
      <c r="F246" s="1">
        <v>18</v>
      </c>
      <c r="G246" s="1" t="s">
        <v>330</v>
      </c>
      <c r="H246" s="1" t="s">
        <v>330</v>
      </c>
      <c r="I246" s="1" t="s">
        <v>330</v>
      </c>
      <c r="J246" s="1" t="s">
        <v>330</v>
      </c>
      <c r="K246" s="1" t="s">
        <v>330</v>
      </c>
      <c r="L246" s="1" t="s">
        <v>404</v>
      </c>
      <c r="M246" s="1" t="s">
        <v>365</v>
      </c>
      <c r="N246" s="1" t="s">
        <v>330</v>
      </c>
      <c r="O246" s="1" t="s">
        <v>330</v>
      </c>
      <c r="P246" s="1" t="s">
        <v>330</v>
      </c>
      <c r="Q246" s="1" t="s">
        <v>330</v>
      </c>
      <c r="R246" s="1" t="s">
        <v>330</v>
      </c>
      <c r="S246" s="1" t="s">
        <v>330</v>
      </c>
      <c r="T246" s="1" t="s">
        <v>330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1289</v>
      </c>
      <c r="AH246" s="1">
        <v>3600</v>
      </c>
      <c r="AI246" s="1" t="s">
        <v>2630</v>
      </c>
      <c r="AJ246" s="1">
        <v>0</v>
      </c>
      <c r="AK246" s="1" t="s">
        <v>1424</v>
      </c>
      <c r="AL246" s="1" t="s">
        <v>2631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1647</v>
      </c>
      <c r="AS246" s="1">
        <v>0</v>
      </c>
      <c r="AT246" s="1" t="s">
        <v>1891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2632</v>
      </c>
      <c r="C247" s="1" t="s">
        <v>2633</v>
      </c>
      <c r="D247" s="1">
        <v>5</v>
      </c>
      <c r="E247" s="1">
        <v>3</v>
      </c>
      <c r="F247" s="1">
        <v>20</v>
      </c>
      <c r="G247" s="1" t="s">
        <v>404</v>
      </c>
      <c r="H247" s="1" t="s">
        <v>330</v>
      </c>
      <c r="I247" s="1" t="s">
        <v>330</v>
      </c>
      <c r="J247" s="1" t="s">
        <v>330</v>
      </c>
      <c r="K247" s="1" t="s">
        <v>377</v>
      </c>
      <c r="L247" s="1" t="s">
        <v>330</v>
      </c>
      <c r="M247" s="1" t="s">
        <v>330</v>
      </c>
      <c r="N247" s="1" t="s">
        <v>330</v>
      </c>
      <c r="O247" s="1" t="s">
        <v>330</v>
      </c>
      <c r="P247" s="1" t="s">
        <v>330</v>
      </c>
      <c r="Q247" s="1" t="s">
        <v>330</v>
      </c>
      <c r="R247" s="1" t="s">
        <v>330</v>
      </c>
      <c r="S247" s="1" t="s">
        <v>330</v>
      </c>
      <c r="T247" s="1" t="s">
        <v>330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1660</v>
      </c>
      <c r="AH247" s="1">
        <v>3060</v>
      </c>
      <c r="AI247" s="1" t="s">
        <v>1928</v>
      </c>
      <c r="AJ247" s="1">
        <v>0</v>
      </c>
      <c r="AK247" s="1" t="s">
        <v>409</v>
      </c>
      <c r="AL247" s="1" t="s">
        <v>2634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1635</v>
      </c>
      <c r="AS247" s="1">
        <v>0</v>
      </c>
      <c r="AT247" s="1" t="s">
        <v>2635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2636</v>
      </c>
      <c r="C248" s="1" t="s">
        <v>2637</v>
      </c>
      <c r="D248" s="1">
        <v>5</v>
      </c>
      <c r="E248" s="1">
        <v>1</v>
      </c>
      <c r="F248" s="1">
        <v>18</v>
      </c>
      <c r="G248" s="1" t="s">
        <v>1773</v>
      </c>
      <c r="H248" s="1" t="s">
        <v>393</v>
      </c>
      <c r="I248" s="1" t="s">
        <v>393</v>
      </c>
      <c r="J248" s="1" t="s">
        <v>330</v>
      </c>
      <c r="K248" s="1" t="s">
        <v>330</v>
      </c>
      <c r="L248" s="1" t="s">
        <v>330</v>
      </c>
      <c r="M248" s="1" t="s">
        <v>330</v>
      </c>
      <c r="N248" s="1" t="s">
        <v>330</v>
      </c>
      <c r="O248" s="1" t="s">
        <v>330</v>
      </c>
      <c r="P248" s="1" t="s">
        <v>330</v>
      </c>
      <c r="Q248" s="1" t="s">
        <v>330</v>
      </c>
      <c r="R248" s="1" t="s">
        <v>330</v>
      </c>
      <c r="S248" s="1" t="s">
        <v>330</v>
      </c>
      <c r="T248" s="1" t="s">
        <v>330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1679</v>
      </c>
      <c r="AH248" s="1">
        <v>3600</v>
      </c>
      <c r="AI248" s="1" t="s">
        <v>1928</v>
      </c>
      <c r="AJ248" s="1">
        <v>0</v>
      </c>
      <c r="AK248" s="1" t="s">
        <v>1774</v>
      </c>
      <c r="AL248" s="1" t="s">
        <v>2638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1775</v>
      </c>
      <c r="AS248" s="1">
        <v>0</v>
      </c>
      <c r="AT248" s="1" t="s">
        <v>1891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2639</v>
      </c>
      <c r="C249" s="1" t="s">
        <v>2640</v>
      </c>
      <c r="D249" s="1">
        <v>5</v>
      </c>
      <c r="E249" s="1">
        <v>3</v>
      </c>
      <c r="F249" s="1">
        <v>20</v>
      </c>
      <c r="G249" s="1" t="s">
        <v>404</v>
      </c>
      <c r="H249" s="1" t="s">
        <v>330</v>
      </c>
      <c r="I249" s="1" t="s">
        <v>365</v>
      </c>
      <c r="J249" s="1" t="s">
        <v>330</v>
      </c>
      <c r="K249" s="1" t="s">
        <v>330</v>
      </c>
      <c r="L249" s="1" t="s">
        <v>330</v>
      </c>
      <c r="M249" s="1" t="s">
        <v>330</v>
      </c>
      <c r="N249" s="1" t="s">
        <v>330</v>
      </c>
      <c r="O249" s="1" t="s">
        <v>330</v>
      </c>
      <c r="P249" s="1" t="s">
        <v>330</v>
      </c>
      <c r="Q249" s="1" t="s">
        <v>330</v>
      </c>
      <c r="R249" s="1" t="s">
        <v>330</v>
      </c>
      <c r="S249" s="1" t="s">
        <v>330</v>
      </c>
      <c r="T249" s="1" t="s">
        <v>330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1772</v>
      </c>
      <c r="AH249" s="1">
        <v>3120</v>
      </c>
      <c r="AI249" s="1" t="s">
        <v>2587</v>
      </c>
      <c r="AJ249" s="1">
        <v>0</v>
      </c>
      <c r="AK249" s="1" t="s">
        <v>1776</v>
      </c>
      <c r="AL249" s="1" t="s">
        <v>2641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1777</v>
      </c>
      <c r="AS249" s="1">
        <v>0</v>
      </c>
      <c r="AT249" s="1" t="s">
        <v>2642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2643</v>
      </c>
      <c r="C250" s="1" t="s">
        <v>2644</v>
      </c>
      <c r="D250" s="1">
        <v>5</v>
      </c>
      <c r="E250" s="1">
        <v>1</v>
      </c>
      <c r="F250" s="1">
        <v>18</v>
      </c>
      <c r="G250" s="1" t="s">
        <v>330</v>
      </c>
      <c r="H250" s="1" t="s">
        <v>1648</v>
      </c>
      <c r="I250" s="1" t="s">
        <v>337</v>
      </c>
      <c r="J250" s="1" t="s">
        <v>330</v>
      </c>
      <c r="K250" s="1" t="s">
        <v>330</v>
      </c>
      <c r="L250" s="1" t="s">
        <v>330</v>
      </c>
      <c r="M250" s="1" t="s">
        <v>330</v>
      </c>
      <c r="N250" s="1" t="s">
        <v>330</v>
      </c>
      <c r="O250" s="1" t="s">
        <v>330</v>
      </c>
      <c r="P250" s="1" t="s">
        <v>330</v>
      </c>
      <c r="Q250" s="1" t="s">
        <v>330</v>
      </c>
      <c r="R250" s="1" t="s">
        <v>330</v>
      </c>
      <c r="S250" s="1" t="s">
        <v>330</v>
      </c>
      <c r="T250" s="1" t="s">
        <v>330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1452</v>
      </c>
      <c r="AH250" s="1">
        <v>3000</v>
      </c>
      <c r="AI250" s="1" t="s">
        <v>1928</v>
      </c>
      <c r="AJ250" s="1">
        <v>0</v>
      </c>
      <c r="AK250" s="1" t="s">
        <v>1649</v>
      </c>
      <c r="AL250" s="1" t="s">
        <v>2645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1522</v>
      </c>
      <c r="AS250" s="1">
        <v>0</v>
      </c>
      <c r="AT250" s="1" t="s">
        <v>1891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2646</v>
      </c>
      <c r="C251" s="1" t="s">
        <v>2647</v>
      </c>
      <c r="D251" s="1">
        <v>5</v>
      </c>
      <c r="E251" s="1">
        <v>1</v>
      </c>
      <c r="F251" s="1">
        <v>18</v>
      </c>
      <c r="G251" s="1" t="s">
        <v>337</v>
      </c>
      <c r="H251" s="1" t="s">
        <v>472</v>
      </c>
      <c r="I251" s="1" t="s">
        <v>330</v>
      </c>
      <c r="J251" s="1" t="s">
        <v>330</v>
      </c>
      <c r="K251" s="1" t="s">
        <v>330</v>
      </c>
      <c r="L251" s="1" t="s">
        <v>330</v>
      </c>
      <c r="M251" s="1" t="s">
        <v>399</v>
      </c>
      <c r="N251" s="1" t="s">
        <v>330</v>
      </c>
      <c r="O251" s="1" t="s">
        <v>330</v>
      </c>
      <c r="P251" s="1" t="s">
        <v>330</v>
      </c>
      <c r="Q251" s="1" t="s">
        <v>330</v>
      </c>
      <c r="R251" s="1" t="s">
        <v>330</v>
      </c>
      <c r="S251" s="1" t="s">
        <v>330</v>
      </c>
      <c r="T251" s="1" t="s">
        <v>330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1743</v>
      </c>
      <c r="AH251" s="1">
        <v>2700</v>
      </c>
      <c r="AI251" s="1" t="s">
        <v>1928</v>
      </c>
      <c r="AJ251" s="1">
        <v>0</v>
      </c>
      <c r="AK251" s="1" t="s">
        <v>1650</v>
      </c>
      <c r="AL251" s="1" t="s">
        <v>2648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1613</v>
      </c>
      <c r="AS251" s="1">
        <v>0</v>
      </c>
      <c r="AT251" s="1" t="s">
        <v>1891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2649</v>
      </c>
      <c r="C252" s="1" t="s">
        <v>2650</v>
      </c>
      <c r="D252" s="1">
        <v>5</v>
      </c>
      <c r="E252" s="1">
        <v>3</v>
      </c>
      <c r="F252" s="1">
        <v>20</v>
      </c>
      <c r="G252" s="1" t="s">
        <v>337</v>
      </c>
      <c r="H252" s="1" t="s">
        <v>330</v>
      </c>
      <c r="I252" s="1" t="s">
        <v>365</v>
      </c>
      <c r="J252" s="1" t="s">
        <v>330</v>
      </c>
      <c r="K252" s="1" t="s">
        <v>330</v>
      </c>
      <c r="L252" s="1" t="s">
        <v>330</v>
      </c>
      <c r="M252" s="1" t="s">
        <v>330</v>
      </c>
      <c r="N252" s="1" t="s">
        <v>330</v>
      </c>
      <c r="O252" s="1" t="s">
        <v>330</v>
      </c>
      <c r="P252" s="1" t="s">
        <v>330</v>
      </c>
      <c r="Q252" s="1" t="s">
        <v>330</v>
      </c>
      <c r="R252" s="1" t="s">
        <v>330</v>
      </c>
      <c r="S252" s="1" t="s">
        <v>330</v>
      </c>
      <c r="T252" s="1" t="s">
        <v>330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1744</v>
      </c>
      <c r="AH252" s="1">
        <v>3600</v>
      </c>
      <c r="AI252" s="1" t="s">
        <v>1928</v>
      </c>
      <c r="AJ252" s="1">
        <v>0</v>
      </c>
      <c r="AK252" s="1" t="s">
        <v>1651</v>
      </c>
      <c r="AL252" s="1" t="s">
        <v>2651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1622</v>
      </c>
      <c r="AS252" s="1">
        <v>0</v>
      </c>
      <c r="AT252" s="1" t="s">
        <v>1891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2652</v>
      </c>
      <c r="C253" s="1" t="s">
        <v>2653</v>
      </c>
      <c r="D253" s="1">
        <v>5</v>
      </c>
      <c r="E253" s="1">
        <v>3</v>
      </c>
      <c r="F253" s="1">
        <v>20</v>
      </c>
      <c r="G253" s="1" t="s">
        <v>330</v>
      </c>
      <c r="H253" s="1" t="s">
        <v>330</v>
      </c>
      <c r="I253" s="1" t="s">
        <v>330</v>
      </c>
      <c r="J253" s="1" t="s">
        <v>403</v>
      </c>
      <c r="K253" s="1" t="s">
        <v>330</v>
      </c>
      <c r="L253" s="1" t="s">
        <v>365</v>
      </c>
      <c r="M253" s="1" t="s">
        <v>330</v>
      </c>
      <c r="N253" s="1" t="s">
        <v>330</v>
      </c>
      <c r="O253" s="1" t="s">
        <v>330</v>
      </c>
      <c r="P253" s="1" t="s">
        <v>330</v>
      </c>
      <c r="Q253" s="1" t="s">
        <v>330</v>
      </c>
      <c r="R253" s="1" t="s">
        <v>330</v>
      </c>
      <c r="S253" s="1" t="s">
        <v>330</v>
      </c>
      <c r="T253" s="1" t="s">
        <v>330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1445</v>
      </c>
      <c r="AH253" s="1">
        <v>3360</v>
      </c>
      <c r="AI253" s="1" t="s">
        <v>1928</v>
      </c>
      <c r="AJ253" s="1">
        <v>0</v>
      </c>
      <c r="AK253" s="1" t="s">
        <v>1652</v>
      </c>
      <c r="AL253" s="1" t="s">
        <v>2654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1551</v>
      </c>
      <c r="AS253" s="1">
        <v>0</v>
      </c>
      <c r="AT253" s="1" t="s">
        <v>1891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2655</v>
      </c>
      <c r="C254" s="1" t="s">
        <v>2656</v>
      </c>
      <c r="D254" s="1">
        <v>5</v>
      </c>
      <c r="E254" s="1">
        <v>3</v>
      </c>
      <c r="F254" s="1">
        <v>20</v>
      </c>
      <c r="G254" s="1" t="s">
        <v>361</v>
      </c>
      <c r="H254" s="1" t="s">
        <v>330</v>
      </c>
      <c r="I254" s="1" t="s">
        <v>330</v>
      </c>
      <c r="J254" s="1" t="s">
        <v>330</v>
      </c>
      <c r="K254" s="1" t="s">
        <v>377</v>
      </c>
      <c r="L254" s="1" t="s">
        <v>918</v>
      </c>
      <c r="M254" s="1" t="s">
        <v>330</v>
      </c>
      <c r="N254" s="1" t="s">
        <v>330</v>
      </c>
      <c r="O254" s="1" t="s">
        <v>330</v>
      </c>
      <c r="P254" s="1" t="s">
        <v>330</v>
      </c>
      <c r="Q254" s="1" t="s">
        <v>330</v>
      </c>
      <c r="R254" s="1" t="s">
        <v>330</v>
      </c>
      <c r="S254" s="1" t="s">
        <v>330</v>
      </c>
      <c r="T254" s="1" t="s">
        <v>330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1448</v>
      </c>
      <c r="AH254" s="1">
        <v>3120</v>
      </c>
      <c r="AI254" s="1" t="s">
        <v>1928</v>
      </c>
      <c r="AJ254" s="1">
        <v>0</v>
      </c>
      <c r="AK254" s="1" t="s">
        <v>1653</v>
      </c>
      <c r="AL254" s="1" t="s">
        <v>2657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1635</v>
      </c>
      <c r="AS254" s="1">
        <v>0</v>
      </c>
      <c r="AT254" s="1" t="s">
        <v>1891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2658</v>
      </c>
      <c r="C255" s="1" t="s">
        <v>2659</v>
      </c>
      <c r="D255" s="1">
        <v>5</v>
      </c>
      <c r="E255" s="1">
        <v>3</v>
      </c>
      <c r="F255" s="1">
        <v>20</v>
      </c>
      <c r="G255" s="1" t="s">
        <v>330</v>
      </c>
      <c r="H255" s="1" t="s">
        <v>330</v>
      </c>
      <c r="I255" s="1" t="s">
        <v>330</v>
      </c>
      <c r="J255" s="1" t="s">
        <v>330</v>
      </c>
      <c r="K255" s="1" t="s">
        <v>330</v>
      </c>
      <c r="L255" s="1" t="s">
        <v>330</v>
      </c>
      <c r="M255" s="1" t="s">
        <v>387</v>
      </c>
      <c r="N255" s="1" t="s">
        <v>330</v>
      </c>
      <c r="O255" s="1" t="s">
        <v>330</v>
      </c>
      <c r="P255" s="1" t="s">
        <v>330</v>
      </c>
      <c r="Q255" s="1" t="s">
        <v>330</v>
      </c>
      <c r="R255" s="1" t="s">
        <v>330</v>
      </c>
      <c r="S255" s="1" t="s">
        <v>330</v>
      </c>
      <c r="T255" s="1" t="s">
        <v>356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1223</v>
      </c>
      <c r="AH255" s="1">
        <v>3420</v>
      </c>
      <c r="AI255" s="1" t="s">
        <v>2660</v>
      </c>
      <c r="AJ255" s="1">
        <v>0</v>
      </c>
      <c r="AK255" s="1" t="s">
        <v>1789</v>
      </c>
      <c r="AL255" s="1" t="s">
        <v>2661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1790</v>
      </c>
      <c r="AS255" s="1">
        <v>0</v>
      </c>
      <c r="AT255" s="1" t="s">
        <v>1891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2662</v>
      </c>
      <c r="C256" s="1" t="s">
        <v>2663</v>
      </c>
      <c r="D256" s="1">
        <v>5</v>
      </c>
      <c r="E256" s="1">
        <v>1</v>
      </c>
      <c r="F256" s="1">
        <v>18</v>
      </c>
      <c r="G256" s="1" t="s">
        <v>330</v>
      </c>
      <c r="H256" s="1" t="s">
        <v>363</v>
      </c>
      <c r="I256" s="1" t="s">
        <v>330</v>
      </c>
      <c r="J256" s="1" t="s">
        <v>330</v>
      </c>
      <c r="K256" s="1" t="s">
        <v>330</v>
      </c>
      <c r="L256" s="1" t="s">
        <v>330</v>
      </c>
      <c r="M256" s="1" t="s">
        <v>1791</v>
      </c>
      <c r="N256" s="1" t="s">
        <v>330</v>
      </c>
      <c r="O256" s="1" t="s">
        <v>330</v>
      </c>
      <c r="P256" s="1" t="s">
        <v>330</v>
      </c>
      <c r="Q256" s="1" t="s">
        <v>330</v>
      </c>
      <c r="R256" s="1" t="s">
        <v>330</v>
      </c>
      <c r="S256" s="1" t="s">
        <v>330</v>
      </c>
      <c r="T256" s="1" t="s">
        <v>330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2664</v>
      </c>
      <c r="AJ256" s="1">
        <v>0</v>
      </c>
      <c r="AK256" s="1" t="s">
        <v>1778</v>
      </c>
      <c r="AL256" s="1" t="s">
        <v>2665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1566</v>
      </c>
      <c r="AS256" s="1">
        <v>0</v>
      </c>
      <c r="AT256" s="1" t="s">
        <v>1891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2666</v>
      </c>
      <c r="C257" s="1" t="s">
        <v>2667</v>
      </c>
      <c r="D257" s="1">
        <v>5</v>
      </c>
      <c r="E257" s="1">
        <v>2</v>
      </c>
      <c r="F257" s="1">
        <v>19</v>
      </c>
      <c r="G257" s="1" t="s">
        <v>337</v>
      </c>
      <c r="H257" s="1" t="s">
        <v>330</v>
      </c>
      <c r="I257" s="1" t="s">
        <v>330</v>
      </c>
      <c r="J257" s="1" t="s">
        <v>330</v>
      </c>
      <c r="K257" s="1" t="s">
        <v>330</v>
      </c>
      <c r="L257" s="1" t="s">
        <v>330</v>
      </c>
      <c r="M257" s="1" t="s">
        <v>330</v>
      </c>
      <c r="N257" s="1" t="s">
        <v>354</v>
      </c>
      <c r="O257" s="1" t="s">
        <v>330</v>
      </c>
      <c r="P257" s="1" t="s">
        <v>330</v>
      </c>
      <c r="Q257" s="1" t="s">
        <v>330</v>
      </c>
      <c r="R257" s="1" t="s">
        <v>330</v>
      </c>
      <c r="S257" s="1" t="s">
        <v>330</v>
      </c>
      <c r="T257" s="1" t="s">
        <v>330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1928</v>
      </c>
      <c r="AJ257" s="1">
        <v>0</v>
      </c>
      <c r="AK257" s="1" t="s">
        <v>1792</v>
      </c>
      <c r="AL257" s="1" t="s">
        <v>2668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1604</v>
      </c>
      <c r="AS257" s="1">
        <v>0</v>
      </c>
      <c r="AT257" s="1" t="s">
        <v>1891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2669</v>
      </c>
      <c r="C258" s="1" t="s">
        <v>2670</v>
      </c>
      <c r="D258" s="1">
        <v>5</v>
      </c>
      <c r="E258" s="1">
        <v>3</v>
      </c>
      <c r="F258" s="1">
        <v>20</v>
      </c>
      <c r="G258" s="1" t="s">
        <v>330</v>
      </c>
      <c r="H258" s="1" t="s">
        <v>330</v>
      </c>
      <c r="I258" s="1" t="s">
        <v>330</v>
      </c>
      <c r="J258" s="1" t="s">
        <v>330</v>
      </c>
      <c r="K258" s="1" t="s">
        <v>330</v>
      </c>
      <c r="L258" s="1" t="s">
        <v>365</v>
      </c>
      <c r="M258" s="1" t="s">
        <v>330</v>
      </c>
      <c r="N258" s="1" t="s">
        <v>330</v>
      </c>
      <c r="O258" s="1" t="s">
        <v>330</v>
      </c>
      <c r="P258" s="1" t="s">
        <v>330</v>
      </c>
      <c r="Q258" s="1" t="s">
        <v>330</v>
      </c>
      <c r="R258" s="1" t="s">
        <v>330</v>
      </c>
      <c r="S258" s="1" t="s">
        <v>330</v>
      </c>
      <c r="T258" s="1" t="s">
        <v>330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814</v>
      </c>
      <c r="AH258" s="1">
        <v>3360</v>
      </c>
      <c r="AI258" s="1" t="s">
        <v>1928</v>
      </c>
      <c r="AJ258" s="1">
        <v>0</v>
      </c>
      <c r="AK258" s="1" t="s">
        <v>1793</v>
      </c>
      <c r="AL258" s="1" t="s">
        <v>2671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1551</v>
      </c>
      <c r="AS258" s="1">
        <v>0</v>
      </c>
      <c r="AT258" s="1" t="s">
        <v>2672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2673</v>
      </c>
      <c r="C259" s="1" t="s">
        <v>2674</v>
      </c>
      <c r="D259" s="1">
        <v>5</v>
      </c>
      <c r="E259" s="1">
        <v>3</v>
      </c>
      <c r="F259" s="1">
        <v>20</v>
      </c>
      <c r="G259" s="1" t="s">
        <v>330</v>
      </c>
      <c r="H259" s="1" t="s">
        <v>330</v>
      </c>
      <c r="I259" s="1" t="s">
        <v>490</v>
      </c>
      <c r="J259" s="1" t="s">
        <v>366</v>
      </c>
      <c r="K259" s="1" t="s">
        <v>330</v>
      </c>
      <c r="L259" s="1" t="s">
        <v>330</v>
      </c>
      <c r="M259" s="1" t="s">
        <v>330</v>
      </c>
      <c r="N259" s="1" t="s">
        <v>330</v>
      </c>
      <c r="O259" s="1" t="s">
        <v>330</v>
      </c>
      <c r="P259" s="1" t="s">
        <v>330</v>
      </c>
      <c r="Q259" s="1" t="s">
        <v>330</v>
      </c>
      <c r="R259" s="1" t="s">
        <v>330</v>
      </c>
      <c r="S259" s="1" t="s">
        <v>330</v>
      </c>
      <c r="T259" s="1" t="s">
        <v>330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1654</v>
      </c>
      <c r="AH259" s="1">
        <v>3120</v>
      </c>
      <c r="AI259" s="1" t="s">
        <v>1928</v>
      </c>
      <c r="AJ259" s="1">
        <v>0</v>
      </c>
      <c r="AK259" s="1" t="s">
        <v>1809</v>
      </c>
      <c r="AL259" s="1" t="s">
        <v>2675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1810</v>
      </c>
      <c r="AS259" s="1">
        <v>0</v>
      </c>
      <c r="AT259" s="1" t="s">
        <v>1891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2676</v>
      </c>
      <c r="C260" s="1" t="s">
        <v>2677</v>
      </c>
      <c r="D260" s="1">
        <v>5</v>
      </c>
      <c r="E260" s="1">
        <v>1</v>
      </c>
      <c r="F260" s="1">
        <v>18</v>
      </c>
      <c r="G260" s="1" t="s">
        <v>339</v>
      </c>
      <c r="H260" s="1" t="s">
        <v>345</v>
      </c>
      <c r="I260" s="1" t="s">
        <v>330</v>
      </c>
      <c r="J260" s="1" t="s">
        <v>330</v>
      </c>
      <c r="K260" s="1" t="s">
        <v>330</v>
      </c>
      <c r="L260" s="1" t="s">
        <v>330</v>
      </c>
      <c r="M260" s="1" t="s">
        <v>330</v>
      </c>
      <c r="N260" s="1" t="s">
        <v>330</v>
      </c>
      <c r="O260" s="1" t="s">
        <v>330</v>
      </c>
      <c r="P260" s="1" t="s">
        <v>330</v>
      </c>
      <c r="Q260" s="1" t="s">
        <v>330</v>
      </c>
      <c r="R260" s="1" t="s">
        <v>330</v>
      </c>
      <c r="S260" s="1" t="s">
        <v>330</v>
      </c>
      <c r="T260" s="1" t="s">
        <v>330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1807</v>
      </c>
      <c r="AH260" s="1">
        <v>3600</v>
      </c>
      <c r="AI260" s="1" t="s">
        <v>1928</v>
      </c>
      <c r="AJ260" s="1">
        <v>0</v>
      </c>
      <c r="AK260" s="1" t="s">
        <v>1811</v>
      </c>
      <c r="AL260" s="1" t="s">
        <v>2678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1775</v>
      </c>
      <c r="AS260" s="1">
        <v>0</v>
      </c>
      <c r="AT260" s="1" t="s">
        <v>1891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2679</v>
      </c>
      <c r="C261" s="1" t="s">
        <v>2680</v>
      </c>
      <c r="D261" s="1">
        <v>5</v>
      </c>
      <c r="E261" s="1">
        <v>2</v>
      </c>
      <c r="F261" s="1">
        <v>19</v>
      </c>
      <c r="G261" s="1" t="s">
        <v>337</v>
      </c>
      <c r="H261" s="1" t="s">
        <v>330</v>
      </c>
      <c r="I261" s="1" t="s">
        <v>330</v>
      </c>
      <c r="J261" s="1" t="s">
        <v>330</v>
      </c>
      <c r="K261" s="1" t="s">
        <v>330</v>
      </c>
      <c r="L261" s="1" t="s">
        <v>330</v>
      </c>
      <c r="M261" s="1" t="s">
        <v>330</v>
      </c>
      <c r="N261" s="1" t="s">
        <v>1812</v>
      </c>
      <c r="O261" s="1" t="s">
        <v>330</v>
      </c>
      <c r="P261" s="1" t="s">
        <v>330</v>
      </c>
      <c r="Q261" s="1" t="s">
        <v>330</v>
      </c>
      <c r="R261" s="1" t="s">
        <v>330</v>
      </c>
      <c r="S261" s="1" t="s">
        <v>330</v>
      </c>
      <c r="T261" s="1" t="s">
        <v>330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1808</v>
      </c>
      <c r="AH261" s="1">
        <v>3300</v>
      </c>
      <c r="AI261" s="1" t="s">
        <v>1928</v>
      </c>
      <c r="AJ261" s="1">
        <v>0</v>
      </c>
      <c r="AK261" s="1" t="s">
        <v>1813</v>
      </c>
      <c r="AL261" s="1" t="s">
        <v>2681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1814</v>
      </c>
      <c r="AS261" s="1">
        <v>0</v>
      </c>
      <c r="AT261" s="1" t="s">
        <v>1891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2682</v>
      </c>
      <c r="C262" s="1" t="s">
        <v>2683</v>
      </c>
      <c r="D262" s="1">
        <v>5</v>
      </c>
      <c r="E262" s="1">
        <v>2</v>
      </c>
      <c r="F262" s="1">
        <v>19</v>
      </c>
      <c r="G262" s="1" t="s">
        <v>330</v>
      </c>
      <c r="H262" s="1" t="s">
        <v>358</v>
      </c>
      <c r="I262" s="1" t="s">
        <v>330</v>
      </c>
      <c r="J262" s="1" t="s">
        <v>330</v>
      </c>
      <c r="K262" s="1" t="s">
        <v>330</v>
      </c>
      <c r="L262" s="1" t="s">
        <v>330</v>
      </c>
      <c r="M262" s="1" t="s">
        <v>330</v>
      </c>
      <c r="N262" s="1" t="s">
        <v>330</v>
      </c>
      <c r="O262" s="1" t="s">
        <v>330</v>
      </c>
      <c r="P262" s="1" t="s">
        <v>330</v>
      </c>
      <c r="Q262" s="1" t="s">
        <v>330</v>
      </c>
      <c r="R262" s="1" t="s">
        <v>330</v>
      </c>
      <c r="S262" s="1" t="s">
        <v>330</v>
      </c>
      <c r="T262" s="1" t="s">
        <v>330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1806</v>
      </c>
      <c r="AH262" s="1">
        <v>3600</v>
      </c>
      <c r="AI262" s="1" t="s">
        <v>2684</v>
      </c>
      <c r="AJ262" s="1">
        <v>0</v>
      </c>
      <c r="AK262" s="1" t="s">
        <v>1815</v>
      </c>
      <c r="AL262" s="1" t="s">
        <v>2685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1545</v>
      </c>
      <c r="AS262" s="1">
        <v>0</v>
      </c>
      <c r="AT262" s="1" t="s">
        <v>2553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2686</v>
      </c>
      <c r="C263" s="1" t="s">
        <v>2687</v>
      </c>
      <c r="D263" s="1">
        <v>5</v>
      </c>
      <c r="E263" s="1">
        <v>1</v>
      </c>
      <c r="F263" s="1">
        <v>18</v>
      </c>
      <c r="G263" s="1" t="s">
        <v>337</v>
      </c>
      <c r="H263" s="1" t="s">
        <v>337</v>
      </c>
      <c r="I263" s="1" t="s">
        <v>330</v>
      </c>
      <c r="J263" s="1" t="s">
        <v>330</v>
      </c>
      <c r="K263" s="1" t="s">
        <v>330</v>
      </c>
      <c r="L263" s="1" t="s">
        <v>330</v>
      </c>
      <c r="M263" s="1" t="s">
        <v>365</v>
      </c>
      <c r="N263" s="1" t="s">
        <v>330</v>
      </c>
      <c r="O263" s="1" t="s">
        <v>330</v>
      </c>
      <c r="P263" s="1" t="s">
        <v>330</v>
      </c>
      <c r="Q263" s="1" t="s">
        <v>330</v>
      </c>
      <c r="R263" s="1" t="s">
        <v>330</v>
      </c>
      <c r="S263" s="1" t="s">
        <v>330</v>
      </c>
      <c r="T263" s="1" t="s">
        <v>330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1928</v>
      </c>
      <c r="AJ263" s="1">
        <v>0</v>
      </c>
      <c r="AK263" s="1" t="s">
        <v>2688</v>
      </c>
      <c r="AL263" s="1" t="s">
        <v>2689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1641</v>
      </c>
      <c r="AS263" s="1">
        <v>0</v>
      </c>
      <c r="AT263" s="1" t="s">
        <v>5718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5579</v>
      </c>
      <c r="C264" s="1" t="s">
        <v>5580</v>
      </c>
      <c r="D264" s="1">
        <v>5</v>
      </c>
      <c r="E264" s="1">
        <v>1</v>
      </c>
      <c r="F264" s="1">
        <v>18</v>
      </c>
      <c r="G264" s="1" t="s">
        <v>337</v>
      </c>
      <c r="H264" s="1" t="s">
        <v>345</v>
      </c>
      <c r="I264" s="1" t="s">
        <v>330</v>
      </c>
      <c r="J264" s="1" t="s">
        <v>330</v>
      </c>
      <c r="K264" s="1" t="s">
        <v>330</v>
      </c>
      <c r="L264" s="1" t="s">
        <v>330</v>
      </c>
      <c r="M264" s="1" t="s">
        <v>330</v>
      </c>
      <c r="N264" s="1" t="s">
        <v>330</v>
      </c>
      <c r="O264" s="1" t="s">
        <v>330</v>
      </c>
      <c r="P264" s="1" t="s">
        <v>330</v>
      </c>
      <c r="Q264" s="1" t="s">
        <v>330</v>
      </c>
      <c r="R264" s="1" t="s">
        <v>330</v>
      </c>
      <c r="S264" s="1" t="s">
        <v>330</v>
      </c>
      <c r="T264" s="1" t="s">
        <v>330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5581</v>
      </c>
      <c r="AJ264" s="1">
        <v>0</v>
      </c>
      <c r="AK264" s="1" t="s">
        <v>5582</v>
      </c>
      <c r="AL264" s="1" t="s">
        <v>5583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5584</v>
      </c>
      <c r="AS264" s="1">
        <v>0</v>
      </c>
      <c r="AT264" s="1" t="s">
        <v>5585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5586</v>
      </c>
      <c r="C265" s="1" t="s">
        <v>5587</v>
      </c>
      <c r="D265" s="1">
        <v>5</v>
      </c>
      <c r="E265" s="1">
        <v>1</v>
      </c>
      <c r="F265" s="1">
        <v>18</v>
      </c>
      <c r="G265" s="1" t="s">
        <v>330</v>
      </c>
      <c r="H265" s="1" t="s">
        <v>330</v>
      </c>
      <c r="I265" s="1" t="s">
        <v>387</v>
      </c>
      <c r="J265" s="1" t="s">
        <v>330</v>
      </c>
      <c r="K265" s="1" t="s">
        <v>330</v>
      </c>
      <c r="L265" s="1" t="s">
        <v>330</v>
      </c>
      <c r="M265" s="1" t="s">
        <v>404</v>
      </c>
      <c r="N265" s="1" t="s">
        <v>330</v>
      </c>
      <c r="O265" s="1" t="s">
        <v>330</v>
      </c>
      <c r="P265" s="1" t="s">
        <v>330</v>
      </c>
      <c r="Q265" s="1" t="s">
        <v>330</v>
      </c>
      <c r="R265" s="1" t="s">
        <v>330</v>
      </c>
      <c r="S265" s="1" t="s">
        <v>330</v>
      </c>
      <c r="T265" s="1" t="s">
        <v>330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5588</v>
      </c>
      <c r="AJ265" s="1">
        <v>0</v>
      </c>
      <c r="AK265" s="1" t="s">
        <v>5491</v>
      </c>
      <c r="AL265" s="1" t="s">
        <v>5589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5590</v>
      </c>
      <c r="AS265" s="1">
        <v>0</v>
      </c>
      <c r="AT265" s="1" t="s">
        <v>1891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5724</v>
      </c>
      <c r="C266" s="1" t="s">
        <v>5725</v>
      </c>
      <c r="D266" s="1">
        <v>5</v>
      </c>
      <c r="E266" s="1">
        <v>1</v>
      </c>
      <c r="F266" s="1">
        <v>18</v>
      </c>
      <c r="G266" s="1" t="s">
        <v>330</v>
      </c>
      <c r="H266" s="1" t="s">
        <v>366</v>
      </c>
      <c r="I266" s="1" t="s">
        <v>361</v>
      </c>
      <c r="J266" s="1" t="s">
        <v>330</v>
      </c>
      <c r="K266" s="1" t="s">
        <v>330</v>
      </c>
      <c r="L266" s="1" t="s">
        <v>330</v>
      </c>
      <c r="M266" s="1" t="s">
        <v>387</v>
      </c>
      <c r="N266" s="1" t="s">
        <v>330</v>
      </c>
      <c r="O266" s="1" t="s">
        <v>330</v>
      </c>
      <c r="P266" s="1" t="s">
        <v>330</v>
      </c>
      <c r="Q266" s="1" t="s">
        <v>330</v>
      </c>
      <c r="R266" s="1" t="s">
        <v>330</v>
      </c>
      <c r="S266" s="1" t="s">
        <v>330</v>
      </c>
      <c r="T266" s="1" t="s">
        <v>330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1928</v>
      </c>
      <c r="AJ266" s="1">
        <v>0</v>
      </c>
      <c r="AK266" s="1" t="s">
        <v>5227</v>
      </c>
      <c r="AL266" s="1" t="s">
        <v>5726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1599</v>
      </c>
      <c r="AS266" s="1">
        <v>0</v>
      </c>
      <c r="AT266" s="1" t="s">
        <v>1891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5727</v>
      </c>
      <c r="C267" s="1" t="s">
        <v>5728</v>
      </c>
      <c r="D267" s="1">
        <v>5</v>
      </c>
      <c r="E267" s="1">
        <v>2</v>
      </c>
      <c r="F267" s="1">
        <v>19</v>
      </c>
      <c r="G267" s="1" t="s">
        <v>358</v>
      </c>
      <c r="H267" s="1" t="s">
        <v>330</v>
      </c>
      <c r="I267" s="1" t="s">
        <v>330</v>
      </c>
      <c r="J267" s="1" t="s">
        <v>330</v>
      </c>
      <c r="K267" s="1" t="s">
        <v>330</v>
      </c>
      <c r="L267" s="1" t="s">
        <v>340</v>
      </c>
      <c r="M267" s="1" t="s">
        <v>330</v>
      </c>
      <c r="N267" s="1" t="s">
        <v>330</v>
      </c>
      <c r="O267" s="1" t="s">
        <v>330</v>
      </c>
      <c r="P267" s="1" t="s">
        <v>330</v>
      </c>
      <c r="Q267" s="1" t="s">
        <v>330</v>
      </c>
      <c r="R267" s="1" t="s">
        <v>330</v>
      </c>
      <c r="S267" s="1" t="s">
        <v>330</v>
      </c>
      <c r="T267" s="1" t="s">
        <v>330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1928</v>
      </c>
      <c r="AJ267" s="1">
        <v>0</v>
      </c>
      <c r="AK267" s="1" t="s">
        <v>5144</v>
      </c>
      <c r="AL267" s="1" t="s">
        <v>5729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1606</v>
      </c>
      <c r="AS267" s="1">
        <v>0</v>
      </c>
      <c r="AT267" s="1" t="s">
        <v>1891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5730</v>
      </c>
      <c r="C268" s="1" t="s">
        <v>5731</v>
      </c>
      <c r="D268" s="1">
        <v>5</v>
      </c>
      <c r="E268" s="1">
        <v>1</v>
      </c>
      <c r="F268" s="1">
        <v>18</v>
      </c>
      <c r="G268" s="1" t="s">
        <v>330</v>
      </c>
      <c r="H268" s="1" t="s">
        <v>330</v>
      </c>
      <c r="I268" s="1" t="s">
        <v>340</v>
      </c>
      <c r="J268" s="1" t="s">
        <v>330</v>
      </c>
      <c r="K268" s="1" t="s">
        <v>330</v>
      </c>
      <c r="L268" s="1" t="s">
        <v>330</v>
      </c>
      <c r="M268" s="1" t="s">
        <v>330</v>
      </c>
      <c r="N268" s="1" t="s">
        <v>330</v>
      </c>
      <c r="O268" s="1" t="s">
        <v>330</v>
      </c>
      <c r="P268" s="1" t="s">
        <v>330</v>
      </c>
      <c r="Q268" s="1" t="s">
        <v>330</v>
      </c>
      <c r="R268" s="1" t="s">
        <v>330</v>
      </c>
      <c r="S268" s="1" t="s">
        <v>1812</v>
      </c>
      <c r="T268" s="1" t="s">
        <v>330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1230</v>
      </c>
      <c r="AH268" s="1">
        <v>2940</v>
      </c>
      <c r="AI268" s="1" t="s">
        <v>5732</v>
      </c>
      <c r="AJ268" s="1">
        <v>0</v>
      </c>
      <c r="AK268" s="1" t="s">
        <v>5733</v>
      </c>
      <c r="AL268" s="1" t="s">
        <v>5734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1810</v>
      </c>
      <c r="AS268" s="1">
        <v>0</v>
      </c>
      <c r="AT268" s="1" t="s">
        <v>1891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5735</v>
      </c>
      <c r="C269" s="1" t="s">
        <v>5736</v>
      </c>
      <c r="D269" s="1">
        <v>5</v>
      </c>
      <c r="E269" s="1">
        <v>1</v>
      </c>
      <c r="F269" s="1">
        <v>18</v>
      </c>
      <c r="G269" s="1" t="s">
        <v>472</v>
      </c>
      <c r="H269" s="1" t="s">
        <v>361</v>
      </c>
      <c r="I269" s="1" t="s">
        <v>330</v>
      </c>
      <c r="J269" s="1" t="s">
        <v>330</v>
      </c>
      <c r="K269" s="1" t="s">
        <v>330</v>
      </c>
      <c r="L269" s="1" t="s">
        <v>330</v>
      </c>
      <c r="M269" s="1" t="s">
        <v>912</v>
      </c>
      <c r="N269" s="1" t="s">
        <v>330</v>
      </c>
      <c r="O269" s="1" t="s">
        <v>330</v>
      </c>
      <c r="P269" s="1" t="s">
        <v>330</v>
      </c>
      <c r="Q269" s="1" t="s">
        <v>330</v>
      </c>
      <c r="R269" s="1" t="s">
        <v>330</v>
      </c>
      <c r="S269" s="1" t="s">
        <v>330</v>
      </c>
      <c r="T269" s="1" t="s">
        <v>330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5737</v>
      </c>
      <c r="AJ269" s="1">
        <v>0</v>
      </c>
      <c r="AK269" s="1" t="s">
        <v>5738</v>
      </c>
      <c r="AL269" s="1" t="s">
        <v>5739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5740</v>
      </c>
      <c r="AS269" s="1">
        <v>0</v>
      </c>
      <c r="AT269" s="1" t="s">
        <v>1891</v>
      </c>
      <c r="AU269" s="1">
        <v>10</v>
      </c>
      <c r="AV269" s="1">
        <v>18084</v>
      </c>
      <c r="AW269" s="1">
        <v>0</v>
      </c>
      <c r="AX269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432"/>
  <sheetViews>
    <sheetView workbookViewId="0">
      <pane ySplit="1" topLeftCell="A407" activePane="bottomLeft" state="frozen"/>
      <selection pane="bottomLeft" activeCell="C432" sqref="C432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1862</v>
      </c>
      <c r="C1" s="43" t="s">
        <v>219</v>
      </c>
      <c r="D1" s="43" t="s">
        <v>323</v>
      </c>
      <c r="E1" s="43" t="s">
        <v>2690</v>
      </c>
      <c r="F1" s="43" t="s">
        <v>2691</v>
      </c>
      <c r="G1" s="43" t="s">
        <v>2692</v>
      </c>
      <c r="H1" s="43" t="s">
        <v>2693</v>
      </c>
      <c r="I1" s="43" t="s">
        <v>1005</v>
      </c>
      <c r="J1" s="43" t="s">
        <v>61</v>
      </c>
      <c r="K1" s="43" t="s">
        <v>220</v>
      </c>
      <c r="L1" s="43" t="s">
        <v>324</v>
      </c>
      <c r="M1" s="43" t="s">
        <v>2694</v>
      </c>
      <c r="N1" s="43" t="s">
        <v>2695</v>
      </c>
      <c r="O1" s="43" t="s">
        <v>2696</v>
      </c>
      <c r="P1" s="43" t="s">
        <v>2697</v>
      </c>
      <c r="Q1" s="43" t="s">
        <v>2698</v>
      </c>
      <c r="R1" s="43" t="s">
        <v>2699</v>
      </c>
      <c r="S1" s="43" t="s">
        <v>2700</v>
      </c>
      <c r="T1" s="43" t="s">
        <v>2701</v>
      </c>
      <c r="U1" s="43" t="s">
        <v>1158</v>
      </c>
      <c r="V1" s="43" t="s">
        <v>1159</v>
      </c>
      <c r="W1" s="43" t="s">
        <v>1160</v>
      </c>
      <c r="X1" s="43" t="s">
        <v>2702</v>
      </c>
      <c r="Y1" s="43" t="s">
        <v>1161</v>
      </c>
      <c r="Z1" s="43" t="s">
        <v>1162</v>
      </c>
      <c r="AA1" s="43" t="s">
        <v>1163</v>
      </c>
      <c r="AB1" s="43" t="s">
        <v>221</v>
      </c>
      <c r="AC1" s="43" t="s">
        <v>2703</v>
      </c>
      <c r="AD1" s="43" t="s">
        <v>2704</v>
      </c>
      <c r="AE1" s="43" t="s">
        <v>1164</v>
      </c>
      <c r="AF1" s="43" t="s">
        <v>2705</v>
      </c>
      <c r="AG1" s="43" t="s">
        <v>41</v>
      </c>
      <c r="AH1" s="43" t="s">
        <v>42</v>
      </c>
      <c r="AI1" s="43" t="s">
        <v>1165</v>
      </c>
      <c r="AJ1" s="43" t="s">
        <v>635</v>
      </c>
      <c r="AK1" s="43" t="s">
        <v>1166</v>
      </c>
      <c r="AL1" s="43" t="s">
        <v>2706</v>
      </c>
      <c r="AM1" s="43" t="s">
        <v>2707</v>
      </c>
      <c r="AN1" s="43" t="s">
        <v>2708</v>
      </c>
      <c r="AO1" s="43" t="s">
        <v>2709</v>
      </c>
      <c r="AP1" s="43" t="s">
        <v>2710</v>
      </c>
      <c r="AQ1" s="43" t="s">
        <v>1167</v>
      </c>
      <c r="AR1" s="43" t="s">
        <v>1168</v>
      </c>
      <c r="AS1" s="43" t="s">
        <v>1169</v>
      </c>
      <c r="AT1" t="s">
        <v>2711</v>
      </c>
      <c r="AU1" t="s">
        <v>2712</v>
      </c>
      <c r="AV1" t="s">
        <v>588</v>
      </c>
      <c r="AW1" t="s">
        <v>2713</v>
      </c>
      <c r="AX1" t="s">
        <v>2714</v>
      </c>
      <c r="AY1" t="s">
        <v>2715</v>
      </c>
      <c r="AZ1" t="s">
        <v>2716</v>
      </c>
      <c r="BA1" t="s">
        <v>2717</v>
      </c>
      <c r="BB1" t="s">
        <v>2718</v>
      </c>
      <c r="BC1" t="s">
        <v>2719</v>
      </c>
      <c r="BD1" t="s">
        <v>2720</v>
      </c>
    </row>
    <row r="2" spans="1:57" x14ac:dyDescent="0.25">
      <c r="A2" s="1">
        <v>1</v>
      </c>
      <c r="B2" s="1" t="s">
        <v>2721</v>
      </c>
      <c r="C2" s="9" t="s">
        <v>19</v>
      </c>
      <c r="D2" s="1" t="s">
        <v>2722</v>
      </c>
      <c r="E2" s="1"/>
      <c r="F2" s="1"/>
      <c r="G2" s="1" t="s">
        <v>2723</v>
      </c>
      <c r="H2" s="1" t="s">
        <v>2724</v>
      </c>
      <c r="I2" s="1" t="s">
        <v>2725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330</v>
      </c>
      <c r="AK2" s="1" t="s">
        <v>330</v>
      </c>
      <c r="AL2" s="1">
        <v>13</v>
      </c>
      <c r="AM2" s="1" t="s">
        <v>1891</v>
      </c>
      <c r="AN2" s="1" t="s">
        <v>4826</v>
      </c>
      <c r="AO2" s="1" t="s">
        <v>4827</v>
      </c>
      <c r="AP2" s="1">
        <v>0</v>
      </c>
      <c r="AQ2" s="1" t="s">
        <v>4828</v>
      </c>
      <c r="AR2" s="1" t="s">
        <v>1171</v>
      </c>
      <c r="AS2" s="1" t="s">
        <v>1172</v>
      </c>
      <c r="AT2" s="1" t="s">
        <v>330</v>
      </c>
      <c r="AU2" s="1">
        <v>1</v>
      </c>
      <c r="AV2" s="1">
        <v>0</v>
      </c>
      <c r="AW2" s="1" t="s">
        <v>4577</v>
      </c>
      <c r="AX2" s="1" t="s">
        <v>472</v>
      </c>
      <c r="AY2" s="1">
        <v>4</v>
      </c>
      <c r="AZ2" s="1">
        <v>0</v>
      </c>
      <c r="BA2" s="1" t="s">
        <v>4829</v>
      </c>
      <c r="BB2" s="1" t="s">
        <v>372</v>
      </c>
      <c r="BC2" s="1" t="s">
        <v>4806</v>
      </c>
      <c r="BD2" s="1">
        <v>10302</v>
      </c>
      <c r="BE2" s="1"/>
    </row>
    <row r="3" spans="1:57" x14ac:dyDescent="0.25">
      <c r="A3" s="1">
        <v>2</v>
      </c>
      <c r="B3" s="1" t="s">
        <v>2726</v>
      </c>
      <c r="C3" s="9" t="s">
        <v>62</v>
      </c>
      <c r="D3" s="1" t="s">
        <v>62</v>
      </c>
      <c r="E3" s="1"/>
      <c r="F3" s="1"/>
      <c r="G3" s="1" t="s">
        <v>2727</v>
      </c>
      <c r="H3" s="1" t="s">
        <v>2728</v>
      </c>
      <c r="I3" s="1" t="s">
        <v>2729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1173</v>
      </c>
      <c r="AK3" s="1" t="s">
        <v>330</v>
      </c>
      <c r="AL3" s="1">
        <v>13</v>
      </c>
      <c r="AM3" s="1" t="s">
        <v>1891</v>
      </c>
      <c r="AN3" s="1" t="s">
        <v>4826</v>
      </c>
      <c r="AO3" s="1" t="s">
        <v>4830</v>
      </c>
      <c r="AP3" s="1">
        <v>0</v>
      </c>
      <c r="AQ3" s="1" t="s">
        <v>1170</v>
      </c>
      <c r="AR3" s="1" t="s">
        <v>1796</v>
      </c>
      <c r="AS3" s="1" t="s">
        <v>1172</v>
      </c>
      <c r="AT3" s="1" t="s">
        <v>330</v>
      </c>
      <c r="AU3" s="1">
        <v>2</v>
      </c>
      <c r="AV3" s="1">
        <v>0</v>
      </c>
      <c r="AW3" s="1" t="s">
        <v>4577</v>
      </c>
      <c r="AX3" s="1" t="s">
        <v>472</v>
      </c>
      <c r="AY3" s="1">
        <v>2</v>
      </c>
      <c r="AZ3" s="1">
        <v>0</v>
      </c>
      <c r="BA3" s="1" t="s">
        <v>4831</v>
      </c>
      <c r="BB3" s="1" t="s">
        <v>4832</v>
      </c>
      <c r="BC3" s="1" t="s">
        <v>4806</v>
      </c>
      <c r="BD3" s="1">
        <v>10202</v>
      </c>
      <c r="BE3" s="1"/>
    </row>
    <row r="4" spans="1:57" x14ac:dyDescent="0.25">
      <c r="A4" s="1">
        <v>3</v>
      </c>
      <c r="B4" s="1" t="s">
        <v>2730</v>
      </c>
      <c r="C4" s="9" t="s">
        <v>63</v>
      </c>
      <c r="D4" s="1" t="s">
        <v>63</v>
      </c>
      <c r="E4" s="1"/>
      <c r="F4" s="1"/>
      <c r="G4" s="1" t="s">
        <v>2731</v>
      </c>
      <c r="H4" s="1" t="s">
        <v>2732</v>
      </c>
      <c r="I4" s="1" t="s">
        <v>2733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1173</v>
      </c>
      <c r="AK4" s="1" t="s">
        <v>330</v>
      </c>
      <c r="AL4" s="1">
        <v>13</v>
      </c>
      <c r="AM4" s="1" t="s">
        <v>1891</v>
      </c>
      <c r="AN4" s="1" t="s">
        <v>4833</v>
      </c>
      <c r="AO4" s="1" t="s">
        <v>4834</v>
      </c>
      <c r="AP4" s="1">
        <v>0</v>
      </c>
      <c r="AQ4" s="1" t="s">
        <v>4828</v>
      </c>
      <c r="AR4" s="1" t="s">
        <v>1171</v>
      </c>
      <c r="AS4" s="1" t="s">
        <v>1172</v>
      </c>
      <c r="AT4" s="1" t="s">
        <v>330</v>
      </c>
      <c r="AU4" s="1">
        <v>3</v>
      </c>
      <c r="AV4" s="1">
        <v>0</v>
      </c>
      <c r="AW4" s="1" t="s">
        <v>4577</v>
      </c>
      <c r="AX4" s="1" t="s">
        <v>472</v>
      </c>
      <c r="AY4" s="1">
        <v>3</v>
      </c>
      <c r="AZ4" s="1">
        <v>0</v>
      </c>
      <c r="BA4" s="1" t="s">
        <v>330</v>
      </c>
      <c r="BB4" s="1" t="s">
        <v>4835</v>
      </c>
      <c r="BC4" s="1" t="s">
        <v>4806</v>
      </c>
      <c r="BD4" s="1">
        <v>10202</v>
      </c>
      <c r="BE4" s="1"/>
    </row>
    <row r="5" spans="1:57" x14ac:dyDescent="0.25">
      <c r="A5" s="1">
        <v>4</v>
      </c>
      <c r="B5" s="1" t="s">
        <v>2734</v>
      </c>
      <c r="C5" s="9" t="s">
        <v>64</v>
      </c>
      <c r="D5" s="1" t="s">
        <v>64</v>
      </c>
      <c r="E5" s="1"/>
      <c r="F5" s="1"/>
      <c r="G5" s="1" t="s">
        <v>2735</v>
      </c>
      <c r="H5" s="1" t="s">
        <v>2736</v>
      </c>
      <c r="I5" s="1" t="s">
        <v>2737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1174</v>
      </c>
      <c r="AK5" s="1" t="s">
        <v>1175</v>
      </c>
      <c r="AL5" s="1">
        <v>13</v>
      </c>
      <c r="AM5" s="1" t="s">
        <v>1891</v>
      </c>
      <c r="AN5" s="1" t="s">
        <v>4836</v>
      </c>
      <c r="AO5" s="1" t="s">
        <v>4837</v>
      </c>
      <c r="AP5" s="1">
        <v>0</v>
      </c>
      <c r="AQ5" s="1" t="s">
        <v>1170</v>
      </c>
      <c r="AR5" s="1" t="s">
        <v>1171</v>
      </c>
      <c r="AS5" s="1" t="s">
        <v>1172</v>
      </c>
      <c r="AT5" s="1" t="s">
        <v>330</v>
      </c>
      <c r="AU5" s="1">
        <v>4</v>
      </c>
      <c r="AV5" s="1">
        <v>0</v>
      </c>
      <c r="AW5" s="1" t="s">
        <v>4838</v>
      </c>
      <c r="AX5" s="1" t="s">
        <v>4839</v>
      </c>
      <c r="AY5" s="1">
        <v>5</v>
      </c>
      <c r="AZ5" s="1">
        <v>0</v>
      </c>
      <c r="BA5" s="1" t="s">
        <v>330</v>
      </c>
      <c r="BB5" s="1" t="s">
        <v>330</v>
      </c>
      <c r="BC5" s="1" t="s">
        <v>4806</v>
      </c>
      <c r="BD5" s="1">
        <v>10202</v>
      </c>
      <c r="BE5" s="1"/>
    </row>
    <row r="6" spans="1:57" x14ac:dyDescent="0.25">
      <c r="A6" s="1">
        <v>5</v>
      </c>
      <c r="B6" s="1" t="s">
        <v>2738</v>
      </c>
      <c r="C6" s="9" t="s">
        <v>65</v>
      </c>
      <c r="D6" s="1" t="s">
        <v>65</v>
      </c>
      <c r="E6" s="1"/>
      <c r="F6" s="1"/>
      <c r="G6" s="1" t="s">
        <v>2739</v>
      </c>
      <c r="H6" s="1" t="s">
        <v>2740</v>
      </c>
      <c r="I6" s="1" t="s">
        <v>2741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1176</v>
      </c>
      <c r="AK6" s="1" t="s">
        <v>330</v>
      </c>
      <c r="AL6" s="1">
        <v>13</v>
      </c>
      <c r="AM6" s="1" t="s">
        <v>1891</v>
      </c>
      <c r="AN6" s="1" t="s">
        <v>4840</v>
      </c>
      <c r="AO6" s="1" t="s">
        <v>4841</v>
      </c>
      <c r="AP6" s="1">
        <v>0</v>
      </c>
      <c r="AQ6" s="1" t="s">
        <v>4828</v>
      </c>
      <c r="AR6" s="1" t="s">
        <v>1171</v>
      </c>
      <c r="AS6" s="1" t="s">
        <v>1172</v>
      </c>
      <c r="AT6" s="1" t="s">
        <v>330</v>
      </c>
      <c r="AU6" s="1">
        <v>5</v>
      </c>
      <c r="AV6" s="1">
        <v>0</v>
      </c>
      <c r="AW6" s="1" t="s">
        <v>4577</v>
      </c>
      <c r="AX6" s="1" t="s">
        <v>472</v>
      </c>
      <c r="AY6" s="1">
        <v>2</v>
      </c>
      <c r="AZ6" s="1">
        <v>0</v>
      </c>
      <c r="BA6" s="1" t="s">
        <v>4831</v>
      </c>
      <c r="BB6" s="1" t="s">
        <v>4842</v>
      </c>
      <c r="BC6" s="1" t="s">
        <v>4843</v>
      </c>
      <c r="BD6" s="1">
        <v>10302</v>
      </c>
      <c r="BE6" s="1"/>
    </row>
    <row r="7" spans="1:57" x14ac:dyDescent="0.25">
      <c r="A7" s="1">
        <v>6</v>
      </c>
      <c r="B7" s="1" t="s">
        <v>2742</v>
      </c>
      <c r="C7" s="9" t="s">
        <v>66</v>
      </c>
      <c r="D7" s="1" t="s">
        <v>2743</v>
      </c>
      <c r="E7" s="1"/>
      <c r="F7" s="1"/>
      <c r="G7" s="1" t="s">
        <v>2744</v>
      </c>
      <c r="H7" s="1" t="s">
        <v>2745</v>
      </c>
      <c r="I7" s="1" t="s">
        <v>2746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4844</v>
      </c>
      <c r="AK7" s="1" t="s">
        <v>330</v>
      </c>
      <c r="AL7" s="1">
        <v>13</v>
      </c>
      <c r="AM7" s="1" t="s">
        <v>1891</v>
      </c>
      <c r="AN7" s="1" t="s">
        <v>4833</v>
      </c>
      <c r="AO7" s="1" t="s">
        <v>4830</v>
      </c>
      <c r="AP7" s="1">
        <v>0</v>
      </c>
      <c r="AQ7" s="1" t="s">
        <v>1170</v>
      </c>
      <c r="AR7" s="1" t="s">
        <v>1171</v>
      </c>
      <c r="AS7" s="1" t="s">
        <v>1172</v>
      </c>
      <c r="AT7" s="1" t="s">
        <v>330</v>
      </c>
      <c r="AU7" s="1">
        <v>6</v>
      </c>
      <c r="AV7" s="1">
        <v>0</v>
      </c>
      <c r="AW7" s="1" t="s">
        <v>4577</v>
      </c>
      <c r="AX7" s="1" t="s">
        <v>472</v>
      </c>
      <c r="AY7" s="1">
        <v>3</v>
      </c>
      <c r="AZ7" s="1">
        <v>0</v>
      </c>
      <c r="BA7" s="1" t="s">
        <v>330</v>
      </c>
      <c r="BB7" s="1" t="s">
        <v>4845</v>
      </c>
      <c r="BC7" s="1" t="s">
        <v>4843</v>
      </c>
      <c r="BD7" s="1">
        <v>10302</v>
      </c>
      <c r="BE7" s="1"/>
    </row>
    <row r="8" spans="1:57" x14ac:dyDescent="0.25">
      <c r="A8" s="1">
        <v>7</v>
      </c>
      <c r="B8" s="1" t="s">
        <v>2747</v>
      </c>
      <c r="C8" s="9" t="s">
        <v>67</v>
      </c>
      <c r="D8" s="1" t="s">
        <v>2748</v>
      </c>
      <c r="E8" s="1"/>
      <c r="F8" s="1"/>
      <c r="G8" s="1" t="s">
        <v>2749</v>
      </c>
      <c r="H8" s="1" t="s">
        <v>2750</v>
      </c>
      <c r="I8" s="1" t="s">
        <v>2751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330</v>
      </c>
      <c r="AK8" s="1" t="s">
        <v>330</v>
      </c>
      <c r="AL8" s="1">
        <v>13</v>
      </c>
      <c r="AM8" s="1" t="s">
        <v>1891</v>
      </c>
      <c r="AN8" s="1" t="s">
        <v>4833</v>
      </c>
      <c r="AO8" s="1" t="s">
        <v>4846</v>
      </c>
      <c r="AP8" s="1">
        <v>0</v>
      </c>
      <c r="AQ8" s="1" t="s">
        <v>4828</v>
      </c>
      <c r="AR8" s="1" t="s">
        <v>1171</v>
      </c>
      <c r="AS8" s="1" t="s">
        <v>4847</v>
      </c>
      <c r="AT8" s="1" t="s">
        <v>330</v>
      </c>
      <c r="AU8" s="1">
        <v>7</v>
      </c>
      <c r="AV8" s="1">
        <v>0</v>
      </c>
      <c r="AW8" s="1" t="s">
        <v>4577</v>
      </c>
      <c r="AX8" s="1" t="s">
        <v>4848</v>
      </c>
      <c r="AY8" s="1">
        <v>4</v>
      </c>
      <c r="AZ8" s="1">
        <v>0</v>
      </c>
      <c r="BA8" s="1" t="s">
        <v>4829</v>
      </c>
      <c r="BB8" s="1" t="s">
        <v>486</v>
      </c>
      <c r="BC8" s="1" t="s">
        <v>4843</v>
      </c>
      <c r="BD8" s="1">
        <v>10303</v>
      </c>
      <c r="BE8" s="1"/>
    </row>
    <row r="9" spans="1:57" x14ac:dyDescent="0.25">
      <c r="A9" s="1">
        <v>8</v>
      </c>
      <c r="B9" s="1" t="s">
        <v>2752</v>
      </c>
      <c r="C9" s="9" t="s">
        <v>68</v>
      </c>
      <c r="D9" s="1" t="s">
        <v>2753</v>
      </c>
      <c r="E9" s="1"/>
      <c r="F9" s="1"/>
      <c r="G9" s="1" t="s">
        <v>2754</v>
      </c>
      <c r="H9" s="1" t="s">
        <v>2755</v>
      </c>
      <c r="I9" s="1" t="s">
        <v>2756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1177</v>
      </c>
      <c r="AK9" s="1" t="s">
        <v>1178</v>
      </c>
      <c r="AL9" s="1">
        <v>13</v>
      </c>
      <c r="AM9" s="1" t="s">
        <v>1891</v>
      </c>
      <c r="AN9" s="1" t="s">
        <v>4849</v>
      </c>
      <c r="AO9" s="1" t="s">
        <v>4850</v>
      </c>
      <c r="AP9" s="1">
        <v>0</v>
      </c>
      <c r="AQ9" s="1" t="s">
        <v>4828</v>
      </c>
      <c r="AR9" s="1" t="s">
        <v>1796</v>
      </c>
      <c r="AS9" s="1" t="s">
        <v>1172</v>
      </c>
      <c r="AT9" s="1" t="s">
        <v>330</v>
      </c>
      <c r="AU9" s="1">
        <v>8</v>
      </c>
      <c r="AV9" s="1">
        <v>0</v>
      </c>
      <c r="AW9" s="1" t="s">
        <v>4577</v>
      </c>
      <c r="AX9" s="1" t="s">
        <v>472</v>
      </c>
      <c r="AY9" s="1">
        <v>3</v>
      </c>
      <c r="AZ9" s="1">
        <v>0</v>
      </c>
      <c r="BA9" s="1" t="s">
        <v>4851</v>
      </c>
      <c r="BB9" s="1" t="s">
        <v>4852</v>
      </c>
      <c r="BC9" s="1" t="s">
        <v>4843</v>
      </c>
      <c r="BD9" s="1">
        <v>10704</v>
      </c>
      <c r="BE9" s="1"/>
    </row>
    <row r="10" spans="1:57" x14ac:dyDescent="0.25">
      <c r="A10" s="1">
        <v>9</v>
      </c>
      <c r="B10" s="1" t="s">
        <v>2757</v>
      </c>
      <c r="C10" s="9" t="s">
        <v>69</v>
      </c>
      <c r="D10" s="1" t="s">
        <v>69</v>
      </c>
      <c r="E10" s="1"/>
      <c r="F10" s="1"/>
      <c r="G10" s="1" t="s">
        <v>2758</v>
      </c>
      <c r="H10" s="1" t="s">
        <v>2759</v>
      </c>
      <c r="I10" s="1" t="s">
        <v>2760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1179</v>
      </c>
      <c r="AK10" s="1" t="s">
        <v>330</v>
      </c>
      <c r="AL10" s="1">
        <v>13</v>
      </c>
      <c r="AM10" s="1" t="s">
        <v>1891</v>
      </c>
      <c r="AN10" s="1" t="s">
        <v>4833</v>
      </c>
      <c r="AO10" s="1" t="s">
        <v>4853</v>
      </c>
      <c r="AP10" s="1">
        <v>0</v>
      </c>
      <c r="AQ10" s="1" t="s">
        <v>1170</v>
      </c>
      <c r="AR10" s="1" t="s">
        <v>1171</v>
      </c>
      <c r="AS10" s="1" t="s">
        <v>1172</v>
      </c>
      <c r="AT10" s="1" t="s">
        <v>330</v>
      </c>
      <c r="AU10" s="1">
        <v>9</v>
      </c>
      <c r="AV10" s="1">
        <v>0</v>
      </c>
      <c r="AW10" s="1" t="s">
        <v>4577</v>
      </c>
      <c r="AX10" s="1" t="s">
        <v>472</v>
      </c>
      <c r="AY10" s="1">
        <v>2</v>
      </c>
      <c r="AZ10" s="1">
        <v>0</v>
      </c>
      <c r="BA10" s="1" t="s">
        <v>330</v>
      </c>
      <c r="BB10" s="1" t="s">
        <v>4854</v>
      </c>
      <c r="BC10" s="1" t="s">
        <v>4855</v>
      </c>
      <c r="BD10" s="1">
        <v>10803</v>
      </c>
      <c r="BE10" s="1"/>
    </row>
    <row r="11" spans="1:57" x14ac:dyDescent="0.25">
      <c r="A11" s="1">
        <v>10</v>
      </c>
      <c r="B11" s="1" t="s">
        <v>2761</v>
      </c>
      <c r="C11" s="9" t="s">
        <v>70</v>
      </c>
      <c r="D11" s="1" t="s">
        <v>70</v>
      </c>
      <c r="E11" s="1"/>
      <c r="F11" s="1"/>
      <c r="G11" s="1" t="s">
        <v>2762</v>
      </c>
      <c r="H11" s="1" t="s">
        <v>2763</v>
      </c>
      <c r="I11" s="1" t="s">
        <v>2764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4856</v>
      </c>
      <c r="AK11" s="1" t="s">
        <v>330</v>
      </c>
      <c r="AL11" s="1">
        <v>13</v>
      </c>
      <c r="AM11" s="1" t="s">
        <v>1891</v>
      </c>
      <c r="AN11" s="1" t="s">
        <v>4849</v>
      </c>
      <c r="AO11" s="1" t="s">
        <v>4857</v>
      </c>
      <c r="AP11" s="1">
        <v>0</v>
      </c>
      <c r="AQ11" s="1" t="s">
        <v>4828</v>
      </c>
      <c r="AR11" s="1" t="s">
        <v>1171</v>
      </c>
      <c r="AS11" s="1" t="s">
        <v>1172</v>
      </c>
      <c r="AT11" s="1" t="s">
        <v>330</v>
      </c>
      <c r="AU11" s="1">
        <v>10</v>
      </c>
      <c r="AV11" s="1">
        <v>0</v>
      </c>
      <c r="AW11" s="1" t="s">
        <v>4577</v>
      </c>
      <c r="AX11" s="1" t="s">
        <v>472</v>
      </c>
      <c r="AY11" s="1">
        <v>2</v>
      </c>
      <c r="AZ11" s="1">
        <v>0</v>
      </c>
      <c r="BA11" s="1" t="s">
        <v>330</v>
      </c>
      <c r="BB11" s="1" t="s">
        <v>4858</v>
      </c>
      <c r="BC11" s="1" t="s">
        <v>4855</v>
      </c>
      <c r="BD11" s="1">
        <v>10303</v>
      </c>
      <c r="BE11" s="1"/>
    </row>
    <row r="12" spans="1:57" x14ac:dyDescent="0.25">
      <c r="A12" s="1">
        <v>11</v>
      </c>
      <c r="B12" s="1" t="s">
        <v>2765</v>
      </c>
      <c r="C12" s="9" t="s">
        <v>71</v>
      </c>
      <c r="D12" s="1" t="s">
        <v>71</v>
      </c>
      <c r="E12" s="1"/>
      <c r="F12" s="1"/>
      <c r="G12" s="1" t="s">
        <v>2766</v>
      </c>
      <c r="H12" s="1" t="s">
        <v>2767</v>
      </c>
      <c r="I12" s="1" t="s">
        <v>2768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1177</v>
      </c>
      <c r="AK12" s="1" t="s">
        <v>330</v>
      </c>
      <c r="AL12" s="1">
        <v>13</v>
      </c>
      <c r="AM12" s="1" t="s">
        <v>1891</v>
      </c>
      <c r="AN12" s="1" t="s">
        <v>4859</v>
      </c>
      <c r="AO12" s="1" t="s">
        <v>4860</v>
      </c>
      <c r="AP12" s="1">
        <v>0</v>
      </c>
      <c r="AQ12" s="1" t="s">
        <v>1170</v>
      </c>
      <c r="AR12" s="1" t="s">
        <v>1171</v>
      </c>
      <c r="AS12" s="1" t="s">
        <v>1172</v>
      </c>
      <c r="AT12" s="1" t="s">
        <v>330</v>
      </c>
      <c r="AU12" s="1">
        <v>11</v>
      </c>
      <c r="AV12" s="1">
        <v>0</v>
      </c>
      <c r="AW12" s="1" t="s">
        <v>4577</v>
      </c>
      <c r="AX12" s="1" t="s">
        <v>472</v>
      </c>
      <c r="AY12" s="1">
        <v>3</v>
      </c>
      <c r="AZ12" s="1">
        <v>0</v>
      </c>
      <c r="BA12" s="1" t="s">
        <v>330</v>
      </c>
      <c r="BB12" s="1" t="s">
        <v>4861</v>
      </c>
      <c r="BC12" s="1" t="s">
        <v>4855</v>
      </c>
      <c r="BD12" s="1">
        <v>10303</v>
      </c>
      <c r="BE12" s="1"/>
    </row>
    <row r="13" spans="1:57" x14ac:dyDescent="0.25">
      <c r="A13" s="1">
        <v>12</v>
      </c>
      <c r="B13" s="1" t="s">
        <v>2769</v>
      </c>
      <c r="C13" s="9" t="s">
        <v>72</v>
      </c>
      <c r="D13" s="1" t="s">
        <v>72</v>
      </c>
      <c r="E13" s="1"/>
      <c r="F13" s="1"/>
      <c r="G13" s="1" t="s">
        <v>2770</v>
      </c>
      <c r="H13" s="1" t="s">
        <v>2771</v>
      </c>
      <c r="I13" s="1" t="s">
        <v>2772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1177</v>
      </c>
      <c r="AK13" s="1" t="s">
        <v>330</v>
      </c>
      <c r="AL13" s="1">
        <v>13</v>
      </c>
      <c r="AM13" s="1" t="s">
        <v>1891</v>
      </c>
      <c r="AN13" s="1" t="s">
        <v>4862</v>
      </c>
      <c r="AO13" s="1" t="s">
        <v>4863</v>
      </c>
      <c r="AP13" s="1">
        <v>0</v>
      </c>
      <c r="AQ13" s="1" t="s">
        <v>4828</v>
      </c>
      <c r="AR13" s="1" t="s">
        <v>1171</v>
      </c>
      <c r="AS13" s="1" t="s">
        <v>1172</v>
      </c>
      <c r="AT13" s="1" t="s">
        <v>330</v>
      </c>
      <c r="AU13" s="1">
        <v>12</v>
      </c>
      <c r="AV13" s="1">
        <v>0</v>
      </c>
      <c r="AW13" s="1" t="s">
        <v>4577</v>
      </c>
      <c r="AX13" s="1" t="s">
        <v>472</v>
      </c>
      <c r="AY13" s="1">
        <v>3</v>
      </c>
      <c r="AZ13" s="1">
        <v>0</v>
      </c>
      <c r="BA13" s="1" t="s">
        <v>4851</v>
      </c>
      <c r="BB13" s="1" t="s">
        <v>4864</v>
      </c>
      <c r="BC13" s="1" t="s">
        <v>4855</v>
      </c>
      <c r="BD13" s="1">
        <v>10302</v>
      </c>
      <c r="BE13" s="1"/>
    </row>
    <row r="14" spans="1:57" x14ac:dyDescent="0.25">
      <c r="A14" s="1">
        <v>13</v>
      </c>
      <c r="B14" s="1" t="s">
        <v>2773</v>
      </c>
      <c r="C14" s="9" t="s">
        <v>73</v>
      </c>
      <c r="D14" s="1" t="s">
        <v>2774</v>
      </c>
      <c r="E14" s="1"/>
      <c r="F14" s="1"/>
      <c r="G14" s="1" t="s">
        <v>2775</v>
      </c>
      <c r="H14" s="1" t="s">
        <v>2776</v>
      </c>
      <c r="I14" s="1" t="s">
        <v>2777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4865</v>
      </c>
      <c r="AK14" s="1" t="s">
        <v>330</v>
      </c>
      <c r="AL14" s="1">
        <v>13</v>
      </c>
      <c r="AM14" s="1" t="s">
        <v>1891</v>
      </c>
      <c r="AN14" s="1" t="s">
        <v>4866</v>
      </c>
      <c r="AO14" s="1" t="s">
        <v>4867</v>
      </c>
      <c r="AP14" s="1">
        <v>0</v>
      </c>
      <c r="AQ14" s="1" t="s">
        <v>1170</v>
      </c>
      <c r="AR14" s="1" t="s">
        <v>1171</v>
      </c>
      <c r="AS14" s="1" t="s">
        <v>1172</v>
      </c>
      <c r="AT14" s="1" t="s">
        <v>330</v>
      </c>
      <c r="AU14" s="1">
        <v>13</v>
      </c>
      <c r="AV14" s="1">
        <v>0</v>
      </c>
      <c r="AW14" s="1" t="s">
        <v>4577</v>
      </c>
      <c r="AX14" s="1" t="s">
        <v>472</v>
      </c>
      <c r="AY14" s="1">
        <v>3</v>
      </c>
      <c r="AZ14" s="1">
        <v>0</v>
      </c>
      <c r="BA14" s="1" t="s">
        <v>330</v>
      </c>
      <c r="BB14" s="1" t="s">
        <v>4868</v>
      </c>
      <c r="BC14" s="1" t="s">
        <v>4869</v>
      </c>
      <c r="BD14" s="1">
        <v>10704</v>
      </c>
      <c r="BE14" s="1"/>
    </row>
    <row r="15" spans="1:57" x14ac:dyDescent="0.25">
      <c r="A15" s="1">
        <v>14</v>
      </c>
      <c r="B15" s="1" t="s">
        <v>2778</v>
      </c>
      <c r="C15" s="9" t="s">
        <v>74</v>
      </c>
      <c r="D15" s="1" t="s">
        <v>2779</v>
      </c>
      <c r="E15" s="1"/>
      <c r="F15" s="1"/>
      <c r="G15" s="1" t="s">
        <v>2780</v>
      </c>
      <c r="H15" s="1" t="s">
        <v>2781</v>
      </c>
      <c r="I15" s="1" t="s">
        <v>2782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1177</v>
      </c>
      <c r="AK15" s="1" t="s">
        <v>330</v>
      </c>
      <c r="AL15" s="1">
        <v>13</v>
      </c>
      <c r="AM15" s="1" t="s">
        <v>1891</v>
      </c>
      <c r="AN15" s="1" t="s">
        <v>4870</v>
      </c>
      <c r="AO15" s="1" t="s">
        <v>4871</v>
      </c>
      <c r="AP15" s="1">
        <v>0</v>
      </c>
      <c r="AQ15" s="1" t="s">
        <v>1170</v>
      </c>
      <c r="AR15" s="1" t="s">
        <v>1796</v>
      </c>
      <c r="AS15" s="1" t="s">
        <v>1172</v>
      </c>
      <c r="AT15" s="1" t="s">
        <v>330</v>
      </c>
      <c r="AU15" s="1">
        <v>14</v>
      </c>
      <c r="AV15" s="1">
        <v>0</v>
      </c>
      <c r="AW15" s="1" t="s">
        <v>4577</v>
      </c>
      <c r="AX15" s="1" t="s">
        <v>472</v>
      </c>
      <c r="AY15" s="1">
        <v>3</v>
      </c>
      <c r="AZ15" s="1">
        <v>0</v>
      </c>
      <c r="BA15" s="1" t="s">
        <v>330</v>
      </c>
      <c r="BB15" s="1" t="s">
        <v>4872</v>
      </c>
      <c r="BC15" s="1" t="s">
        <v>330</v>
      </c>
      <c r="BD15" s="1">
        <v>10303</v>
      </c>
      <c r="BE15" s="1"/>
    </row>
    <row r="16" spans="1:57" x14ac:dyDescent="0.25">
      <c r="A16" s="1">
        <v>15</v>
      </c>
      <c r="B16" s="1" t="s">
        <v>2783</v>
      </c>
      <c r="C16" s="9" t="s">
        <v>75</v>
      </c>
      <c r="D16" s="1" t="s">
        <v>2784</v>
      </c>
      <c r="E16" s="1"/>
      <c r="F16" s="1"/>
      <c r="G16" s="1" t="s">
        <v>2785</v>
      </c>
      <c r="H16" s="1" t="s">
        <v>2786</v>
      </c>
      <c r="I16" s="1" t="s">
        <v>2787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1177</v>
      </c>
      <c r="AK16" s="1" t="s">
        <v>330</v>
      </c>
      <c r="AL16" s="1">
        <v>13</v>
      </c>
      <c r="AM16" s="1" t="s">
        <v>1891</v>
      </c>
      <c r="AN16" s="1" t="s">
        <v>4873</v>
      </c>
      <c r="AO16" s="1" t="s">
        <v>4863</v>
      </c>
      <c r="AP16" s="1">
        <v>0</v>
      </c>
      <c r="AQ16" s="1" t="s">
        <v>4828</v>
      </c>
      <c r="AR16" s="1" t="s">
        <v>1171</v>
      </c>
      <c r="AS16" s="1" t="s">
        <v>1172</v>
      </c>
      <c r="AT16" s="1" t="s">
        <v>330</v>
      </c>
      <c r="AU16" s="1">
        <v>15</v>
      </c>
      <c r="AV16" s="1">
        <v>0</v>
      </c>
      <c r="AW16" s="1" t="s">
        <v>4577</v>
      </c>
      <c r="AX16" s="1" t="s">
        <v>4874</v>
      </c>
      <c r="AY16" s="1">
        <v>3</v>
      </c>
      <c r="AZ16" s="1">
        <v>0</v>
      </c>
      <c r="BA16" s="1" t="s">
        <v>330</v>
      </c>
      <c r="BB16" s="1" t="s">
        <v>4875</v>
      </c>
      <c r="BC16" s="1" t="s">
        <v>330</v>
      </c>
      <c r="BD16" s="1">
        <v>10802</v>
      </c>
      <c r="BE16" s="1"/>
    </row>
    <row r="17" spans="1:57" x14ac:dyDescent="0.25">
      <c r="A17" s="1">
        <v>16</v>
      </c>
      <c r="B17" s="1" t="s">
        <v>2788</v>
      </c>
      <c r="C17" s="9" t="s">
        <v>76</v>
      </c>
      <c r="D17" s="1" t="s">
        <v>2789</v>
      </c>
      <c r="E17" s="1"/>
      <c r="F17" s="1"/>
      <c r="G17" s="1" t="s">
        <v>2790</v>
      </c>
      <c r="H17" s="1" t="s">
        <v>2791</v>
      </c>
      <c r="I17" s="1" t="s">
        <v>2792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1180</v>
      </c>
      <c r="AK17" s="1" t="s">
        <v>330</v>
      </c>
      <c r="AL17" s="1">
        <v>13</v>
      </c>
      <c r="AM17" s="1" t="s">
        <v>4876</v>
      </c>
      <c r="AN17" s="1" t="s">
        <v>390</v>
      </c>
      <c r="AO17" s="1" t="s">
        <v>4877</v>
      </c>
      <c r="AP17" s="1">
        <v>0</v>
      </c>
      <c r="AQ17" s="1" t="s">
        <v>1797</v>
      </c>
      <c r="AR17" s="1" t="s">
        <v>1171</v>
      </c>
      <c r="AS17" s="1" t="s">
        <v>1182</v>
      </c>
      <c r="AT17" s="1" t="s">
        <v>330</v>
      </c>
      <c r="AU17" s="1">
        <v>16</v>
      </c>
      <c r="AV17" s="1">
        <v>0</v>
      </c>
      <c r="AW17" s="1" t="s">
        <v>4577</v>
      </c>
      <c r="AX17" s="1" t="s">
        <v>333</v>
      </c>
      <c r="AY17" s="1">
        <v>5</v>
      </c>
      <c r="AZ17" s="1">
        <v>0</v>
      </c>
      <c r="BA17" s="1" t="s">
        <v>330</v>
      </c>
      <c r="BB17" s="1" t="s">
        <v>4878</v>
      </c>
      <c r="BC17" s="1" t="s">
        <v>4806</v>
      </c>
      <c r="BD17" s="1">
        <v>102</v>
      </c>
      <c r="BE17" s="1"/>
    </row>
    <row r="18" spans="1:57" x14ac:dyDescent="0.25">
      <c r="A18" s="1">
        <v>17</v>
      </c>
      <c r="B18" s="1" t="s">
        <v>2793</v>
      </c>
      <c r="C18" s="9" t="s">
        <v>77</v>
      </c>
      <c r="D18" s="1" t="s">
        <v>77</v>
      </c>
      <c r="E18" s="1"/>
      <c r="F18" s="1"/>
      <c r="G18" s="1" t="s">
        <v>2794</v>
      </c>
      <c r="H18" s="1" t="s">
        <v>2795</v>
      </c>
      <c r="I18" s="1" t="s">
        <v>2796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1173</v>
      </c>
      <c r="AK18" s="1" t="s">
        <v>330</v>
      </c>
      <c r="AL18" s="1">
        <v>13</v>
      </c>
      <c r="AM18" s="1" t="s">
        <v>4876</v>
      </c>
      <c r="AN18" s="1" t="s">
        <v>4879</v>
      </c>
      <c r="AO18" s="1" t="s">
        <v>4880</v>
      </c>
      <c r="AP18" s="1">
        <v>0</v>
      </c>
      <c r="AQ18" s="1" t="s">
        <v>1181</v>
      </c>
      <c r="AR18" s="1" t="s">
        <v>1171</v>
      </c>
      <c r="AS18" s="1" t="s">
        <v>1798</v>
      </c>
      <c r="AT18" s="1" t="s">
        <v>330</v>
      </c>
      <c r="AU18" s="1">
        <v>17</v>
      </c>
      <c r="AV18" s="1">
        <v>0</v>
      </c>
      <c r="AW18" s="1" t="s">
        <v>4577</v>
      </c>
      <c r="AX18" s="1" t="s">
        <v>472</v>
      </c>
      <c r="AY18" s="1">
        <v>2</v>
      </c>
      <c r="AZ18" s="1">
        <v>0</v>
      </c>
      <c r="BA18" s="1" t="s">
        <v>330</v>
      </c>
      <c r="BB18" s="1" t="s">
        <v>327</v>
      </c>
      <c r="BC18" s="1" t="s">
        <v>4806</v>
      </c>
      <c r="BD18" s="1">
        <v>10303</v>
      </c>
      <c r="BE18" s="1"/>
    </row>
    <row r="19" spans="1:57" x14ac:dyDescent="0.25">
      <c r="A19" s="1">
        <v>18</v>
      </c>
      <c r="B19" s="1" t="s">
        <v>2797</v>
      </c>
      <c r="C19" s="9" t="s">
        <v>78</v>
      </c>
      <c r="D19" s="1" t="s">
        <v>2798</v>
      </c>
      <c r="E19" s="1"/>
      <c r="F19" s="1"/>
      <c r="G19" s="1" t="s">
        <v>2799</v>
      </c>
      <c r="H19" s="1" t="s">
        <v>2800</v>
      </c>
      <c r="I19" s="1" t="s">
        <v>2801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1173</v>
      </c>
      <c r="AK19" s="1" t="s">
        <v>330</v>
      </c>
      <c r="AL19" s="1">
        <v>13</v>
      </c>
      <c r="AM19" s="1" t="s">
        <v>4876</v>
      </c>
      <c r="AN19" s="1" t="s">
        <v>4881</v>
      </c>
      <c r="AO19" s="1" t="s">
        <v>4882</v>
      </c>
      <c r="AP19" s="1">
        <v>0</v>
      </c>
      <c r="AQ19" s="1" t="s">
        <v>1181</v>
      </c>
      <c r="AR19" s="1" t="s">
        <v>1171</v>
      </c>
      <c r="AS19" s="1" t="s">
        <v>1798</v>
      </c>
      <c r="AT19" s="1" t="s">
        <v>330</v>
      </c>
      <c r="AU19" s="1">
        <v>18</v>
      </c>
      <c r="AV19" s="1">
        <v>0</v>
      </c>
      <c r="AW19" s="1" t="s">
        <v>4577</v>
      </c>
      <c r="AX19" s="1" t="s">
        <v>4883</v>
      </c>
      <c r="AY19" s="1">
        <v>3</v>
      </c>
      <c r="AZ19" s="1">
        <v>0</v>
      </c>
      <c r="BA19" s="1" t="s">
        <v>330</v>
      </c>
      <c r="BB19" s="1" t="s">
        <v>4884</v>
      </c>
      <c r="BC19" s="1" t="s">
        <v>4806</v>
      </c>
      <c r="BD19" s="1">
        <v>10202</v>
      </c>
      <c r="BE19" s="1"/>
    </row>
    <row r="20" spans="1:57" x14ac:dyDescent="0.25">
      <c r="A20" s="1">
        <v>19</v>
      </c>
      <c r="B20" s="1" t="s">
        <v>2802</v>
      </c>
      <c r="C20" s="9" t="s">
        <v>1661</v>
      </c>
      <c r="D20" s="1" t="s">
        <v>1661</v>
      </c>
      <c r="E20" s="1"/>
      <c r="F20" s="1"/>
      <c r="G20" s="1" t="s">
        <v>2803</v>
      </c>
      <c r="H20" s="1" t="s">
        <v>2804</v>
      </c>
      <c r="I20" s="1" t="s">
        <v>2805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1177</v>
      </c>
      <c r="AK20" s="1" t="s">
        <v>330</v>
      </c>
      <c r="AL20" s="1">
        <v>13</v>
      </c>
      <c r="AM20" s="1" t="s">
        <v>4876</v>
      </c>
      <c r="AN20" s="1" t="s">
        <v>390</v>
      </c>
      <c r="AO20" s="1" t="s">
        <v>4885</v>
      </c>
      <c r="AP20" s="1">
        <v>0</v>
      </c>
      <c r="AQ20" s="1" t="s">
        <v>1181</v>
      </c>
      <c r="AR20" s="1" t="s">
        <v>1171</v>
      </c>
      <c r="AS20" s="1" t="s">
        <v>1182</v>
      </c>
      <c r="AT20" s="1" t="s">
        <v>330</v>
      </c>
      <c r="AU20" s="1">
        <v>19</v>
      </c>
      <c r="AV20" s="1">
        <v>0</v>
      </c>
      <c r="AW20" s="1" t="s">
        <v>4577</v>
      </c>
      <c r="AX20" s="1" t="s">
        <v>4886</v>
      </c>
      <c r="AY20" s="1">
        <v>3</v>
      </c>
      <c r="AZ20" s="1">
        <v>0</v>
      </c>
      <c r="BA20" s="1" t="s">
        <v>330</v>
      </c>
      <c r="BB20" s="1" t="s">
        <v>4887</v>
      </c>
      <c r="BC20" s="1" t="s">
        <v>4806</v>
      </c>
      <c r="BD20" s="1">
        <v>10402</v>
      </c>
      <c r="BE20" s="1"/>
    </row>
    <row r="21" spans="1:57" x14ac:dyDescent="0.25">
      <c r="A21" s="1">
        <v>20</v>
      </c>
      <c r="B21" s="1" t="s">
        <v>2806</v>
      </c>
      <c r="C21" s="9" t="s">
        <v>79</v>
      </c>
      <c r="D21" s="1" t="s">
        <v>79</v>
      </c>
      <c r="E21" s="1"/>
      <c r="F21" s="1"/>
      <c r="G21" s="1" t="s">
        <v>2807</v>
      </c>
      <c r="H21" s="1" t="s">
        <v>2808</v>
      </c>
      <c r="I21" s="1" t="s">
        <v>2809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1183</v>
      </c>
      <c r="AK21" s="1" t="s">
        <v>330</v>
      </c>
      <c r="AL21" s="1">
        <v>13</v>
      </c>
      <c r="AM21" s="1" t="s">
        <v>4876</v>
      </c>
      <c r="AN21" s="1" t="s">
        <v>4879</v>
      </c>
      <c r="AO21" s="1" t="s">
        <v>4888</v>
      </c>
      <c r="AP21" s="1">
        <v>0</v>
      </c>
      <c r="AQ21" s="1" t="s">
        <v>1181</v>
      </c>
      <c r="AR21" s="1" t="s">
        <v>1171</v>
      </c>
      <c r="AS21" s="1" t="s">
        <v>1182</v>
      </c>
      <c r="AT21" s="1" t="s">
        <v>330</v>
      </c>
      <c r="AU21" s="1">
        <v>20</v>
      </c>
      <c r="AV21" s="1">
        <v>0</v>
      </c>
      <c r="AW21" s="1" t="s">
        <v>4577</v>
      </c>
      <c r="AX21" s="1" t="s">
        <v>4883</v>
      </c>
      <c r="AY21" s="1">
        <v>5</v>
      </c>
      <c r="AZ21" s="1">
        <v>0</v>
      </c>
      <c r="BA21" s="1" t="s">
        <v>330</v>
      </c>
      <c r="BB21" s="1" t="s">
        <v>4889</v>
      </c>
      <c r="BC21" s="1" t="s">
        <v>4806</v>
      </c>
      <c r="BD21" s="1">
        <v>10202</v>
      </c>
      <c r="BE21" s="1"/>
    </row>
    <row r="22" spans="1:57" x14ac:dyDescent="0.25">
      <c r="A22" s="1">
        <v>21</v>
      </c>
      <c r="B22" s="1" t="s">
        <v>2810</v>
      </c>
      <c r="C22" s="9" t="s">
        <v>920</v>
      </c>
      <c r="D22" s="1" t="s">
        <v>2811</v>
      </c>
      <c r="E22" s="1"/>
      <c r="F22" s="1"/>
      <c r="G22" s="1" t="s">
        <v>2812</v>
      </c>
      <c r="H22" s="1" t="s">
        <v>2813</v>
      </c>
      <c r="I22" s="1" t="s">
        <v>2814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1173</v>
      </c>
      <c r="AK22" s="1" t="s">
        <v>330</v>
      </c>
      <c r="AL22" s="1">
        <v>13</v>
      </c>
      <c r="AM22" s="1" t="s">
        <v>4876</v>
      </c>
      <c r="AN22" s="1" t="s">
        <v>466</v>
      </c>
      <c r="AO22" s="1" t="s">
        <v>4890</v>
      </c>
      <c r="AP22" s="1">
        <v>0</v>
      </c>
      <c r="AQ22" s="1" t="s">
        <v>1181</v>
      </c>
      <c r="AR22" s="1" t="s">
        <v>1171</v>
      </c>
      <c r="AS22" s="1" t="s">
        <v>1798</v>
      </c>
      <c r="AT22" s="1" t="s">
        <v>330</v>
      </c>
      <c r="AU22" s="1">
        <v>21</v>
      </c>
      <c r="AV22" s="1">
        <v>0</v>
      </c>
      <c r="AW22" s="1" t="s">
        <v>4577</v>
      </c>
      <c r="AX22" s="1" t="s">
        <v>472</v>
      </c>
      <c r="AY22" s="1">
        <v>2</v>
      </c>
      <c r="AZ22" s="1">
        <v>0</v>
      </c>
      <c r="BA22" s="1" t="s">
        <v>330</v>
      </c>
      <c r="BB22" s="1" t="s">
        <v>4891</v>
      </c>
      <c r="BC22" s="1" t="s">
        <v>4843</v>
      </c>
      <c r="BD22" s="1">
        <v>10303</v>
      </c>
      <c r="BE22" s="1"/>
    </row>
    <row r="23" spans="1:57" x14ac:dyDescent="0.25">
      <c r="A23" s="1">
        <v>22</v>
      </c>
      <c r="B23" s="1" t="s">
        <v>2815</v>
      </c>
      <c r="C23" s="9" t="s">
        <v>1662</v>
      </c>
      <c r="D23" s="1" t="s">
        <v>1662</v>
      </c>
      <c r="E23" s="1"/>
      <c r="F23" s="1"/>
      <c r="G23" s="1" t="s">
        <v>2816</v>
      </c>
      <c r="H23" s="1" t="s">
        <v>2817</v>
      </c>
      <c r="I23" s="1" t="s">
        <v>2818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1173</v>
      </c>
      <c r="AK23" s="1" t="s">
        <v>330</v>
      </c>
      <c r="AL23" s="1">
        <v>13</v>
      </c>
      <c r="AM23" s="1" t="s">
        <v>4876</v>
      </c>
      <c r="AN23" s="1" t="s">
        <v>4881</v>
      </c>
      <c r="AO23" s="1" t="s">
        <v>4882</v>
      </c>
      <c r="AP23" s="1">
        <v>0</v>
      </c>
      <c r="AQ23" s="1" t="s">
        <v>1181</v>
      </c>
      <c r="AR23" s="1" t="s">
        <v>1171</v>
      </c>
      <c r="AS23" s="1" t="s">
        <v>1182</v>
      </c>
      <c r="AT23" s="1" t="s">
        <v>330</v>
      </c>
      <c r="AU23" s="1">
        <v>22</v>
      </c>
      <c r="AV23" s="1">
        <v>0</v>
      </c>
      <c r="AW23" s="1" t="s">
        <v>4577</v>
      </c>
      <c r="AX23" s="1" t="s">
        <v>4883</v>
      </c>
      <c r="AY23" s="1">
        <v>3</v>
      </c>
      <c r="AZ23" s="1">
        <v>0</v>
      </c>
      <c r="BA23" s="1" t="s">
        <v>330</v>
      </c>
      <c r="BB23" s="1" t="s">
        <v>4892</v>
      </c>
      <c r="BC23" s="1" t="s">
        <v>4843</v>
      </c>
      <c r="BD23" s="1">
        <v>10302</v>
      </c>
      <c r="BE23" s="1"/>
    </row>
    <row r="24" spans="1:57" x14ac:dyDescent="0.25">
      <c r="A24" s="1">
        <v>23</v>
      </c>
      <c r="B24" s="1" t="s">
        <v>2819</v>
      </c>
      <c r="C24" s="9" t="s">
        <v>1663</v>
      </c>
      <c r="D24" s="1" t="s">
        <v>1663</v>
      </c>
      <c r="E24" s="1"/>
      <c r="F24" s="1"/>
      <c r="G24" s="1" t="s">
        <v>2820</v>
      </c>
      <c r="H24" s="1" t="s">
        <v>2821</v>
      </c>
      <c r="I24" s="1" t="s">
        <v>2822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1184</v>
      </c>
      <c r="AK24" s="1" t="s">
        <v>330</v>
      </c>
      <c r="AL24" s="1">
        <v>13</v>
      </c>
      <c r="AM24" s="1" t="s">
        <v>4876</v>
      </c>
      <c r="AN24" s="1" t="s">
        <v>390</v>
      </c>
      <c r="AO24" s="1" t="s">
        <v>4893</v>
      </c>
      <c r="AP24" s="1">
        <v>0</v>
      </c>
      <c r="AQ24" s="1" t="s">
        <v>1181</v>
      </c>
      <c r="AR24" s="1" t="s">
        <v>1171</v>
      </c>
      <c r="AS24" s="1" t="s">
        <v>1182</v>
      </c>
      <c r="AT24" s="1" t="s">
        <v>330</v>
      </c>
      <c r="AU24" s="1">
        <v>23</v>
      </c>
      <c r="AV24" s="1">
        <v>0</v>
      </c>
      <c r="AW24" s="1" t="s">
        <v>4894</v>
      </c>
      <c r="AX24" s="1" t="s">
        <v>333</v>
      </c>
      <c r="AY24" s="1">
        <v>4</v>
      </c>
      <c r="AZ24" s="1">
        <v>0</v>
      </c>
      <c r="BA24" s="1" t="s">
        <v>330</v>
      </c>
      <c r="BB24" s="1" t="s">
        <v>477</v>
      </c>
      <c r="BC24" s="1" t="s">
        <v>4843</v>
      </c>
      <c r="BD24" s="1">
        <v>10303</v>
      </c>
      <c r="BE24" s="1"/>
    </row>
    <row r="25" spans="1:57" x14ac:dyDescent="0.25">
      <c r="A25" s="1">
        <v>24</v>
      </c>
      <c r="B25" s="1" t="s">
        <v>2823</v>
      </c>
      <c r="C25" s="9" t="s">
        <v>1185</v>
      </c>
      <c r="D25" s="1" t="s">
        <v>1185</v>
      </c>
      <c r="E25" s="1"/>
      <c r="F25" s="1"/>
      <c r="G25" s="1" t="s">
        <v>2824</v>
      </c>
      <c r="H25" s="1" t="s">
        <v>2825</v>
      </c>
      <c r="I25" s="1" t="s">
        <v>2826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1173</v>
      </c>
      <c r="AK25" s="1" t="s">
        <v>330</v>
      </c>
      <c r="AL25" s="1">
        <v>13</v>
      </c>
      <c r="AM25" s="1" t="s">
        <v>4876</v>
      </c>
      <c r="AN25" s="1" t="s">
        <v>390</v>
      </c>
      <c r="AO25" s="1" t="s">
        <v>4895</v>
      </c>
      <c r="AP25" s="1">
        <v>0</v>
      </c>
      <c r="AQ25" s="1" t="s">
        <v>1181</v>
      </c>
      <c r="AR25" s="1" t="s">
        <v>1171</v>
      </c>
      <c r="AS25" s="1" t="s">
        <v>1798</v>
      </c>
      <c r="AT25" s="1" t="s">
        <v>330</v>
      </c>
      <c r="AU25" s="1">
        <v>24</v>
      </c>
      <c r="AV25" s="1">
        <v>0</v>
      </c>
      <c r="AW25" s="1" t="s">
        <v>4577</v>
      </c>
      <c r="AX25" s="1" t="s">
        <v>472</v>
      </c>
      <c r="AY25" s="1">
        <v>2</v>
      </c>
      <c r="AZ25" s="1">
        <v>0</v>
      </c>
      <c r="BA25" s="1" t="s">
        <v>330</v>
      </c>
      <c r="BB25" s="1" t="s">
        <v>4896</v>
      </c>
      <c r="BC25" s="1" t="s">
        <v>4843</v>
      </c>
      <c r="BD25" s="1">
        <v>10303</v>
      </c>
      <c r="BE25" s="1"/>
    </row>
    <row r="26" spans="1:57" x14ac:dyDescent="0.25">
      <c r="A26" s="1">
        <v>25</v>
      </c>
      <c r="B26" s="1" t="s">
        <v>2827</v>
      </c>
      <c r="C26" s="9" t="s">
        <v>80</v>
      </c>
      <c r="D26" s="1" t="s">
        <v>80</v>
      </c>
      <c r="E26" s="1"/>
      <c r="F26" s="1"/>
      <c r="G26" s="1" t="s">
        <v>2828</v>
      </c>
      <c r="H26" s="1" t="s">
        <v>2829</v>
      </c>
      <c r="I26" s="1" t="s">
        <v>2830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1173</v>
      </c>
      <c r="AK26" s="1" t="s">
        <v>330</v>
      </c>
      <c r="AL26" s="1">
        <v>13</v>
      </c>
      <c r="AM26" s="1" t="s">
        <v>4876</v>
      </c>
      <c r="AN26" s="1" t="s">
        <v>390</v>
      </c>
      <c r="AO26" s="1" t="s">
        <v>4867</v>
      </c>
      <c r="AP26" s="1">
        <v>0</v>
      </c>
      <c r="AQ26" s="1" t="s">
        <v>1181</v>
      </c>
      <c r="AR26" s="1" t="s">
        <v>1171</v>
      </c>
      <c r="AS26" s="1" t="s">
        <v>1182</v>
      </c>
      <c r="AT26" s="1" t="s">
        <v>330</v>
      </c>
      <c r="AU26" s="1">
        <v>25</v>
      </c>
      <c r="AV26" s="1">
        <v>0</v>
      </c>
      <c r="AW26" s="1" t="s">
        <v>4577</v>
      </c>
      <c r="AX26" s="1" t="s">
        <v>472</v>
      </c>
      <c r="AY26" s="1">
        <v>2</v>
      </c>
      <c r="AZ26" s="1">
        <v>0</v>
      </c>
      <c r="BA26" s="1" t="s">
        <v>330</v>
      </c>
      <c r="BB26" s="1" t="s">
        <v>4897</v>
      </c>
      <c r="BC26" s="1" t="s">
        <v>4855</v>
      </c>
      <c r="BD26" s="1">
        <v>10302</v>
      </c>
      <c r="BE26" s="1"/>
    </row>
    <row r="27" spans="1:57" x14ac:dyDescent="0.25">
      <c r="A27" s="1">
        <v>26</v>
      </c>
      <c r="B27" s="1" t="s">
        <v>2831</v>
      </c>
      <c r="C27" s="9" t="s">
        <v>736</v>
      </c>
      <c r="D27" s="1" t="s">
        <v>736</v>
      </c>
      <c r="E27" s="1"/>
      <c r="F27" s="1"/>
      <c r="G27" s="1" t="s">
        <v>2832</v>
      </c>
      <c r="H27" s="1" t="s">
        <v>2833</v>
      </c>
      <c r="I27" s="1" t="s">
        <v>2834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1186</v>
      </c>
      <c r="AK27" s="1" t="s">
        <v>330</v>
      </c>
      <c r="AL27" s="1">
        <v>13</v>
      </c>
      <c r="AM27" s="1" t="s">
        <v>4876</v>
      </c>
      <c r="AN27" s="1" t="s">
        <v>390</v>
      </c>
      <c r="AO27" s="1" t="s">
        <v>4898</v>
      </c>
      <c r="AP27" s="1">
        <v>0</v>
      </c>
      <c r="AQ27" s="1" t="s">
        <v>1797</v>
      </c>
      <c r="AR27" s="1" t="s">
        <v>1171</v>
      </c>
      <c r="AS27" s="1" t="s">
        <v>1798</v>
      </c>
      <c r="AT27" s="1" t="s">
        <v>330</v>
      </c>
      <c r="AU27" s="1">
        <v>26</v>
      </c>
      <c r="AV27" s="1">
        <v>0</v>
      </c>
      <c r="AW27" s="1" t="s">
        <v>4577</v>
      </c>
      <c r="AX27" s="1" t="s">
        <v>4883</v>
      </c>
      <c r="AY27" s="1">
        <v>4</v>
      </c>
      <c r="AZ27" s="1">
        <v>0</v>
      </c>
      <c r="BA27" s="1" t="s">
        <v>4829</v>
      </c>
      <c r="BB27" s="1" t="s">
        <v>4899</v>
      </c>
      <c r="BC27" s="1" t="s">
        <v>4855</v>
      </c>
      <c r="BD27" s="1">
        <v>10203</v>
      </c>
      <c r="BE27" s="1"/>
    </row>
    <row r="28" spans="1:57" x14ac:dyDescent="0.25">
      <c r="A28" s="1">
        <v>27</v>
      </c>
      <c r="B28" s="1" t="s">
        <v>2835</v>
      </c>
      <c r="C28" s="9" t="s">
        <v>81</v>
      </c>
      <c r="D28" s="1" t="s">
        <v>2836</v>
      </c>
      <c r="E28" s="1"/>
      <c r="F28" s="1"/>
      <c r="G28" s="1" t="s">
        <v>2837</v>
      </c>
      <c r="H28" s="1" t="s">
        <v>2838</v>
      </c>
      <c r="I28" s="1" t="s">
        <v>2839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4900</v>
      </c>
      <c r="AK28" s="1" t="s">
        <v>330</v>
      </c>
      <c r="AL28" s="1">
        <v>13</v>
      </c>
      <c r="AM28" s="1" t="s">
        <v>4876</v>
      </c>
      <c r="AN28" s="1" t="s">
        <v>4879</v>
      </c>
      <c r="AO28" s="1" t="s">
        <v>4901</v>
      </c>
      <c r="AP28" s="1">
        <v>0</v>
      </c>
      <c r="AQ28" s="1" t="s">
        <v>1181</v>
      </c>
      <c r="AR28" s="1" t="s">
        <v>1796</v>
      </c>
      <c r="AS28" s="1" t="s">
        <v>1182</v>
      </c>
      <c r="AT28" s="1" t="s">
        <v>330</v>
      </c>
      <c r="AU28" s="1">
        <v>27</v>
      </c>
      <c r="AV28" s="1">
        <v>0</v>
      </c>
      <c r="AW28" s="1" t="s">
        <v>4577</v>
      </c>
      <c r="AX28" s="1" t="s">
        <v>4883</v>
      </c>
      <c r="AY28" s="1">
        <v>3</v>
      </c>
      <c r="AZ28" s="1">
        <v>0</v>
      </c>
      <c r="BA28" s="1" t="s">
        <v>330</v>
      </c>
      <c r="BB28" s="1" t="s">
        <v>4902</v>
      </c>
      <c r="BC28" s="1" t="s">
        <v>330</v>
      </c>
      <c r="BD28" s="1">
        <v>10302</v>
      </c>
      <c r="BE28" s="1"/>
    </row>
    <row r="29" spans="1:57" x14ac:dyDescent="0.25">
      <c r="A29" s="1">
        <v>28</v>
      </c>
      <c r="B29" s="1" t="s">
        <v>2840</v>
      </c>
      <c r="C29" s="9" t="s">
        <v>82</v>
      </c>
      <c r="D29" s="1" t="s">
        <v>82</v>
      </c>
      <c r="E29" s="1"/>
      <c r="F29" s="1"/>
      <c r="G29" s="1" t="s">
        <v>2841</v>
      </c>
      <c r="H29" s="1" t="s">
        <v>2842</v>
      </c>
      <c r="I29" s="1" t="s">
        <v>2843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1187</v>
      </c>
      <c r="AK29" s="1" t="s">
        <v>330</v>
      </c>
      <c r="AL29" s="1">
        <v>13</v>
      </c>
      <c r="AM29" s="1" t="s">
        <v>4876</v>
      </c>
      <c r="AN29" s="1" t="s">
        <v>4881</v>
      </c>
      <c r="AO29" s="1" t="s">
        <v>4903</v>
      </c>
      <c r="AP29" s="1">
        <v>0</v>
      </c>
      <c r="AQ29" s="1" t="s">
        <v>1181</v>
      </c>
      <c r="AR29" s="1" t="s">
        <v>1171</v>
      </c>
      <c r="AS29" s="1" t="s">
        <v>1182</v>
      </c>
      <c r="AT29" s="1" t="s">
        <v>330</v>
      </c>
      <c r="AU29" s="1">
        <v>28</v>
      </c>
      <c r="AV29" s="1">
        <v>0</v>
      </c>
      <c r="AW29" s="1" t="s">
        <v>4904</v>
      </c>
      <c r="AX29" s="1" t="s">
        <v>4905</v>
      </c>
      <c r="AY29" s="1">
        <v>5</v>
      </c>
      <c r="AZ29" s="1">
        <v>0</v>
      </c>
      <c r="BA29" s="1" t="s">
        <v>330</v>
      </c>
      <c r="BB29" s="1" t="s">
        <v>4906</v>
      </c>
      <c r="BC29" s="1" t="s">
        <v>4855</v>
      </c>
      <c r="BD29" s="1">
        <v>10202</v>
      </c>
      <c r="BE29" s="1"/>
    </row>
    <row r="30" spans="1:57" x14ac:dyDescent="0.25">
      <c r="A30" s="1">
        <v>29</v>
      </c>
      <c r="B30" s="1" t="s">
        <v>2844</v>
      </c>
      <c r="C30" s="9" t="s">
        <v>836</v>
      </c>
      <c r="D30" s="1" t="s">
        <v>2845</v>
      </c>
      <c r="E30" s="1"/>
      <c r="F30" s="1"/>
      <c r="G30" s="1" t="s">
        <v>2846</v>
      </c>
      <c r="H30" s="1" t="s">
        <v>2847</v>
      </c>
      <c r="I30" s="1" t="s">
        <v>2848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1188</v>
      </c>
      <c r="AK30" s="1" t="s">
        <v>330</v>
      </c>
      <c r="AL30" s="1">
        <v>13</v>
      </c>
      <c r="AM30" s="1" t="s">
        <v>4876</v>
      </c>
      <c r="AN30" s="1" t="s">
        <v>4881</v>
      </c>
      <c r="AO30" s="1" t="s">
        <v>4907</v>
      </c>
      <c r="AP30" s="1">
        <v>0</v>
      </c>
      <c r="AQ30" s="1" t="s">
        <v>1181</v>
      </c>
      <c r="AR30" s="1" t="s">
        <v>1171</v>
      </c>
      <c r="AS30" s="1" t="s">
        <v>1798</v>
      </c>
      <c r="AT30" s="1" t="s">
        <v>330</v>
      </c>
      <c r="AU30" s="1">
        <v>29</v>
      </c>
      <c r="AV30" s="1">
        <v>0</v>
      </c>
      <c r="AW30" s="1" t="s">
        <v>4577</v>
      </c>
      <c r="AX30" s="1" t="s">
        <v>4883</v>
      </c>
      <c r="AY30" s="1">
        <v>3</v>
      </c>
      <c r="AZ30" s="1">
        <v>0</v>
      </c>
      <c r="BA30" s="1" t="s">
        <v>4851</v>
      </c>
      <c r="BB30" s="1" t="s">
        <v>4908</v>
      </c>
      <c r="BC30" s="1" t="s">
        <v>330</v>
      </c>
      <c r="BD30" s="1">
        <v>10704</v>
      </c>
      <c r="BE30" s="1"/>
    </row>
    <row r="31" spans="1:57" x14ac:dyDescent="0.25">
      <c r="A31" s="1">
        <v>31</v>
      </c>
      <c r="B31" s="1" t="s">
        <v>2849</v>
      </c>
      <c r="C31" s="9" t="s">
        <v>83</v>
      </c>
      <c r="D31" s="1" t="s">
        <v>2850</v>
      </c>
      <c r="E31" s="1"/>
      <c r="F31" s="1"/>
      <c r="G31" s="1" t="s">
        <v>2851</v>
      </c>
      <c r="H31" s="1" t="s">
        <v>2852</v>
      </c>
      <c r="I31" s="1" t="s">
        <v>2853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1173</v>
      </c>
      <c r="AK31" s="1" t="s">
        <v>1189</v>
      </c>
      <c r="AL31" s="1">
        <v>13</v>
      </c>
      <c r="AM31" s="1" t="s">
        <v>4876</v>
      </c>
      <c r="AN31" s="1" t="s">
        <v>390</v>
      </c>
      <c r="AO31" s="1" t="s">
        <v>4909</v>
      </c>
      <c r="AP31" s="1">
        <v>0</v>
      </c>
      <c r="AQ31" s="1" t="s">
        <v>1181</v>
      </c>
      <c r="AR31" s="1" t="s">
        <v>1171</v>
      </c>
      <c r="AS31" s="1" t="s">
        <v>1798</v>
      </c>
      <c r="AT31" s="1" t="s">
        <v>330</v>
      </c>
      <c r="AU31" s="1">
        <v>31</v>
      </c>
      <c r="AV31" s="1">
        <v>0</v>
      </c>
      <c r="AW31" s="1" t="s">
        <v>4577</v>
      </c>
      <c r="AX31" s="1" t="s">
        <v>472</v>
      </c>
      <c r="AY31" s="1">
        <v>2</v>
      </c>
      <c r="AZ31" s="1">
        <v>0</v>
      </c>
      <c r="BA31" s="1" t="s">
        <v>4831</v>
      </c>
      <c r="BB31" s="1" t="s">
        <v>330</v>
      </c>
      <c r="BC31" s="1" t="s">
        <v>4825</v>
      </c>
      <c r="BD31" s="1">
        <v>10302</v>
      </c>
      <c r="BE31" s="1"/>
    </row>
    <row r="32" spans="1:57" x14ac:dyDescent="0.25">
      <c r="A32" s="1">
        <v>32</v>
      </c>
      <c r="B32" s="1" t="s">
        <v>2854</v>
      </c>
      <c r="C32" s="9" t="s">
        <v>84</v>
      </c>
      <c r="D32" s="1" t="s">
        <v>2855</v>
      </c>
      <c r="E32" s="1"/>
      <c r="F32" s="1"/>
      <c r="G32" s="1" t="s">
        <v>2856</v>
      </c>
      <c r="H32" s="1" t="s">
        <v>2857</v>
      </c>
      <c r="I32" s="1" t="s">
        <v>2858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1173</v>
      </c>
      <c r="AK32" s="1" t="s">
        <v>1190</v>
      </c>
      <c r="AL32" s="1">
        <v>13</v>
      </c>
      <c r="AM32" s="1" t="s">
        <v>4876</v>
      </c>
      <c r="AN32" s="1" t="s">
        <v>466</v>
      </c>
      <c r="AO32" s="1" t="s">
        <v>4910</v>
      </c>
      <c r="AP32" s="1">
        <v>0</v>
      </c>
      <c r="AQ32" s="1" t="s">
        <v>1181</v>
      </c>
      <c r="AR32" s="1" t="s">
        <v>1171</v>
      </c>
      <c r="AS32" s="1" t="s">
        <v>1798</v>
      </c>
      <c r="AT32" s="1" t="s">
        <v>330</v>
      </c>
      <c r="AU32" s="1">
        <v>32</v>
      </c>
      <c r="AV32" s="1">
        <v>0</v>
      </c>
      <c r="AW32" s="1" t="s">
        <v>4577</v>
      </c>
      <c r="AX32" s="1" t="s">
        <v>4883</v>
      </c>
      <c r="AY32" s="1">
        <v>3</v>
      </c>
      <c r="AZ32" s="1">
        <v>0</v>
      </c>
      <c r="BA32" s="1" t="s">
        <v>4851</v>
      </c>
      <c r="BB32" s="1" t="s">
        <v>372</v>
      </c>
      <c r="BC32" s="1" t="s">
        <v>330</v>
      </c>
      <c r="BD32" s="1">
        <v>10202</v>
      </c>
      <c r="BE32" s="1"/>
    </row>
    <row r="33" spans="1:57" x14ac:dyDescent="0.25">
      <c r="A33" s="1">
        <v>33</v>
      </c>
      <c r="B33" s="1" t="s">
        <v>2859</v>
      </c>
      <c r="C33" s="9" t="s">
        <v>85</v>
      </c>
      <c r="D33" s="1" t="s">
        <v>85</v>
      </c>
      <c r="E33" s="1"/>
      <c r="F33" s="1"/>
      <c r="G33" s="1" t="s">
        <v>2860</v>
      </c>
      <c r="H33" s="1" t="s">
        <v>2861</v>
      </c>
      <c r="I33" s="1" t="s">
        <v>2862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1173</v>
      </c>
      <c r="AK33" s="1" t="s">
        <v>330</v>
      </c>
      <c r="AL33" s="1">
        <v>13</v>
      </c>
      <c r="AM33" s="1" t="s">
        <v>4876</v>
      </c>
      <c r="AN33" s="1" t="s">
        <v>390</v>
      </c>
      <c r="AO33" s="1" t="s">
        <v>4871</v>
      </c>
      <c r="AP33" s="1">
        <v>0</v>
      </c>
      <c r="AQ33" s="1" t="s">
        <v>1181</v>
      </c>
      <c r="AR33" s="1" t="s">
        <v>1171</v>
      </c>
      <c r="AS33" s="1" t="s">
        <v>1182</v>
      </c>
      <c r="AT33" s="1" t="s">
        <v>330</v>
      </c>
      <c r="AU33" s="1">
        <v>33</v>
      </c>
      <c r="AV33" s="1">
        <v>0</v>
      </c>
      <c r="AW33" s="1" t="s">
        <v>4577</v>
      </c>
      <c r="AX33" s="1" t="s">
        <v>472</v>
      </c>
      <c r="AY33" s="1">
        <v>2</v>
      </c>
      <c r="AZ33" s="1">
        <v>0</v>
      </c>
      <c r="BA33" s="1" t="s">
        <v>330</v>
      </c>
      <c r="BB33" s="1" t="s">
        <v>4911</v>
      </c>
      <c r="BC33" s="1" t="s">
        <v>330</v>
      </c>
      <c r="BD33" s="1">
        <v>10802</v>
      </c>
      <c r="BE33" s="1"/>
    </row>
    <row r="34" spans="1:57" x14ac:dyDescent="0.25">
      <c r="A34" s="1">
        <v>34</v>
      </c>
      <c r="B34" s="1" t="s">
        <v>2863</v>
      </c>
      <c r="C34" s="9" t="s">
        <v>86</v>
      </c>
      <c r="D34" s="1" t="s">
        <v>2864</v>
      </c>
      <c r="E34" s="1"/>
      <c r="F34" s="1"/>
      <c r="G34" s="1" t="s">
        <v>2865</v>
      </c>
      <c r="H34" s="1" t="s">
        <v>2866</v>
      </c>
      <c r="I34" s="1" t="s">
        <v>2867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1191</v>
      </c>
      <c r="AK34" s="1" t="s">
        <v>330</v>
      </c>
      <c r="AL34" s="1">
        <v>13</v>
      </c>
      <c r="AM34" s="1" t="s">
        <v>4848</v>
      </c>
      <c r="AN34" s="1" t="s">
        <v>477</v>
      </c>
      <c r="AO34" s="1" t="s">
        <v>4912</v>
      </c>
      <c r="AP34" s="1">
        <v>0</v>
      </c>
      <c r="AQ34" s="1" t="s">
        <v>1192</v>
      </c>
      <c r="AR34" s="1" t="s">
        <v>1193</v>
      </c>
      <c r="AS34" s="1" t="s">
        <v>1194</v>
      </c>
      <c r="AT34" s="1" t="s">
        <v>330</v>
      </c>
      <c r="AU34" s="1">
        <v>34</v>
      </c>
      <c r="AV34" s="1">
        <v>0</v>
      </c>
      <c r="AW34" s="1" t="s">
        <v>4577</v>
      </c>
      <c r="AX34" s="1" t="s">
        <v>4883</v>
      </c>
      <c r="AY34" s="1">
        <v>3</v>
      </c>
      <c r="AZ34" s="1">
        <v>0</v>
      </c>
      <c r="BA34" s="1" t="s">
        <v>330</v>
      </c>
      <c r="BB34" s="1" t="s">
        <v>4913</v>
      </c>
      <c r="BC34" s="1" t="s">
        <v>4806</v>
      </c>
      <c r="BD34" s="1">
        <v>10303</v>
      </c>
      <c r="BE34" s="1"/>
    </row>
    <row r="35" spans="1:57" x14ac:dyDescent="0.25">
      <c r="A35" s="1">
        <v>35</v>
      </c>
      <c r="B35" s="1" t="s">
        <v>2868</v>
      </c>
      <c r="C35" s="9" t="s">
        <v>797</v>
      </c>
      <c r="D35" s="1" t="s">
        <v>797</v>
      </c>
      <c r="E35" s="1"/>
      <c r="F35" s="1"/>
      <c r="G35" s="1" t="s">
        <v>2869</v>
      </c>
      <c r="H35" s="1" t="s">
        <v>2870</v>
      </c>
      <c r="I35" s="1" t="s">
        <v>2871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1177</v>
      </c>
      <c r="AK35" s="1" t="s">
        <v>330</v>
      </c>
      <c r="AL35" s="1">
        <v>13</v>
      </c>
      <c r="AM35" s="1" t="s">
        <v>4848</v>
      </c>
      <c r="AN35" s="1" t="s">
        <v>466</v>
      </c>
      <c r="AO35" s="1" t="s">
        <v>4912</v>
      </c>
      <c r="AP35" s="1">
        <v>0</v>
      </c>
      <c r="AQ35" s="1" t="s">
        <v>1192</v>
      </c>
      <c r="AR35" s="1" t="s">
        <v>1193</v>
      </c>
      <c r="AS35" s="1" t="s">
        <v>1194</v>
      </c>
      <c r="AT35" s="1" t="s">
        <v>330</v>
      </c>
      <c r="AU35" s="1">
        <v>35</v>
      </c>
      <c r="AV35" s="1">
        <v>0</v>
      </c>
      <c r="AW35" s="1" t="s">
        <v>4914</v>
      </c>
      <c r="AX35" s="1" t="s">
        <v>4915</v>
      </c>
      <c r="AY35" s="1">
        <v>3</v>
      </c>
      <c r="AZ35" s="1">
        <v>0</v>
      </c>
      <c r="BA35" s="1" t="s">
        <v>330</v>
      </c>
      <c r="BB35" s="1" t="s">
        <v>4916</v>
      </c>
      <c r="BC35" s="1" t="s">
        <v>4806</v>
      </c>
      <c r="BD35" s="1">
        <v>10303</v>
      </c>
      <c r="BE35" s="1"/>
    </row>
    <row r="36" spans="1:57" x14ac:dyDescent="0.25">
      <c r="A36" s="1">
        <v>36</v>
      </c>
      <c r="B36" s="1" t="s">
        <v>2872</v>
      </c>
      <c r="C36" s="9" t="s">
        <v>87</v>
      </c>
      <c r="D36" s="1" t="s">
        <v>2873</v>
      </c>
      <c r="E36" s="1"/>
      <c r="F36" s="1"/>
      <c r="G36" s="1" t="s">
        <v>2874</v>
      </c>
      <c r="H36" s="1" t="s">
        <v>2875</v>
      </c>
      <c r="I36" s="1" t="s">
        <v>2876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1195</v>
      </c>
      <c r="AK36" s="1" t="s">
        <v>330</v>
      </c>
      <c r="AL36" s="1">
        <v>13</v>
      </c>
      <c r="AM36" s="1" t="s">
        <v>4848</v>
      </c>
      <c r="AN36" s="1" t="s">
        <v>4917</v>
      </c>
      <c r="AO36" s="1" t="s">
        <v>4918</v>
      </c>
      <c r="AP36" s="1">
        <v>0</v>
      </c>
      <c r="AQ36" s="1" t="s">
        <v>1799</v>
      </c>
      <c r="AR36" s="1" t="s">
        <v>1193</v>
      </c>
      <c r="AS36" s="1" t="s">
        <v>1194</v>
      </c>
      <c r="AT36" s="1" t="s">
        <v>330</v>
      </c>
      <c r="AU36" s="1">
        <v>36</v>
      </c>
      <c r="AV36" s="1">
        <v>0</v>
      </c>
      <c r="AW36" s="1" t="s">
        <v>4577</v>
      </c>
      <c r="AX36" s="1" t="s">
        <v>4883</v>
      </c>
      <c r="AY36" s="1">
        <v>4</v>
      </c>
      <c r="AZ36" s="1">
        <v>0</v>
      </c>
      <c r="BA36" s="1" t="s">
        <v>330</v>
      </c>
      <c r="BB36" s="1" t="s">
        <v>4919</v>
      </c>
      <c r="BC36" s="1" t="s">
        <v>4806</v>
      </c>
      <c r="BD36" s="1">
        <v>107</v>
      </c>
      <c r="BE36" s="1"/>
    </row>
    <row r="37" spans="1:57" x14ac:dyDescent="0.25">
      <c r="A37" s="1">
        <v>37</v>
      </c>
      <c r="B37" s="1" t="s">
        <v>2877</v>
      </c>
      <c r="C37" s="9" t="s">
        <v>88</v>
      </c>
      <c r="D37" s="1" t="s">
        <v>88</v>
      </c>
      <c r="E37" s="1"/>
      <c r="F37" s="1"/>
      <c r="G37" s="1" t="s">
        <v>2878</v>
      </c>
      <c r="H37" s="1" t="s">
        <v>2879</v>
      </c>
      <c r="I37" s="1" t="s">
        <v>2880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1177</v>
      </c>
      <c r="AK37" s="1" t="s">
        <v>330</v>
      </c>
      <c r="AL37" s="1">
        <v>13</v>
      </c>
      <c r="AM37" s="1" t="s">
        <v>4848</v>
      </c>
      <c r="AN37" s="1" t="s">
        <v>4920</v>
      </c>
      <c r="AO37" s="1" t="s">
        <v>4912</v>
      </c>
      <c r="AP37" s="1">
        <v>0</v>
      </c>
      <c r="AQ37" s="1" t="s">
        <v>1192</v>
      </c>
      <c r="AR37" s="1" t="s">
        <v>4921</v>
      </c>
      <c r="AS37" s="1" t="s">
        <v>1194</v>
      </c>
      <c r="AT37" s="1" t="s">
        <v>330</v>
      </c>
      <c r="AU37" s="1">
        <v>37</v>
      </c>
      <c r="AV37" s="1">
        <v>0</v>
      </c>
      <c r="AW37" s="1" t="s">
        <v>4577</v>
      </c>
      <c r="AX37" s="1" t="s">
        <v>4883</v>
      </c>
      <c r="AY37" s="1">
        <v>3</v>
      </c>
      <c r="AZ37" s="1">
        <v>0</v>
      </c>
      <c r="BA37" s="1" t="s">
        <v>4851</v>
      </c>
      <c r="BB37" s="1" t="s">
        <v>4922</v>
      </c>
      <c r="BC37" s="1" t="s">
        <v>4806</v>
      </c>
      <c r="BD37" s="1">
        <v>10202</v>
      </c>
      <c r="BE37" s="1"/>
    </row>
    <row r="38" spans="1:57" x14ac:dyDescent="0.25">
      <c r="A38" s="1">
        <v>38</v>
      </c>
      <c r="B38" s="1" t="s">
        <v>2881</v>
      </c>
      <c r="C38" s="9" t="s">
        <v>89</v>
      </c>
      <c r="D38" s="1" t="s">
        <v>89</v>
      </c>
      <c r="E38" s="1"/>
      <c r="F38" s="1"/>
      <c r="G38" s="1" t="s">
        <v>2882</v>
      </c>
      <c r="H38" s="1" t="s">
        <v>2883</v>
      </c>
      <c r="I38" s="1" t="s">
        <v>2884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1196</v>
      </c>
      <c r="AK38" s="1" t="s">
        <v>330</v>
      </c>
      <c r="AL38" s="1">
        <v>13</v>
      </c>
      <c r="AM38" s="1" t="s">
        <v>4848</v>
      </c>
      <c r="AN38" s="1" t="s">
        <v>466</v>
      </c>
      <c r="AO38" s="1" t="s">
        <v>4912</v>
      </c>
      <c r="AP38" s="1">
        <v>0</v>
      </c>
      <c r="AQ38" s="1" t="s">
        <v>1192</v>
      </c>
      <c r="AR38" s="1" t="s">
        <v>4921</v>
      </c>
      <c r="AS38" s="1" t="s">
        <v>1194</v>
      </c>
      <c r="AT38" s="1" t="s">
        <v>330</v>
      </c>
      <c r="AU38" s="1">
        <v>38</v>
      </c>
      <c r="AV38" s="1">
        <v>0</v>
      </c>
      <c r="AW38" s="1" t="s">
        <v>4577</v>
      </c>
      <c r="AX38" s="1" t="s">
        <v>4923</v>
      </c>
      <c r="AY38" s="1">
        <v>3</v>
      </c>
      <c r="AZ38" s="1">
        <v>0</v>
      </c>
      <c r="BA38" s="1" t="s">
        <v>330</v>
      </c>
      <c r="BB38" s="1" t="s">
        <v>4924</v>
      </c>
      <c r="BC38" s="1" t="s">
        <v>4806</v>
      </c>
      <c r="BD38" s="1">
        <v>10202</v>
      </c>
      <c r="BE38" s="1"/>
    </row>
    <row r="39" spans="1:57" x14ac:dyDescent="0.25">
      <c r="A39" s="1">
        <v>39</v>
      </c>
      <c r="B39" s="1" t="s">
        <v>2885</v>
      </c>
      <c r="C39" s="9" t="s">
        <v>735</v>
      </c>
      <c r="D39" s="1" t="s">
        <v>2886</v>
      </c>
      <c r="E39" s="1"/>
      <c r="F39" s="1"/>
      <c r="G39" s="1" t="s">
        <v>2887</v>
      </c>
      <c r="H39" s="1" t="s">
        <v>2888</v>
      </c>
      <c r="I39" s="1" t="s">
        <v>2889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1197</v>
      </c>
      <c r="AK39" s="1" t="s">
        <v>330</v>
      </c>
      <c r="AL39" s="1">
        <v>13</v>
      </c>
      <c r="AM39" s="1" t="s">
        <v>4848</v>
      </c>
      <c r="AN39" s="1" t="s">
        <v>4896</v>
      </c>
      <c r="AO39" s="1" t="s">
        <v>4918</v>
      </c>
      <c r="AP39" s="1">
        <v>0</v>
      </c>
      <c r="AQ39" s="1" t="s">
        <v>1192</v>
      </c>
      <c r="AR39" s="1" t="s">
        <v>4921</v>
      </c>
      <c r="AS39" s="1" t="s">
        <v>4925</v>
      </c>
      <c r="AT39" s="1" t="s">
        <v>330</v>
      </c>
      <c r="AU39" s="1">
        <v>39</v>
      </c>
      <c r="AV39" s="1">
        <v>0</v>
      </c>
      <c r="AW39" s="1" t="s">
        <v>4577</v>
      </c>
      <c r="AX39" s="1" t="s">
        <v>4883</v>
      </c>
      <c r="AY39" s="1">
        <v>4</v>
      </c>
      <c r="AZ39" s="1">
        <v>0</v>
      </c>
      <c r="BA39" s="1" t="s">
        <v>4829</v>
      </c>
      <c r="BB39" s="1" t="s">
        <v>4926</v>
      </c>
      <c r="BC39" s="1" t="s">
        <v>4843</v>
      </c>
      <c r="BD39" s="1">
        <v>10302</v>
      </c>
      <c r="BE39" s="1"/>
    </row>
    <row r="40" spans="1:57" x14ac:dyDescent="0.25">
      <c r="A40" s="1">
        <v>40</v>
      </c>
      <c r="B40" s="1" t="s">
        <v>2890</v>
      </c>
      <c r="C40" s="9" t="s">
        <v>1664</v>
      </c>
      <c r="D40" s="1" t="s">
        <v>1664</v>
      </c>
      <c r="E40" s="1"/>
      <c r="F40" s="1"/>
      <c r="G40" s="1" t="s">
        <v>2891</v>
      </c>
      <c r="H40" s="1" t="s">
        <v>2892</v>
      </c>
      <c r="I40" s="1" t="s">
        <v>2893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1196</v>
      </c>
      <c r="AK40" s="1" t="s">
        <v>330</v>
      </c>
      <c r="AL40" s="1">
        <v>13</v>
      </c>
      <c r="AM40" s="1" t="s">
        <v>4848</v>
      </c>
      <c r="AN40" s="1" t="s">
        <v>477</v>
      </c>
      <c r="AO40" s="1" t="s">
        <v>340</v>
      </c>
      <c r="AP40" s="1">
        <v>0</v>
      </c>
      <c r="AQ40" s="1" t="s">
        <v>1192</v>
      </c>
      <c r="AR40" s="1" t="s">
        <v>1193</v>
      </c>
      <c r="AS40" s="1" t="s">
        <v>1194</v>
      </c>
      <c r="AT40" s="1" t="s">
        <v>330</v>
      </c>
      <c r="AU40" s="1">
        <v>40</v>
      </c>
      <c r="AV40" s="1">
        <v>0</v>
      </c>
      <c r="AW40" s="1" t="s">
        <v>4577</v>
      </c>
      <c r="AX40" s="1" t="s">
        <v>472</v>
      </c>
      <c r="AY40" s="1">
        <v>2</v>
      </c>
      <c r="AZ40" s="1">
        <v>0</v>
      </c>
      <c r="BA40" s="1" t="s">
        <v>330</v>
      </c>
      <c r="BB40" s="1" t="s">
        <v>373</v>
      </c>
      <c r="BC40" s="1" t="s">
        <v>4843</v>
      </c>
      <c r="BD40" s="1">
        <v>10303</v>
      </c>
      <c r="BE40" s="1"/>
    </row>
    <row r="41" spans="1:57" x14ac:dyDescent="0.25">
      <c r="A41" s="1">
        <v>41</v>
      </c>
      <c r="B41" s="1" t="s">
        <v>2894</v>
      </c>
      <c r="C41" s="9" t="s">
        <v>90</v>
      </c>
      <c r="D41" s="1" t="s">
        <v>90</v>
      </c>
      <c r="E41" s="1"/>
      <c r="F41" s="1"/>
      <c r="G41" s="1" t="s">
        <v>2895</v>
      </c>
      <c r="H41" s="1" t="s">
        <v>2896</v>
      </c>
      <c r="I41" s="1" t="s">
        <v>2897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1177</v>
      </c>
      <c r="AK41" s="1" t="s">
        <v>330</v>
      </c>
      <c r="AL41" s="1">
        <v>13</v>
      </c>
      <c r="AM41" s="1" t="s">
        <v>4848</v>
      </c>
      <c r="AN41" s="1" t="s">
        <v>466</v>
      </c>
      <c r="AO41" s="1" t="s">
        <v>340</v>
      </c>
      <c r="AP41" s="1">
        <v>0</v>
      </c>
      <c r="AQ41" s="1" t="s">
        <v>1192</v>
      </c>
      <c r="AR41" s="1" t="s">
        <v>1193</v>
      </c>
      <c r="AS41" s="1" t="s">
        <v>1194</v>
      </c>
      <c r="AT41" s="1" t="s">
        <v>330</v>
      </c>
      <c r="AU41" s="1">
        <v>41</v>
      </c>
      <c r="AV41" s="1">
        <v>0</v>
      </c>
      <c r="AW41" s="1" t="s">
        <v>4577</v>
      </c>
      <c r="AX41" s="1" t="s">
        <v>472</v>
      </c>
      <c r="AY41" s="1">
        <v>2</v>
      </c>
      <c r="AZ41" s="1">
        <v>0</v>
      </c>
      <c r="BA41" s="1" t="s">
        <v>330</v>
      </c>
      <c r="BB41" s="1" t="s">
        <v>4927</v>
      </c>
      <c r="BC41" s="1" t="s">
        <v>4843</v>
      </c>
      <c r="BD41" s="1">
        <v>10302</v>
      </c>
      <c r="BE41" s="1"/>
    </row>
    <row r="42" spans="1:57" x14ac:dyDescent="0.25">
      <c r="A42" s="1">
        <v>42</v>
      </c>
      <c r="B42" s="1" t="s">
        <v>2898</v>
      </c>
      <c r="C42" s="9" t="s">
        <v>91</v>
      </c>
      <c r="D42" s="1" t="s">
        <v>91</v>
      </c>
      <c r="E42" s="1"/>
      <c r="F42" s="1"/>
      <c r="G42" s="1" t="s">
        <v>2899</v>
      </c>
      <c r="H42" s="1" t="s">
        <v>2900</v>
      </c>
      <c r="I42" s="1" t="s">
        <v>2901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1198</v>
      </c>
      <c r="AK42" s="1" t="s">
        <v>330</v>
      </c>
      <c r="AL42" s="1">
        <v>13</v>
      </c>
      <c r="AM42" s="1" t="s">
        <v>4848</v>
      </c>
      <c r="AN42" s="1" t="s">
        <v>508</v>
      </c>
      <c r="AO42" s="1" t="s">
        <v>4918</v>
      </c>
      <c r="AP42" s="1">
        <v>0</v>
      </c>
      <c r="AQ42" s="1" t="s">
        <v>1192</v>
      </c>
      <c r="AR42" s="1" t="s">
        <v>1193</v>
      </c>
      <c r="AS42" s="1" t="s">
        <v>4925</v>
      </c>
      <c r="AT42" s="1" t="s">
        <v>330</v>
      </c>
      <c r="AU42" s="1">
        <v>42</v>
      </c>
      <c r="AV42" s="1">
        <v>0</v>
      </c>
      <c r="AW42" s="1" t="s">
        <v>4577</v>
      </c>
      <c r="AX42" s="1" t="s">
        <v>4883</v>
      </c>
      <c r="AY42" s="1">
        <v>4</v>
      </c>
      <c r="AZ42" s="1">
        <v>0</v>
      </c>
      <c r="BA42" s="1" t="s">
        <v>330</v>
      </c>
      <c r="BB42" s="1" t="s">
        <v>4832</v>
      </c>
      <c r="BC42" s="1" t="s">
        <v>4843</v>
      </c>
      <c r="BD42" s="1">
        <v>10302</v>
      </c>
      <c r="BE42" s="1"/>
    </row>
    <row r="43" spans="1:57" x14ac:dyDescent="0.25">
      <c r="A43" s="1">
        <v>43</v>
      </c>
      <c r="B43" s="1" t="s">
        <v>2902</v>
      </c>
      <c r="C43" s="9" t="s">
        <v>92</v>
      </c>
      <c r="D43" s="1" t="s">
        <v>92</v>
      </c>
      <c r="E43" s="1"/>
      <c r="F43" s="1"/>
      <c r="G43" s="1" t="s">
        <v>2903</v>
      </c>
      <c r="H43" s="1" t="s">
        <v>2904</v>
      </c>
      <c r="I43" s="1" t="s">
        <v>2905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330</v>
      </c>
      <c r="AK43" s="1" t="s">
        <v>330</v>
      </c>
      <c r="AL43" s="1">
        <v>13</v>
      </c>
      <c r="AM43" s="1" t="s">
        <v>4848</v>
      </c>
      <c r="AN43" s="1" t="s">
        <v>4920</v>
      </c>
      <c r="AO43" s="1" t="s">
        <v>4918</v>
      </c>
      <c r="AP43" s="1">
        <v>0</v>
      </c>
      <c r="AQ43" s="1" t="s">
        <v>1799</v>
      </c>
      <c r="AR43" s="1" t="s">
        <v>1193</v>
      </c>
      <c r="AS43" s="1" t="s">
        <v>1194</v>
      </c>
      <c r="AT43" s="1" t="s">
        <v>330</v>
      </c>
      <c r="AU43" s="1">
        <v>43</v>
      </c>
      <c r="AV43" s="1">
        <v>0</v>
      </c>
      <c r="AW43" s="1" t="s">
        <v>4928</v>
      </c>
      <c r="AX43" s="1" t="s">
        <v>333</v>
      </c>
      <c r="AY43" s="1">
        <v>4</v>
      </c>
      <c r="AZ43" s="1">
        <v>0</v>
      </c>
      <c r="BA43" s="1" t="s">
        <v>330</v>
      </c>
      <c r="BB43" s="1" t="s">
        <v>4929</v>
      </c>
      <c r="BC43" s="1" t="s">
        <v>4843</v>
      </c>
      <c r="BD43" s="1">
        <v>10402</v>
      </c>
      <c r="BE43" s="1"/>
    </row>
    <row r="44" spans="1:57" x14ac:dyDescent="0.25">
      <c r="A44" s="1">
        <v>44</v>
      </c>
      <c r="B44" s="1" t="s">
        <v>2906</v>
      </c>
      <c r="C44" s="9" t="s">
        <v>1665</v>
      </c>
      <c r="D44" s="1" t="s">
        <v>1665</v>
      </c>
      <c r="E44" s="1"/>
      <c r="F44" s="1"/>
      <c r="G44" s="1" t="s">
        <v>2907</v>
      </c>
      <c r="H44" s="1" t="s">
        <v>2908</v>
      </c>
      <c r="I44" s="1" t="s">
        <v>2909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1199</v>
      </c>
      <c r="AK44" s="1" t="s">
        <v>1200</v>
      </c>
      <c r="AL44" s="1">
        <v>13</v>
      </c>
      <c r="AM44" s="1" t="s">
        <v>4848</v>
      </c>
      <c r="AN44" s="1" t="s">
        <v>467</v>
      </c>
      <c r="AO44" s="1" t="s">
        <v>4912</v>
      </c>
      <c r="AP44" s="1">
        <v>0</v>
      </c>
      <c r="AQ44" s="1" t="s">
        <v>1192</v>
      </c>
      <c r="AR44" s="1" t="s">
        <v>1193</v>
      </c>
      <c r="AS44" s="1" t="s">
        <v>4925</v>
      </c>
      <c r="AT44" s="1" t="s">
        <v>330</v>
      </c>
      <c r="AU44" s="1">
        <v>44</v>
      </c>
      <c r="AV44" s="1">
        <v>0</v>
      </c>
      <c r="AW44" s="1" t="s">
        <v>4577</v>
      </c>
      <c r="AX44" s="1" t="s">
        <v>4883</v>
      </c>
      <c r="AY44" s="1">
        <v>3</v>
      </c>
      <c r="AZ44" s="1">
        <v>0</v>
      </c>
      <c r="BA44" s="1" t="s">
        <v>4851</v>
      </c>
      <c r="BB44" s="1" t="s">
        <v>4930</v>
      </c>
      <c r="BC44" s="1" t="s">
        <v>4843</v>
      </c>
      <c r="BD44" s="1">
        <v>10302</v>
      </c>
      <c r="BE44" s="1"/>
    </row>
    <row r="45" spans="1:57" x14ac:dyDescent="0.25">
      <c r="A45" s="1">
        <v>46</v>
      </c>
      <c r="B45" s="1" t="s">
        <v>2910</v>
      </c>
      <c r="C45" s="9" t="s">
        <v>93</v>
      </c>
      <c r="D45" s="1" t="s">
        <v>2911</v>
      </c>
      <c r="E45" s="1"/>
      <c r="F45" s="1"/>
      <c r="G45" s="1" t="s">
        <v>2912</v>
      </c>
      <c r="H45" s="1" t="s">
        <v>2913</v>
      </c>
      <c r="I45" s="1" t="s">
        <v>2914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1201</v>
      </c>
      <c r="AK45" s="1" t="s">
        <v>330</v>
      </c>
      <c r="AL45" s="1">
        <v>13</v>
      </c>
      <c r="AM45" s="1" t="s">
        <v>4848</v>
      </c>
      <c r="AN45" s="1" t="s">
        <v>4920</v>
      </c>
      <c r="AO45" s="1" t="s">
        <v>4931</v>
      </c>
      <c r="AP45" s="1">
        <v>0</v>
      </c>
      <c r="AQ45" s="1" t="s">
        <v>1192</v>
      </c>
      <c r="AR45" s="1" t="s">
        <v>4921</v>
      </c>
      <c r="AS45" s="1" t="s">
        <v>1194</v>
      </c>
      <c r="AT45" s="1" t="s">
        <v>330</v>
      </c>
      <c r="AU45" s="1">
        <v>46</v>
      </c>
      <c r="AV45" s="1">
        <v>0</v>
      </c>
      <c r="AW45" s="1" t="s">
        <v>4577</v>
      </c>
      <c r="AX45" s="1" t="s">
        <v>333</v>
      </c>
      <c r="AY45" s="1">
        <v>5</v>
      </c>
      <c r="AZ45" s="1">
        <v>0</v>
      </c>
      <c r="BA45" s="1" t="s">
        <v>330</v>
      </c>
      <c r="BB45" s="1" t="s">
        <v>4932</v>
      </c>
      <c r="BC45" s="1" t="s">
        <v>4855</v>
      </c>
      <c r="BD45" s="1">
        <v>10201</v>
      </c>
      <c r="BE45" s="1"/>
    </row>
    <row r="46" spans="1:57" x14ac:dyDescent="0.25">
      <c r="A46" s="1">
        <v>47</v>
      </c>
      <c r="B46" s="1" t="s">
        <v>2915</v>
      </c>
      <c r="C46" s="9" t="s">
        <v>94</v>
      </c>
      <c r="D46" s="1" t="s">
        <v>94</v>
      </c>
      <c r="E46" s="1"/>
      <c r="F46" s="1"/>
      <c r="G46" s="1" t="s">
        <v>2916</v>
      </c>
      <c r="H46" s="1" t="s">
        <v>2917</v>
      </c>
      <c r="I46" s="1" t="s">
        <v>2918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1177</v>
      </c>
      <c r="AK46" s="1" t="s">
        <v>330</v>
      </c>
      <c r="AL46" s="1">
        <v>13</v>
      </c>
      <c r="AM46" s="1" t="s">
        <v>4848</v>
      </c>
      <c r="AN46" s="1" t="s">
        <v>4920</v>
      </c>
      <c r="AO46" s="1" t="s">
        <v>340</v>
      </c>
      <c r="AP46" s="1">
        <v>0</v>
      </c>
      <c r="AQ46" s="1" t="s">
        <v>1192</v>
      </c>
      <c r="AR46" s="1" t="s">
        <v>1193</v>
      </c>
      <c r="AS46" s="1" t="s">
        <v>1194</v>
      </c>
      <c r="AT46" s="1" t="s">
        <v>330</v>
      </c>
      <c r="AU46" s="1">
        <v>47</v>
      </c>
      <c r="AV46" s="1">
        <v>0</v>
      </c>
      <c r="AW46" s="1" t="s">
        <v>4577</v>
      </c>
      <c r="AX46" s="1" t="s">
        <v>472</v>
      </c>
      <c r="AY46" s="1">
        <v>2</v>
      </c>
      <c r="AZ46" s="1">
        <v>0</v>
      </c>
      <c r="BA46" s="1" t="s">
        <v>330</v>
      </c>
      <c r="BB46" s="1" t="s">
        <v>4933</v>
      </c>
      <c r="BC46" s="1" t="s">
        <v>4855</v>
      </c>
      <c r="BD46" s="1">
        <v>10303</v>
      </c>
      <c r="BE46" s="1"/>
    </row>
    <row r="47" spans="1:57" x14ac:dyDescent="0.25">
      <c r="A47" s="1">
        <v>48</v>
      </c>
      <c r="B47" s="1" t="s">
        <v>2919</v>
      </c>
      <c r="C47" s="9" t="s">
        <v>95</v>
      </c>
      <c r="D47" s="1" t="s">
        <v>95</v>
      </c>
      <c r="E47" s="1"/>
      <c r="F47" s="1"/>
      <c r="G47" s="1" t="s">
        <v>2920</v>
      </c>
      <c r="H47" s="1" t="s">
        <v>2921</v>
      </c>
      <c r="I47" s="1" t="s">
        <v>2922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1202</v>
      </c>
      <c r="AK47" s="1" t="s">
        <v>330</v>
      </c>
      <c r="AL47" s="1">
        <v>13</v>
      </c>
      <c r="AM47" s="1" t="s">
        <v>4848</v>
      </c>
      <c r="AN47" s="1" t="s">
        <v>477</v>
      </c>
      <c r="AO47" s="1" t="s">
        <v>4931</v>
      </c>
      <c r="AP47" s="1">
        <v>0</v>
      </c>
      <c r="AQ47" s="1" t="s">
        <v>1192</v>
      </c>
      <c r="AR47" s="1" t="s">
        <v>4921</v>
      </c>
      <c r="AS47" s="1" t="s">
        <v>1194</v>
      </c>
      <c r="AT47" s="1" t="s">
        <v>330</v>
      </c>
      <c r="AU47" s="1">
        <v>48</v>
      </c>
      <c r="AV47" s="1">
        <v>0</v>
      </c>
      <c r="AW47" s="1" t="s">
        <v>4577</v>
      </c>
      <c r="AX47" s="1" t="s">
        <v>4883</v>
      </c>
      <c r="AY47" s="1">
        <v>5</v>
      </c>
      <c r="AZ47" s="1">
        <v>0</v>
      </c>
      <c r="BA47" s="1" t="s">
        <v>330</v>
      </c>
      <c r="BB47" s="1" t="s">
        <v>4876</v>
      </c>
      <c r="BC47" s="1" t="s">
        <v>4855</v>
      </c>
      <c r="BD47" s="1">
        <v>10201</v>
      </c>
      <c r="BE47" s="1"/>
    </row>
    <row r="48" spans="1:57" x14ac:dyDescent="0.25">
      <c r="A48" s="1">
        <v>49</v>
      </c>
      <c r="B48" s="1" t="s">
        <v>2923</v>
      </c>
      <c r="C48" s="9" t="s">
        <v>222</v>
      </c>
      <c r="D48" s="1" t="s">
        <v>2924</v>
      </c>
      <c r="E48" s="1"/>
      <c r="F48" s="1"/>
      <c r="G48" s="1" t="s">
        <v>2925</v>
      </c>
      <c r="H48" s="1" t="s">
        <v>2926</v>
      </c>
      <c r="I48" s="1" t="s">
        <v>2927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1203</v>
      </c>
      <c r="AK48" s="1" t="s">
        <v>330</v>
      </c>
      <c r="AL48" s="1">
        <v>13</v>
      </c>
      <c r="AM48" s="1" t="s">
        <v>4848</v>
      </c>
      <c r="AN48" s="1" t="s">
        <v>466</v>
      </c>
      <c r="AO48" s="1" t="s">
        <v>4912</v>
      </c>
      <c r="AP48" s="1">
        <v>0</v>
      </c>
      <c r="AQ48" s="1" t="s">
        <v>1799</v>
      </c>
      <c r="AR48" s="1" t="s">
        <v>1193</v>
      </c>
      <c r="AS48" s="1" t="s">
        <v>1194</v>
      </c>
      <c r="AT48" s="1" t="s">
        <v>330</v>
      </c>
      <c r="AU48" s="1">
        <v>49</v>
      </c>
      <c r="AV48" s="1">
        <v>0</v>
      </c>
      <c r="AW48" s="1" t="s">
        <v>4934</v>
      </c>
      <c r="AX48" s="1" t="s">
        <v>4935</v>
      </c>
      <c r="AY48" s="1">
        <v>3</v>
      </c>
      <c r="AZ48" s="1">
        <v>0</v>
      </c>
      <c r="BA48" s="1" t="s">
        <v>4851</v>
      </c>
      <c r="BB48" s="1" t="s">
        <v>4936</v>
      </c>
      <c r="BC48" s="1" t="s">
        <v>4869</v>
      </c>
      <c r="BD48" s="1">
        <v>10705</v>
      </c>
      <c r="BE48" s="1"/>
    </row>
    <row r="49" spans="1:57" x14ac:dyDescent="0.25">
      <c r="A49" s="1">
        <v>50</v>
      </c>
      <c r="B49" s="1" t="s">
        <v>2928</v>
      </c>
      <c r="C49" s="9" t="s">
        <v>96</v>
      </c>
      <c r="D49" s="1" t="s">
        <v>2929</v>
      </c>
      <c r="E49" s="1"/>
      <c r="F49" s="1"/>
      <c r="G49" s="1" t="s">
        <v>2930</v>
      </c>
      <c r="H49" s="1" t="s">
        <v>2931</v>
      </c>
      <c r="I49" s="1" t="s">
        <v>2932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330</v>
      </c>
      <c r="AK49" s="1" t="s">
        <v>330</v>
      </c>
      <c r="AL49" s="1">
        <v>13</v>
      </c>
      <c r="AM49" s="1" t="s">
        <v>4848</v>
      </c>
      <c r="AN49" s="1" t="s">
        <v>466</v>
      </c>
      <c r="AO49" s="1" t="s">
        <v>4931</v>
      </c>
      <c r="AP49" s="1">
        <v>0</v>
      </c>
      <c r="AQ49" s="1" t="s">
        <v>1192</v>
      </c>
      <c r="AR49" s="1" t="s">
        <v>4921</v>
      </c>
      <c r="AS49" s="1" t="s">
        <v>1194</v>
      </c>
      <c r="AT49" s="1" t="s">
        <v>330</v>
      </c>
      <c r="AU49" s="1">
        <v>50</v>
      </c>
      <c r="AV49" s="1">
        <v>0</v>
      </c>
      <c r="AW49" s="1" t="s">
        <v>4577</v>
      </c>
      <c r="AX49" s="1" t="s">
        <v>333</v>
      </c>
      <c r="AY49" s="1">
        <v>5</v>
      </c>
      <c r="AZ49" s="1">
        <v>0</v>
      </c>
      <c r="BA49" s="1" t="s">
        <v>330</v>
      </c>
      <c r="BB49" s="1" t="s">
        <v>4937</v>
      </c>
      <c r="BC49" s="1" t="s">
        <v>330</v>
      </c>
      <c r="BD49" s="1">
        <v>10201</v>
      </c>
      <c r="BE49" s="1"/>
    </row>
    <row r="50" spans="1:57" x14ac:dyDescent="0.25">
      <c r="A50" s="1">
        <v>51</v>
      </c>
      <c r="B50" s="1" t="s">
        <v>2933</v>
      </c>
      <c r="C50" s="9" t="s">
        <v>1204</v>
      </c>
      <c r="D50" s="1" t="s">
        <v>1204</v>
      </c>
      <c r="E50" s="1"/>
      <c r="F50" s="1"/>
      <c r="G50" s="1" t="s">
        <v>2934</v>
      </c>
      <c r="H50" s="1" t="s">
        <v>2935</v>
      </c>
      <c r="I50" s="1" t="s">
        <v>2936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1177</v>
      </c>
      <c r="AK50" s="1" t="s">
        <v>330</v>
      </c>
      <c r="AL50" s="1">
        <v>13</v>
      </c>
      <c r="AM50" s="1" t="s">
        <v>4848</v>
      </c>
      <c r="AN50" s="1" t="s">
        <v>4920</v>
      </c>
      <c r="AO50" s="1" t="s">
        <v>340</v>
      </c>
      <c r="AP50" s="1">
        <v>0</v>
      </c>
      <c r="AQ50" s="1" t="s">
        <v>1192</v>
      </c>
      <c r="AR50" s="1" t="s">
        <v>4921</v>
      </c>
      <c r="AS50" s="1" t="s">
        <v>1194</v>
      </c>
      <c r="AT50" s="1" t="s">
        <v>330</v>
      </c>
      <c r="AU50" s="1">
        <v>51</v>
      </c>
      <c r="AV50" s="1">
        <v>0</v>
      </c>
      <c r="AW50" s="1" t="s">
        <v>4577</v>
      </c>
      <c r="AX50" s="1" t="s">
        <v>472</v>
      </c>
      <c r="AY50" s="1">
        <v>2</v>
      </c>
      <c r="AZ50" s="1">
        <v>0</v>
      </c>
      <c r="BA50" s="1" t="s">
        <v>4831</v>
      </c>
      <c r="BB50" s="1" t="s">
        <v>4938</v>
      </c>
      <c r="BC50" s="1" t="s">
        <v>4939</v>
      </c>
      <c r="BD50" s="1">
        <v>10202</v>
      </c>
      <c r="BE50" s="1"/>
    </row>
    <row r="51" spans="1:57" x14ac:dyDescent="0.25">
      <c r="A51" s="1">
        <v>52</v>
      </c>
      <c r="B51" s="1" t="s">
        <v>2937</v>
      </c>
      <c r="C51" s="9" t="s">
        <v>97</v>
      </c>
      <c r="D51" s="1" t="s">
        <v>2938</v>
      </c>
      <c r="E51" s="1"/>
      <c r="F51" s="1"/>
      <c r="G51" s="1" t="s">
        <v>2939</v>
      </c>
      <c r="H51" s="1" t="s">
        <v>2940</v>
      </c>
      <c r="I51" s="1" t="s">
        <v>2941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1177</v>
      </c>
      <c r="AK51" s="1" t="s">
        <v>330</v>
      </c>
      <c r="AL51" s="1">
        <v>13</v>
      </c>
      <c r="AM51" s="1" t="s">
        <v>4848</v>
      </c>
      <c r="AN51" s="1" t="s">
        <v>477</v>
      </c>
      <c r="AO51" s="1" t="s">
        <v>340</v>
      </c>
      <c r="AP51" s="1">
        <v>0</v>
      </c>
      <c r="AQ51" s="1" t="s">
        <v>1192</v>
      </c>
      <c r="AR51" s="1" t="s">
        <v>4921</v>
      </c>
      <c r="AS51" s="1" t="s">
        <v>1194</v>
      </c>
      <c r="AT51" s="1" t="s">
        <v>330</v>
      </c>
      <c r="AU51" s="1">
        <v>52</v>
      </c>
      <c r="AV51" s="1">
        <v>0</v>
      </c>
      <c r="AW51" s="1" t="s">
        <v>4577</v>
      </c>
      <c r="AX51" s="1" t="s">
        <v>472</v>
      </c>
      <c r="AY51" s="1">
        <v>2</v>
      </c>
      <c r="AZ51" s="1">
        <v>0</v>
      </c>
      <c r="BA51" s="1" t="s">
        <v>330</v>
      </c>
      <c r="BB51" s="1" t="s">
        <v>4940</v>
      </c>
      <c r="BC51" s="1" t="s">
        <v>4825</v>
      </c>
      <c r="BD51" s="1">
        <v>10302</v>
      </c>
      <c r="BE51" s="1"/>
    </row>
    <row r="52" spans="1:57" x14ac:dyDescent="0.25">
      <c r="A52" s="1">
        <v>53</v>
      </c>
      <c r="B52" s="1" t="s">
        <v>2942</v>
      </c>
      <c r="C52" s="9" t="s">
        <v>1666</v>
      </c>
      <c r="D52" s="1" t="s">
        <v>1666</v>
      </c>
      <c r="E52" s="1"/>
      <c r="F52" s="1"/>
      <c r="G52" s="1" t="s">
        <v>2943</v>
      </c>
      <c r="H52" s="1" t="s">
        <v>2944</v>
      </c>
      <c r="I52" s="1" t="s">
        <v>2945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1198</v>
      </c>
      <c r="AK52" s="1" t="s">
        <v>330</v>
      </c>
      <c r="AL52" s="1">
        <v>13</v>
      </c>
      <c r="AM52" s="1" t="s">
        <v>4848</v>
      </c>
      <c r="AN52" s="1" t="s">
        <v>477</v>
      </c>
      <c r="AO52" s="1" t="s">
        <v>4931</v>
      </c>
      <c r="AP52" s="1">
        <v>0</v>
      </c>
      <c r="AQ52" s="1" t="s">
        <v>1799</v>
      </c>
      <c r="AR52" s="1" t="s">
        <v>1193</v>
      </c>
      <c r="AS52" s="1" t="s">
        <v>1194</v>
      </c>
      <c r="AT52" s="1" t="s">
        <v>330</v>
      </c>
      <c r="AU52" s="1">
        <v>53</v>
      </c>
      <c r="AV52" s="1">
        <v>0</v>
      </c>
      <c r="AW52" s="1" t="s">
        <v>4577</v>
      </c>
      <c r="AX52" s="1" t="s">
        <v>4576</v>
      </c>
      <c r="AY52" s="1">
        <v>5</v>
      </c>
      <c r="AZ52" s="1">
        <v>0</v>
      </c>
      <c r="BA52" s="1" t="s">
        <v>4941</v>
      </c>
      <c r="BB52" s="1" t="s">
        <v>4942</v>
      </c>
      <c r="BC52" s="1" t="s">
        <v>330</v>
      </c>
      <c r="BD52" s="1">
        <v>104</v>
      </c>
      <c r="BE52" s="1"/>
    </row>
    <row r="53" spans="1:57" x14ac:dyDescent="0.25">
      <c r="A53" s="1">
        <v>54</v>
      </c>
      <c r="B53" s="1" t="s">
        <v>2946</v>
      </c>
      <c r="C53" s="9" t="s">
        <v>98</v>
      </c>
      <c r="D53" s="1" t="s">
        <v>98</v>
      </c>
      <c r="E53" s="1"/>
      <c r="F53" s="1"/>
      <c r="G53" s="1" t="s">
        <v>2947</v>
      </c>
      <c r="H53" s="1" t="s">
        <v>2948</v>
      </c>
      <c r="I53" s="1" t="s">
        <v>2949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1205</v>
      </c>
      <c r="AK53" s="1" t="s">
        <v>330</v>
      </c>
      <c r="AL53" s="1">
        <v>13</v>
      </c>
      <c r="AM53" s="1" t="s">
        <v>4805</v>
      </c>
      <c r="AN53" s="1" t="s">
        <v>4833</v>
      </c>
      <c r="AO53" s="1" t="s">
        <v>4885</v>
      </c>
      <c r="AP53" s="1">
        <v>0</v>
      </c>
      <c r="AQ53" s="1" t="s">
        <v>1206</v>
      </c>
      <c r="AR53" s="1" t="s">
        <v>4943</v>
      </c>
      <c r="AS53" s="1" t="s">
        <v>4943</v>
      </c>
      <c r="AT53" s="1" t="s">
        <v>330</v>
      </c>
      <c r="AU53" s="1">
        <v>54</v>
      </c>
      <c r="AV53" s="1">
        <v>0</v>
      </c>
      <c r="AW53" s="1" t="s">
        <v>4577</v>
      </c>
      <c r="AX53" s="1" t="s">
        <v>4944</v>
      </c>
      <c r="AY53" s="1">
        <v>4</v>
      </c>
      <c r="AZ53" s="1">
        <v>0</v>
      </c>
      <c r="BA53" s="1" t="s">
        <v>330</v>
      </c>
      <c r="BB53" s="1" t="s">
        <v>4945</v>
      </c>
      <c r="BC53" s="1" t="s">
        <v>4946</v>
      </c>
      <c r="BD53" s="1">
        <v>106</v>
      </c>
      <c r="BE53" s="1"/>
    </row>
    <row r="54" spans="1:57" x14ac:dyDescent="0.25">
      <c r="A54" s="1">
        <v>55</v>
      </c>
      <c r="B54" s="1" t="s">
        <v>2950</v>
      </c>
      <c r="C54" s="9" t="s">
        <v>22</v>
      </c>
      <c r="D54" s="1" t="s">
        <v>22</v>
      </c>
      <c r="E54" s="1"/>
      <c r="F54" s="1"/>
      <c r="G54" s="1" t="s">
        <v>2951</v>
      </c>
      <c r="H54" s="1" t="s">
        <v>2952</v>
      </c>
      <c r="I54" s="1" t="s">
        <v>2953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1207</v>
      </c>
      <c r="AK54" s="1" t="s">
        <v>330</v>
      </c>
      <c r="AL54" s="1">
        <v>13</v>
      </c>
      <c r="AM54" s="1" t="s">
        <v>4876</v>
      </c>
      <c r="AN54" s="1" t="s">
        <v>4947</v>
      </c>
      <c r="AO54" s="1" t="s">
        <v>4948</v>
      </c>
      <c r="AP54" s="1">
        <v>0</v>
      </c>
      <c r="AQ54" s="1" t="s">
        <v>1182</v>
      </c>
      <c r="AR54" s="1" t="s">
        <v>1206</v>
      </c>
      <c r="AS54" s="1" t="s">
        <v>1797</v>
      </c>
      <c r="AT54" s="1" t="s">
        <v>330</v>
      </c>
      <c r="AU54" s="1">
        <v>55</v>
      </c>
      <c r="AV54" s="1">
        <v>0</v>
      </c>
      <c r="AW54" s="1" t="s">
        <v>4577</v>
      </c>
      <c r="AX54" s="1" t="s">
        <v>4944</v>
      </c>
      <c r="AY54" s="1">
        <v>4</v>
      </c>
      <c r="AZ54" s="1">
        <v>0</v>
      </c>
      <c r="BA54" s="1" t="s">
        <v>4829</v>
      </c>
      <c r="BB54" s="1" t="s">
        <v>4949</v>
      </c>
      <c r="BC54" s="1" t="s">
        <v>4946</v>
      </c>
      <c r="BD54" s="1">
        <v>10601</v>
      </c>
      <c r="BE54" s="1"/>
    </row>
    <row r="55" spans="1:57" x14ac:dyDescent="0.25">
      <c r="A55" s="1">
        <v>56</v>
      </c>
      <c r="B55" s="1" t="s">
        <v>2954</v>
      </c>
      <c r="C55" s="9" t="s">
        <v>99</v>
      </c>
      <c r="D55" s="1" t="s">
        <v>99</v>
      </c>
      <c r="E55" s="1"/>
      <c r="F55" s="1"/>
      <c r="G55" s="1" t="s">
        <v>2955</v>
      </c>
      <c r="H55" s="1" t="s">
        <v>2956</v>
      </c>
      <c r="I55" s="1" t="s">
        <v>2957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1208</v>
      </c>
      <c r="AK55" s="1" t="s">
        <v>330</v>
      </c>
      <c r="AL55" s="1">
        <v>13</v>
      </c>
      <c r="AM55" s="1" t="s">
        <v>4805</v>
      </c>
      <c r="AN55" s="1" t="s">
        <v>4950</v>
      </c>
      <c r="AO55" s="1" t="s">
        <v>4951</v>
      </c>
      <c r="AP55" s="1">
        <v>0</v>
      </c>
      <c r="AQ55" s="1" t="s">
        <v>4952</v>
      </c>
      <c r="AR55" s="1" t="s">
        <v>4952</v>
      </c>
      <c r="AS55" s="1" t="s">
        <v>1206</v>
      </c>
      <c r="AT55" s="1" t="s">
        <v>330</v>
      </c>
      <c r="AU55" s="1">
        <v>56</v>
      </c>
      <c r="AV55" s="1">
        <v>0</v>
      </c>
      <c r="AW55" s="1" t="s">
        <v>4577</v>
      </c>
      <c r="AX55" s="1" t="s">
        <v>4944</v>
      </c>
      <c r="AY55" s="1">
        <v>4</v>
      </c>
      <c r="AZ55" s="1">
        <v>0</v>
      </c>
      <c r="BA55" s="1" t="s">
        <v>4829</v>
      </c>
      <c r="BB55" s="1" t="s">
        <v>476</v>
      </c>
      <c r="BC55" s="1" t="s">
        <v>4946</v>
      </c>
      <c r="BD55" s="1">
        <v>10601</v>
      </c>
      <c r="BE55" s="1"/>
    </row>
    <row r="56" spans="1:57" x14ac:dyDescent="0.25">
      <c r="A56" s="1">
        <v>57</v>
      </c>
      <c r="B56" s="1" t="s">
        <v>2958</v>
      </c>
      <c r="C56" s="9" t="s">
        <v>1667</v>
      </c>
      <c r="D56" s="1" t="s">
        <v>2959</v>
      </c>
      <c r="E56" s="1"/>
      <c r="F56" s="1"/>
      <c r="G56" s="1" t="s">
        <v>2960</v>
      </c>
      <c r="H56" s="1" t="s">
        <v>2961</v>
      </c>
      <c r="I56" s="1" t="s">
        <v>2962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1209</v>
      </c>
      <c r="AK56" s="1" t="s">
        <v>330</v>
      </c>
      <c r="AL56" s="1">
        <v>13</v>
      </c>
      <c r="AM56" s="1" t="s">
        <v>4805</v>
      </c>
      <c r="AN56" s="1" t="s">
        <v>4950</v>
      </c>
      <c r="AO56" s="1" t="s">
        <v>4953</v>
      </c>
      <c r="AP56" s="1">
        <v>0</v>
      </c>
      <c r="AQ56" s="1" t="s">
        <v>4952</v>
      </c>
      <c r="AR56" s="1" t="s">
        <v>4952</v>
      </c>
      <c r="AS56" s="1" t="s">
        <v>4954</v>
      </c>
      <c r="AT56" s="1" t="s">
        <v>330</v>
      </c>
      <c r="AU56" s="1">
        <v>57</v>
      </c>
      <c r="AV56" s="1">
        <v>0</v>
      </c>
      <c r="AW56" s="1" t="s">
        <v>4577</v>
      </c>
      <c r="AX56" s="1" t="s">
        <v>4944</v>
      </c>
      <c r="AY56" s="1">
        <v>4</v>
      </c>
      <c r="AZ56" s="1">
        <v>0</v>
      </c>
      <c r="BA56" s="1" t="s">
        <v>4829</v>
      </c>
      <c r="BB56" s="1" t="s">
        <v>4955</v>
      </c>
      <c r="BC56" s="1" t="s">
        <v>4946</v>
      </c>
      <c r="BD56" s="1">
        <v>10601</v>
      </c>
      <c r="BE56" s="1"/>
    </row>
    <row r="57" spans="1:57" x14ac:dyDescent="0.25">
      <c r="A57" s="1">
        <v>58</v>
      </c>
      <c r="B57" s="1" t="s">
        <v>2963</v>
      </c>
      <c r="C57" s="9" t="s">
        <v>1668</v>
      </c>
      <c r="D57" s="1" t="s">
        <v>1668</v>
      </c>
      <c r="E57" s="1"/>
      <c r="F57" s="1"/>
      <c r="G57" s="1" t="s">
        <v>2964</v>
      </c>
      <c r="H57" s="1" t="s">
        <v>2965</v>
      </c>
      <c r="I57" s="1" t="s">
        <v>2966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4956</v>
      </c>
      <c r="AK57" s="1" t="s">
        <v>330</v>
      </c>
      <c r="AL57" s="1">
        <v>13</v>
      </c>
      <c r="AM57" s="1" t="s">
        <v>4805</v>
      </c>
      <c r="AN57" s="1" t="s">
        <v>4896</v>
      </c>
      <c r="AO57" s="1" t="s">
        <v>4957</v>
      </c>
      <c r="AP57" s="1">
        <v>0</v>
      </c>
      <c r="AQ57" s="1" t="s">
        <v>1798</v>
      </c>
      <c r="AR57" s="1" t="s">
        <v>1206</v>
      </c>
      <c r="AS57" s="1" t="s">
        <v>1181</v>
      </c>
      <c r="AT57" s="1" t="s">
        <v>330</v>
      </c>
      <c r="AU57" s="1">
        <v>58</v>
      </c>
      <c r="AV57" s="1">
        <v>0</v>
      </c>
      <c r="AW57" s="1" t="s">
        <v>4577</v>
      </c>
      <c r="AX57" s="1" t="s">
        <v>4883</v>
      </c>
      <c r="AY57" s="1">
        <v>3</v>
      </c>
      <c r="AZ57" s="1">
        <v>0</v>
      </c>
      <c r="BA57" s="1" t="s">
        <v>330</v>
      </c>
      <c r="BB57" s="1" t="s">
        <v>4958</v>
      </c>
      <c r="BC57" s="1" t="s">
        <v>4843</v>
      </c>
      <c r="BD57" s="1">
        <v>10302</v>
      </c>
      <c r="BE57" s="1"/>
    </row>
    <row r="58" spans="1:57" x14ac:dyDescent="0.25">
      <c r="A58" s="1">
        <v>59</v>
      </c>
      <c r="B58" s="1" t="s">
        <v>2967</v>
      </c>
      <c r="C58" s="9" t="s">
        <v>1669</v>
      </c>
      <c r="D58" s="1" t="s">
        <v>2968</v>
      </c>
      <c r="E58" s="1"/>
      <c r="F58" s="1"/>
      <c r="G58" s="1" t="s">
        <v>2969</v>
      </c>
      <c r="H58" s="1" t="s">
        <v>2970</v>
      </c>
      <c r="I58" s="1" t="s">
        <v>2971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4959</v>
      </c>
      <c r="AK58" s="1" t="s">
        <v>4960</v>
      </c>
      <c r="AL58" s="1">
        <v>13</v>
      </c>
      <c r="AM58" s="1" t="s">
        <v>4876</v>
      </c>
      <c r="AN58" s="1" t="s">
        <v>4881</v>
      </c>
      <c r="AO58" s="1" t="s">
        <v>4961</v>
      </c>
      <c r="AP58" s="1">
        <v>0</v>
      </c>
      <c r="AQ58" s="1" t="s">
        <v>1181</v>
      </c>
      <c r="AR58" s="1" t="s">
        <v>1171</v>
      </c>
      <c r="AS58" s="1" t="s">
        <v>1182</v>
      </c>
      <c r="AT58" s="1" t="s">
        <v>330</v>
      </c>
      <c r="AU58" s="1">
        <v>59</v>
      </c>
      <c r="AV58" s="1">
        <v>0</v>
      </c>
      <c r="AW58" s="1" t="s">
        <v>4904</v>
      </c>
      <c r="AX58" s="1" t="s">
        <v>4962</v>
      </c>
      <c r="AY58" s="1">
        <v>5</v>
      </c>
      <c r="AZ58" s="1">
        <v>0</v>
      </c>
      <c r="BA58" s="1" t="s">
        <v>330</v>
      </c>
      <c r="BB58" s="1" t="s">
        <v>330</v>
      </c>
      <c r="BC58" s="1" t="s">
        <v>4843</v>
      </c>
      <c r="BD58" s="1">
        <v>10203</v>
      </c>
      <c r="BE58" s="1"/>
    </row>
    <row r="59" spans="1:57" x14ac:dyDescent="0.25">
      <c r="A59" s="1">
        <v>60</v>
      </c>
      <c r="B59" s="1" t="s">
        <v>2972</v>
      </c>
      <c r="C59" s="9" t="s">
        <v>101</v>
      </c>
      <c r="D59" s="1" t="s">
        <v>2973</v>
      </c>
      <c r="E59" s="1"/>
      <c r="F59" s="1"/>
      <c r="G59" s="1" t="s">
        <v>2974</v>
      </c>
      <c r="H59" s="1" t="s">
        <v>2975</v>
      </c>
      <c r="I59" s="1" t="s">
        <v>2976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1210</v>
      </c>
      <c r="AK59" s="1" t="s">
        <v>330</v>
      </c>
      <c r="AL59" s="1">
        <v>13</v>
      </c>
      <c r="AM59" s="1" t="s">
        <v>4805</v>
      </c>
      <c r="AN59" s="1" t="s">
        <v>508</v>
      </c>
      <c r="AO59" s="1" t="s">
        <v>4963</v>
      </c>
      <c r="AP59" s="1">
        <v>0</v>
      </c>
      <c r="AQ59" s="1" t="s">
        <v>1182</v>
      </c>
      <c r="AR59" s="1" t="s">
        <v>4954</v>
      </c>
      <c r="AS59" s="1" t="s">
        <v>1181</v>
      </c>
      <c r="AT59" s="1" t="s">
        <v>330</v>
      </c>
      <c r="AU59" s="1">
        <v>60</v>
      </c>
      <c r="AV59" s="1">
        <v>0</v>
      </c>
      <c r="AW59" s="1" t="s">
        <v>4577</v>
      </c>
      <c r="AX59" s="1" t="s">
        <v>4883</v>
      </c>
      <c r="AY59" s="1">
        <v>4</v>
      </c>
      <c r="AZ59" s="1">
        <v>0</v>
      </c>
      <c r="BA59" s="1" t="s">
        <v>4829</v>
      </c>
      <c r="BB59" s="1" t="s">
        <v>4964</v>
      </c>
      <c r="BC59" s="1" t="s">
        <v>4843</v>
      </c>
      <c r="BD59" s="1">
        <v>10303</v>
      </c>
      <c r="BE59" s="1"/>
    </row>
    <row r="60" spans="1:57" x14ac:dyDescent="0.25">
      <c r="A60" s="1">
        <v>61</v>
      </c>
      <c r="B60" s="1" t="s">
        <v>2977</v>
      </c>
      <c r="C60" s="9" t="s">
        <v>102</v>
      </c>
      <c r="D60" s="1" t="s">
        <v>2978</v>
      </c>
      <c r="E60" s="1"/>
      <c r="F60" s="1"/>
      <c r="G60" s="1" t="s">
        <v>2979</v>
      </c>
      <c r="H60" s="1" t="s">
        <v>2980</v>
      </c>
      <c r="I60" s="1" t="s">
        <v>2981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1173</v>
      </c>
      <c r="AK60" s="1" t="s">
        <v>1211</v>
      </c>
      <c r="AL60" s="1">
        <v>13</v>
      </c>
      <c r="AM60" s="1" t="s">
        <v>4805</v>
      </c>
      <c r="AN60" s="1" t="s">
        <v>477</v>
      </c>
      <c r="AO60" s="1" t="s">
        <v>4965</v>
      </c>
      <c r="AP60" s="1">
        <v>0</v>
      </c>
      <c r="AQ60" s="1" t="s">
        <v>1182</v>
      </c>
      <c r="AR60" s="1" t="s">
        <v>4954</v>
      </c>
      <c r="AS60" s="1" t="s">
        <v>1181</v>
      </c>
      <c r="AT60" s="1" t="s">
        <v>330</v>
      </c>
      <c r="AU60" s="1">
        <v>61</v>
      </c>
      <c r="AV60" s="1">
        <v>0</v>
      </c>
      <c r="AW60" s="1" t="s">
        <v>4577</v>
      </c>
      <c r="AX60" s="1" t="s">
        <v>4883</v>
      </c>
      <c r="AY60" s="1">
        <v>3</v>
      </c>
      <c r="AZ60" s="1">
        <v>0</v>
      </c>
      <c r="BA60" s="1" t="s">
        <v>4851</v>
      </c>
      <c r="BB60" s="1" t="s">
        <v>4861</v>
      </c>
      <c r="BC60" s="1" t="s">
        <v>4855</v>
      </c>
      <c r="BD60" s="1">
        <v>10303</v>
      </c>
      <c r="BE60" s="1"/>
    </row>
    <row r="61" spans="1:57" x14ac:dyDescent="0.25">
      <c r="A61" s="1">
        <v>62</v>
      </c>
      <c r="B61" s="1" t="s">
        <v>2982</v>
      </c>
      <c r="C61" s="9" t="s">
        <v>741</v>
      </c>
      <c r="D61" s="1" t="s">
        <v>741</v>
      </c>
      <c r="E61" s="1"/>
      <c r="F61" s="1"/>
      <c r="G61" s="1" t="s">
        <v>2983</v>
      </c>
      <c r="H61" s="1" t="s">
        <v>2984</v>
      </c>
      <c r="I61" s="1" t="s">
        <v>2985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1212</v>
      </c>
      <c r="AK61" s="1" t="s">
        <v>330</v>
      </c>
      <c r="AL61" s="1">
        <v>13</v>
      </c>
      <c r="AM61" s="1" t="s">
        <v>4805</v>
      </c>
      <c r="AN61" s="1" t="s">
        <v>4920</v>
      </c>
      <c r="AO61" s="1" t="s">
        <v>4966</v>
      </c>
      <c r="AP61" s="1">
        <v>0</v>
      </c>
      <c r="AQ61" s="1" t="s">
        <v>1182</v>
      </c>
      <c r="AR61" s="1" t="s">
        <v>1206</v>
      </c>
      <c r="AS61" s="1" t="s">
        <v>1797</v>
      </c>
      <c r="AT61" s="1" t="s">
        <v>330</v>
      </c>
      <c r="AU61" s="1">
        <v>62</v>
      </c>
      <c r="AV61" s="1">
        <v>0</v>
      </c>
      <c r="AW61" s="1" t="s">
        <v>4577</v>
      </c>
      <c r="AX61" s="1" t="s">
        <v>4576</v>
      </c>
      <c r="AY61" s="1">
        <v>5</v>
      </c>
      <c r="AZ61" s="1">
        <v>0</v>
      </c>
      <c r="BA61" s="1" t="s">
        <v>330</v>
      </c>
      <c r="BB61" s="1" t="s">
        <v>4967</v>
      </c>
      <c r="BC61" s="1" t="s">
        <v>4855</v>
      </c>
      <c r="BD61" s="1">
        <v>10202</v>
      </c>
      <c r="BE61" s="1"/>
    </row>
    <row r="62" spans="1:57" x14ac:dyDescent="0.25">
      <c r="A62" s="1">
        <v>63</v>
      </c>
      <c r="B62" s="1" t="s">
        <v>2986</v>
      </c>
      <c r="C62" s="9" t="s">
        <v>1213</v>
      </c>
      <c r="D62" s="1" t="s">
        <v>1213</v>
      </c>
      <c r="E62" s="1"/>
      <c r="F62" s="1"/>
      <c r="G62" s="1" t="s">
        <v>2987</v>
      </c>
      <c r="H62" s="1" t="s">
        <v>2988</v>
      </c>
      <c r="I62" s="1" t="s">
        <v>2989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1173</v>
      </c>
      <c r="AK62" s="1" t="s">
        <v>330</v>
      </c>
      <c r="AL62" s="1">
        <v>13</v>
      </c>
      <c r="AM62" s="1" t="s">
        <v>4805</v>
      </c>
      <c r="AN62" s="1" t="s">
        <v>508</v>
      </c>
      <c r="AO62" s="1" t="s">
        <v>4968</v>
      </c>
      <c r="AP62" s="1">
        <v>0</v>
      </c>
      <c r="AQ62" s="1" t="s">
        <v>1798</v>
      </c>
      <c r="AR62" s="1" t="s">
        <v>1206</v>
      </c>
      <c r="AS62" s="1" t="s">
        <v>1181</v>
      </c>
      <c r="AT62" s="1" t="s">
        <v>330</v>
      </c>
      <c r="AU62" s="1">
        <v>63</v>
      </c>
      <c r="AV62" s="1">
        <v>0</v>
      </c>
      <c r="AW62" s="1" t="s">
        <v>4577</v>
      </c>
      <c r="AX62" s="1" t="s">
        <v>472</v>
      </c>
      <c r="AY62" s="1">
        <v>2</v>
      </c>
      <c r="AZ62" s="1">
        <v>0</v>
      </c>
      <c r="BA62" s="1" t="s">
        <v>4831</v>
      </c>
      <c r="BB62" s="1" t="s">
        <v>4969</v>
      </c>
      <c r="BC62" s="1" t="s">
        <v>4855</v>
      </c>
      <c r="BD62" s="1">
        <v>105</v>
      </c>
      <c r="BE62" s="1"/>
    </row>
    <row r="63" spans="1:57" x14ac:dyDescent="0.25">
      <c r="A63" s="1">
        <v>64</v>
      </c>
      <c r="B63" s="1" t="s">
        <v>2990</v>
      </c>
      <c r="C63" s="9" t="s">
        <v>1214</v>
      </c>
      <c r="D63" s="1" t="s">
        <v>1214</v>
      </c>
      <c r="E63" s="1"/>
      <c r="F63" s="1"/>
      <c r="G63" s="1" t="s">
        <v>2991</v>
      </c>
      <c r="H63" s="1" t="s">
        <v>2992</v>
      </c>
      <c r="I63" s="1" t="s">
        <v>2993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330</v>
      </c>
      <c r="AK63" s="1" t="s">
        <v>330</v>
      </c>
      <c r="AL63" s="1">
        <v>13</v>
      </c>
      <c r="AM63" s="1" t="s">
        <v>4805</v>
      </c>
      <c r="AN63" s="1" t="s">
        <v>4970</v>
      </c>
      <c r="AO63" s="1" t="s">
        <v>4971</v>
      </c>
      <c r="AP63" s="1">
        <v>0</v>
      </c>
      <c r="AQ63" s="1" t="s">
        <v>1798</v>
      </c>
      <c r="AR63" s="1" t="s">
        <v>1206</v>
      </c>
      <c r="AS63" s="1" t="s">
        <v>1181</v>
      </c>
      <c r="AT63" s="1" t="s">
        <v>330</v>
      </c>
      <c r="AU63" s="1">
        <v>64</v>
      </c>
      <c r="AV63" s="1">
        <v>0</v>
      </c>
      <c r="AW63" s="1" t="s">
        <v>4577</v>
      </c>
      <c r="AX63" s="1" t="s">
        <v>333</v>
      </c>
      <c r="AY63" s="1">
        <v>4</v>
      </c>
      <c r="AZ63" s="1">
        <v>0</v>
      </c>
      <c r="BA63" s="1" t="s">
        <v>4829</v>
      </c>
      <c r="BB63" s="1" t="s">
        <v>4972</v>
      </c>
      <c r="BC63" s="1" t="s">
        <v>4855</v>
      </c>
      <c r="BD63" s="1">
        <v>10705</v>
      </c>
      <c r="BE63" s="1"/>
    </row>
    <row r="64" spans="1:57" x14ac:dyDescent="0.25">
      <c r="A64" s="1">
        <v>65</v>
      </c>
      <c r="B64" s="1" t="s">
        <v>2994</v>
      </c>
      <c r="C64" s="9" t="s">
        <v>223</v>
      </c>
      <c r="D64" s="1" t="s">
        <v>223</v>
      </c>
      <c r="E64" s="1"/>
      <c r="F64" s="1"/>
      <c r="G64" s="1" t="s">
        <v>2995</v>
      </c>
      <c r="H64" s="1" t="s">
        <v>2996</v>
      </c>
      <c r="I64" s="1" t="s">
        <v>2997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1215</v>
      </c>
      <c r="AK64" s="1" t="s">
        <v>330</v>
      </c>
      <c r="AL64" s="1">
        <v>13</v>
      </c>
      <c r="AM64" s="1" t="s">
        <v>4805</v>
      </c>
      <c r="AN64" s="1" t="s">
        <v>477</v>
      </c>
      <c r="AO64" s="1" t="s">
        <v>4973</v>
      </c>
      <c r="AP64" s="1">
        <v>0</v>
      </c>
      <c r="AQ64" s="1" t="s">
        <v>1798</v>
      </c>
      <c r="AR64" s="1" t="s">
        <v>1206</v>
      </c>
      <c r="AS64" s="1" t="s">
        <v>1797</v>
      </c>
      <c r="AT64" s="1" t="s">
        <v>330</v>
      </c>
      <c r="AU64" s="1">
        <v>65</v>
      </c>
      <c r="AV64" s="1">
        <v>0</v>
      </c>
      <c r="AW64" s="1" t="s">
        <v>4577</v>
      </c>
      <c r="AX64" s="1" t="s">
        <v>4883</v>
      </c>
      <c r="AY64" s="1">
        <v>5</v>
      </c>
      <c r="AZ64" s="1">
        <v>0</v>
      </c>
      <c r="BA64" s="1" t="s">
        <v>4941</v>
      </c>
      <c r="BB64" s="1" t="s">
        <v>4974</v>
      </c>
      <c r="BC64" s="1" t="s">
        <v>4975</v>
      </c>
      <c r="BD64" s="1">
        <v>10104</v>
      </c>
      <c r="BE64" s="1"/>
    </row>
    <row r="65" spans="1:57" x14ac:dyDescent="0.25">
      <c r="A65" s="1">
        <v>66</v>
      </c>
      <c r="B65" s="1" t="s">
        <v>2998</v>
      </c>
      <c r="C65" s="9" t="s">
        <v>1670</v>
      </c>
      <c r="D65" s="1" t="s">
        <v>2999</v>
      </c>
      <c r="E65" s="1"/>
      <c r="F65" s="1"/>
      <c r="G65" s="1" t="s">
        <v>3000</v>
      </c>
      <c r="H65" s="1" t="s">
        <v>3001</v>
      </c>
      <c r="I65" s="1" t="s">
        <v>3002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1216</v>
      </c>
      <c r="AK65" s="1" t="s">
        <v>330</v>
      </c>
      <c r="AL65" s="1">
        <v>13</v>
      </c>
      <c r="AM65" s="1" t="s">
        <v>4805</v>
      </c>
      <c r="AN65" s="1" t="s">
        <v>477</v>
      </c>
      <c r="AO65" s="1" t="s">
        <v>4976</v>
      </c>
      <c r="AP65" s="1">
        <v>0</v>
      </c>
      <c r="AQ65" s="1" t="s">
        <v>1798</v>
      </c>
      <c r="AR65" s="1" t="s">
        <v>1206</v>
      </c>
      <c r="AS65" s="1" t="s">
        <v>1181</v>
      </c>
      <c r="AT65" s="1" t="s">
        <v>330</v>
      </c>
      <c r="AU65" s="1">
        <v>66</v>
      </c>
      <c r="AV65" s="1">
        <v>0</v>
      </c>
      <c r="AW65" s="1" t="s">
        <v>4577</v>
      </c>
      <c r="AX65" s="1" t="s">
        <v>4883</v>
      </c>
      <c r="AY65" s="1">
        <v>4</v>
      </c>
      <c r="AZ65" s="1">
        <v>0</v>
      </c>
      <c r="BA65" s="1" t="s">
        <v>330</v>
      </c>
      <c r="BB65" s="1" t="s">
        <v>4977</v>
      </c>
      <c r="BC65" s="1" t="s">
        <v>4869</v>
      </c>
      <c r="BD65" s="1">
        <v>10705</v>
      </c>
      <c r="BE65" s="1"/>
    </row>
    <row r="66" spans="1:57" x14ac:dyDescent="0.25">
      <c r="A66" s="1">
        <v>68</v>
      </c>
      <c r="B66" s="1" t="s">
        <v>3003</v>
      </c>
      <c r="C66" s="9" t="s">
        <v>103</v>
      </c>
      <c r="D66" s="1" t="s">
        <v>103</v>
      </c>
      <c r="E66" s="1"/>
      <c r="F66" s="1"/>
      <c r="G66" s="1" t="s">
        <v>3004</v>
      </c>
      <c r="H66" s="1" t="s">
        <v>3005</v>
      </c>
      <c r="I66" s="1" t="s">
        <v>3006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1173</v>
      </c>
      <c r="AK66" s="1" t="s">
        <v>330</v>
      </c>
      <c r="AL66" s="1">
        <v>13</v>
      </c>
      <c r="AM66" s="1" t="s">
        <v>4805</v>
      </c>
      <c r="AN66" s="1" t="s">
        <v>508</v>
      </c>
      <c r="AO66" s="1" t="s">
        <v>4978</v>
      </c>
      <c r="AP66" s="1">
        <v>0</v>
      </c>
      <c r="AQ66" s="1" t="s">
        <v>1182</v>
      </c>
      <c r="AR66" s="1" t="s">
        <v>1206</v>
      </c>
      <c r="AS66" s="1" t="s">
        <v>1181</v>
      </c>
      <c r="AT66" s="1" t="s">
        <v>330</v>
      </c>
      <c r="AU66" s="1">
        <v>68</v>
      </c>
      <c r="AV66" s="1">
        <v>0</v>
      </c>
      <c r="AW66" s="1" t="s">
        <v>4577</v>
      </c>
      <c r="AX66" s="1" t="s">
        <v>472</v>
      </c>
      <c r="AY66" s="1">
        <v>2</v>
      </c>
      <c r="AZ66" s="1">
        <v>0</v>
      </c>
      <c r="BA66" s="1" t="s">
        <v>330</v>
      </c>
      <c r="BB66" s="1" t="s">
        <v>4979</v>
      </c>
      <c r="BC66" s="1" t="s">
        <v>330</v>
      </c>
      <c r="BD66" s="1">
        <v>10302</v>
      </c>
      <c r="BE66" s="1"/>
    </row>
    <row r="67" spans="1:57" x14ac:dyDescent="0.25">
      <c r="A67" s="1">
        <v>69</v>
      </c>
      <c r="B67" s="1" t="s">
        <v>3007</v>
      </c>
      <c r="C67" s="9" t="s">
        <v>716</v>
      </c>
      <c r="D67" s="1" t="s">
        <v>716</v>
      </c>
      <c r="E67" s="1"/>
      <c r="F67" s="1"/>
      <c r="G67" s="1" t="s">
        <v>3008</v>
      </c>
      <c r="H67" s="1" t="s">
        <v>3009</v>
      </c>
      <c r="I67" s="1" t="s">
        <v>3010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1216</v>
      </c>
      <c r="AK67" s="1" t="s">
        <v>330</v>
      </c>
      <c r="AL67" s="1">
        <v>13</v>
      </c>
      <c r="AM67" s="1" t="s">
        <v>4805</v>
      </c>
      <c r="AN67" s="1" t="s">
        <v>467</v>
      </c>
      <c r="AO67" s="1" t="s">
        <v>4980</v>
      </c>
      <c r="AP67" s="1">
        <v>0</v>
      </c>
      <c r="AQ67" s="1" t="s">
        <v>1798</v>
      </c>
      <c r="AR67" s="1" t="s">
        <v>1206</v>
      </c>
      <c r="AS67" s="1" t="s">
        <v>1181</v>
      </c>
      <c r="AT67" s="1" t="s">
        <v>330</v>
      </c>
      <c r="AU67" s="1">
        <v>69</v>
      </c>
      <c r="AV67" s="1">
        <v>0</v>
      </c>
      <c r="AW67" s="1" t="s">
        <v>4577</v>
      </c>
      <c r="AX67" s="1" t="s">
        <v>4883</v>
      </c>
      <c r="AY67" s="1">
        <v>4</v>
      </c>
      <c r="AZ67" s="1">
        <v>0</v>
      </c>
      <c r="BA67" s="1" t="s">
        <v>330</v>
      </c>
      <c r="BB67" s="1" t="s">
        <v>4981</v>
      </c>
      <c r="BC67" s="1" t="s">
        <v>330</v>
      </c>
      <c r="BD67" s="1">
        <v>10403</v>
      </c>
      <c r="BE67" s="1"/>
    </row>
    <row r="68" spans="1:57" x14ac:dyDescent="0.25">
      <c r="A68" s="1">
        <v>70</v>
      </c>
      <c r="B68" s="1" t="s">
        <v>3011</v>
      </c>
      <c r="C68" s="9" t="s">
        <v>1217</v>
      </c>
      <c r="D68" s="1" t="s">
        <v>3012</v>
      </c>
      <c r="E68" s="1"/>
      <c r="F68" s="1"/>
      <c r="G68" s="1" t="s">
        <v>3013</v>
      </c>
      <c r="H68" s="1" t="s">
        <v>3014</v>
      </c>
      <c r="I68" s="1" t="s">
        <v>3015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4982</v>
      </c>
      <c r="AK68" s="1" t="s">
        <v>330</v>
      </c>
      <c r="AL68" s="1">
        <v>13</v>
      </c>
      <c r="AM68" s="1" t="s">
        <v>4805</v>
      </c>
      <c r="AN68" s="1" t="s">
        <v>4917</v>
      </c>
      <c r="AO68" s="1" t="s">
        <v>4951</v>
      </c>
      <c r="AP68" s="1">
        <v>0</v>
      </c>
      <c r="AQ68" s="1" t="s">
        <v>1182</v>
      </c>
      <c r="AR68" s="1" t="s">
        <v>1206</v>
      </c>
      <c r="AS68" s="1" t="s">
        <v>1181</v>
      </c>
      <c r="AT68" s="1" t="s">
        <v>330</v>
      </c>
      <c r="AU68" s="1">
        <v>70</v>
      </c>
      <c r="AV68" s="1">
        <v>0</v>
      </c>
      <c r="AW68" s="1" t="s">
        <v>4577</v>
      </c>
      <c r="AX68" s="1" t="s">
        <v>4883</v>
      </c>
      <c r="AY68" s="1">
        <v>3</v>
      </c>
      <c r="AZ68" s="1">
        <v>0</v>
      </c>
      <c r="BA68" s="1" t="s">
        <v>330</v>
      </c>
      <c r="BB68" s="1" t="s">
        <v>4983</v>
      </c>
      <c r="BC68" s="1" t="s">
        <v>4939</v>
      </c>
      <c r="BD68" s="1">
        <v>10202</v>
      </c>
      <c r="BE68" s="1"/>
    </row>
    <row r="69" spans="1:57" x14ac:dyDescent="0.25">
      <c r="A69" s="1">
        <v>71</v>
      </c>
      <c r="B69" s="1" t="s">
        <v>3016</v>
      </c>
      <c r="C69" s="9" t="s">
        <v>848</v>
      </c>
      <c r="D69" s="1" t="s">
        <v>2</v>
      </c>
      <c r="E69" s="1"/>
      <c r="F69" s="1"/>
      <c r="G69" s="1" t="s">
        <v>3017</v>
      </c>
      <c r="H69" s="1" t="s">
        <v>3018</v>
      </c>
      <c r="I69" s="1" t="s">
        <v>3019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1177</v>
      </c>
      <c r="AK69" s="1" t="s">
        <v>330</v>
      </c>
      <c r="AL69" s="1">
        <v>13</v>
      </c>
      <c r="AM69" s="1" t="s">
        <v>4805</v>
      </c>
      <c r="AN69" s="1" t="s">
        <v>477</v>
      </c>
      <c r="AO69" s="1" t="s">
        <v>4984</v>
      </c>
      <c r="AP69" s="1">
        <v>0</v>
      </c>
      <c r="AQ69" s="1" t="s">
        <v>1182</v>
      </c>
      <c r="AR69" s="1" t="s">
        <v>1206</v>
      </c>
      <c r="AS69" s="1" t="s">
        <v>1797</v>
      </c>
      <c r="AT69" s="1" t="s">
        <v>330</v>
      </c>
      <c r="AU69" s="1">
        <v>71</v>
      </c>
      <c r="AV69" s="1">
        <v>0</v>
      </c>
      <c r="AW69" s="1" t="s">
        <v>4577</v>
      </c>
      <c r="AX69" s="1" t="s">
        <v>472</v>
      </c>
      <c r="AY69" s="1">
        <v>2</v>
      </c>
      <c r="AZ69" s="1">
        <v>0</v>
      </c>
      <c r="BA69" s="1" t="s">
        <v>4831</v>
      </c>
      <c r="BB69" s="1" t="s">
        <v>4985</v>
      </c>
      <c r="BC69" s="1" t="s">
        <v>330</v>
      </c>
      <c r="BD69" s="1">
        <v>10202</v>
      </c>
      <c r="BE69" s="1"/>
    </row>
    <row r="70" spans="1:57" x14ac:dyDescent="0.25">
      <c r="A70" s="1">
        <v>72</v>
      </c>
      <c r="B70" s="1" t="s">
        <v>3020</v>
      </c>
      <c r="C70" s="9" t="s">
        <v>745</v>
      </c>
      <c r="D70" s="1" t="s">
        <v>745</v>
      </c>
      <c r="E70" s="1"/>
      <c r="F70" s="1"/>
      <c r="G70" s="1" t="s">
        <v>3021</v>
      </c>
      <c r="H70" s="1" t="s">
        <v>3022</v>
      </c>
      <c r="I70" s="1" t="s">
        <v>3023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330</v>
      </c>
      <c r="AK70" s="1" t="s">
        <v>330</v>
      </c>
      <c r="AL70" s="1">
        <v>13</v>
      </c>
      <c r="AM70" s="1" t="s">
        <v>4805</v>
      </c>
      <c r="AN70" s="1" t="s">
        <v>4920</v>
      </c>
      <c r="AO70" s="1" t="s">
        <v>4957</v>
      </c>
      <c r="AP70" s="1">
        <v>0</v>
      </c>
      <c r="AQ70" s="1" t="s">
        <v>1182</v>
      </c>
      <c r="AR70" s="1" t="s">
        <v>1206</v>
      </c>
      <c r="AS70" s="1" t="s">
        <v>1797</v>
      </c>
      <c r="AT70" s="1" t="s">
        <v>330</v>
      </c>
      <c r="AU70" s="1">
        <v>72</v>
      </c>
      <c r="AV70" s="1">
        <v>0</v>
      </c>
      <c r="AW70" s="1" t="s">
        <v>4577</v>
      </c>
      <c r="AX70" s="1" t="s">
        <v>4883</v>
      </c>
      <c r="AY70" s="1">
        <v>4</v>
      </c>
      <c r="AZ70" s="1">
        <v>0</v>
      </c>
      <c r="BA70" s="1" t="s">
        <v>330</v>
      </c>
      <c r="BB70" s="1" t="s">
        <v>4986</v>
      </c>
      <c r="BC70" s="1" t="s">
        <v>330</v>
      </c>
      <c r="BD70" s="1">
        <v>10202</v>
      </c>
      <c r="BE70" s="1"/>
    </row>
    <row r="71" spans="1:57" x14ac:dyDescent="0.25">
      <c r="A71" s="1">
        <v>73</v>
      </c>
      <c r="B71" s="1" t="s">
        <v>3024</v>
      </c>
      <c r="C71" s="9" t="s">
        <v>104</v>
      </c>
      <c r="D71" s="1" t="s">
        <v>104</v>
      </c>
      <c r="E71" s="1"/>
      <c r="F71" s="1"/>
      <c r="G71" s="1" t="s">
        <v>3025</v>
      </c>
      <c r="H71" s="1" t="s">
        <v>3026</v>
      </c>
      <c r="I71" s="1" t="s">
        <v>3027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4987</v>
      </c>
      <c r="AK71" s="1" t="s">
        <v>330</v>
      </c>
      <c r="AL71" s="1">
        <v>13</v>
      </c>
      <c r="AM71" s="1" t="s">
        <v>1891</v>
      </c>
      <c r="AN71" s="1" t="s">
        <v>4988</v>
      </c>
      <c r="AO71" s="1" t="s">
        <v>4989</v>
      </c>
      <c r="AP71" s="1">
        <v>0</v>
      </c>
      <c r="AQ71" s="1" t="s">
        <v>1182</v>
      </c>
      <c r="AR71" s="1" t="s">
        <v>1206</v>
      </c>
      <c r="AS71" s="1" t="s">
        <v>1181</v>
      </c>
      <c r="AT71" s="1" t="s">
        <v>330</v>
      </c>
      <c r="AU71" s="1">
        <v>73</v>
      </c>
      <c r="AV71" s="1">
        <v>0</v>
      </c>
      <c r="AW71" s="1" t="s">
        <v>4990</v>
      </c>
      <c r="AX71" s="1" t="s">
        <v>4991</v>
      </c>
      <c r="AY71" s="1">
        <v>5</v>
      </c>
      <c r="AZ71" s="1">
        <v>0</v>
      </c>
      <c r="BA71" s="1" t="s">
        <v>330</v>
      </c>
      <c r="BB71" s="1" t="s">
        <v>4992</v>
      </c>
      <c r="BC71" s="1" t="s">
        <v>330</v>
      </c>
      <c r="BD71" s="1">
        <v>10402</v>
      </c>
      <c r="BE71" s="1"/>
    </row>
    <row r="72" spans="1:57" x14ac:dyDescent="0.25">
      <c r="A72" s="1">
        <v>74</v>
      </c>
      <c r="B72" s="1" t="s">
        <v>3028</v>
      </c>
      <c r="C72" s="9" t="s">
        <v>751</v>
      </c>
      <c r="D72" s="1" t="s">
        <v>751</v>
      </c>
      <c r="E72" s="1"/>
      <c r="F72" s="1"/>
      <c r="G72" s="1" t="s">
        <v>3029</v>
      </c>
      <c r="H72" s="1" t="s">
        <v>3030</v>
      </c>
      <c r="I72" s="1" t="s">
        <v>3031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1177</v>
      </c>
      <c r="AK72" s="1" t="s">
        <v>330</v>
      </c>
      <c r="AL72" s="1">
        <v>13</v>
      </c>
      <c r="AM72" s="1" t="s">
        <v>4805</v>
      </c>
      <c r="AN72" s="1" t="s">
        <v>4920</v>
      </c>
      <c r="AO72" s="1" t="s">
        <v>4993</v>
      </c>
      <c r="AP72" s="1">
        <v>0</v>
      </c>
      <c r="AQ72" s="1" t="s">
        <v>1798</v>
      </c>
      <c r="AR72" s="1" t="s">
        <v>1206</v>
      </c>
      <c r="AS72" s="1" t="s">
        <v>1181</v>
      </c>
      <c r="AT72" s="1" t="s">
        <v>330</v>
      </c>
      <c r="AU72" s="1">
        <v>74</v>
      </c>
      <c r="AV72" s="1">
        <v>0</v>
      </c>
      <c r="AW72" s="1" t="s">
        <v>4577</v>
      </c>
      <c r="AX72" s="1" t="s">
        <v>472</v>
      </c>
      <c r="AY72" s="1">
        <v>2</v>
      </c>
      <c r="AZ72" s="1">
        <v>0</v>
      </c>
      <c r="BA72" s="1" t="s">
        <v>330</v>
      </c>
      <c r="BB72" s="1" t="s">
        <v>4994</v>
      </c>
      <c r="BC72" s="1" t="s">
        <v>330</v>
      </c>
      <c r="BD72" s="1">
        <v>10302</v>
      </c>
      <c r="BE72" s="1"/>
    </row>
    <row r="73" spans="1:57" x14ac:dyDescent="0.25">
      <c r="A73" s="1">
        <v>75</v>
      </c>
      <c r="B73" s="1" t="s">
        <v>3032</v>
      </c>
      <c r="C73" s="9" t="s">
        <v>105</v>
      </c>
      <c r="D73" s="1" t="s">
        <v>105</v>
      </c>
      <c r="E73" s="1"/>
      <c r="F73" s="1"/>
      <c r="G73" s="1" t="s">
        <v>3033</v>
      </c>
      <c r="H73" s="1" t="s">
        <v>3034</v>
      </c>
      <c r="I73" s="1" t="s">
        <v>3035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1218</v>
      </c>
      <c r="AK73" s="1" t="s">
        <v>330</v>
      </c>
      <c r="AL73" s="1">
        <v>18</v>
      </c>
      <c r="AM73" s="1" t="s">
        <v>4944</v>
      </c>
      <c r="AN73" s="1" t="s">
        <v>4995</v>
      </c>
      <c r="AO73" s="1" t="s">
        <v>4996</v>
      </c>
      <c r="AP73" s="1">
        <v>0</v>
      </c>
      <c r="AQ73" s="1" t="s">
        <v>1219</v>
      </c>
      <c r="AR73" s="1" t="s">
        <v>4997</v>
      </c>
      <c r="AS73" s="1" t="s">
        <v>4998</v>
      </c>
      <c r="AT73" s="1" t="s">
        <v>330</v>
      </c>
      <c r="AU73" s="1">
        <v>75</v>
      </c>
      <c r="AV73" s="1">
        <v>0</v>
      </c>
      <c r="AW73" s="1" t="s">
        <v>4577</v>
      </c>
      <c r="AX73" s="1" t="s">
        <v>4883</v>
      </c>
      <c r="AY73" s="1">
        <v>4</v>
      </c>
      <c r="AZ73" s="1">
        <v>0</v>
      </c>
      <c r="BA73" s="1" t="s">
        <v>4829</v>
      </c>
      <c r="BB73" s="1" t="s">
        <v>4999</v>
      </c>
      <c r="BC73" s="1" t="s">
        <v>4806</v>
      </c>
      <c r="BD73" s="1">
        <v>10303</v>
      </c>
      <c r="BE73" s="1"/>
    </row>
    <row r="74" spans="1:57" x14ac:dyDescent="0.25">
      <c r="A74" s="1">
        <v>77</v>
      </c>
      <c r="B74" s="1" t="s">
        <v>3036</v>
      </c>
      <c r="C74" s="9" t="s">
        <v>798</v>
      </c>
      <c r="D74" s="1" t="s">
        <v>798</v>
      </c>
      <c r="E74" s="1"/>
      <c r="F74" s="1"/>
      <c r="G74" s="1" t="s">
        <v>3037</v>
      </c>
      <c r="H74" s="1" t="s">
        <v>3038</v>
      </c>
      <c r="I74" s="1" t="s">
        <v>3039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1222</v>
      </c>
      <c r="AK74" s="1" t="s">
        <v>330</v>
      </c>
      <c r="AL74" s="1">
        <v>18</v>
      </c>
      <c r="AM74" s="1" t="s">
        <v>4944</v>
      </c>
      <c r="AN74" s="1" t="s">
        <v>4995</v>
      </c>
      <c r="AO74" s="1" t="s">
        <v>5000</v>
      </c>
      <c r="AP74" s="1">
        <v>0</v>
      </c>
      <c r="AQ74" s="1" t="s">
        <v>1219</v>
      </c>
      <c r="AR74" s="1" t="s">
        <v>1220</v>
      </c>
      <c r="AS74" s="1" t="s">
        <v>1221</v>
      </c>
      <c r="AT74" s="1" t="s">
        <v>330</v>
      </c>
      <c r="AU74" s="1">
        <v>77</v>
      </c>
      <c r="AV74" s="1">
        <v>0</v>
      </c>
      <c r="AW74" s="1" t="s">
        <v>4577</v>
      </c>
      <c r="AX74" s="1" t="s">
        <v>4883</v>
      </c>
      <c r="AY74" s="1">
        <v>3</v>
      </c>
      <c r="AZ74" s="1">
        <v>0</v>
      </c>
      <c r="BA74" s="1" t="s">
        <v>330</v>
      </c>
      <c r="BB74" s="1" t="s">
        <v>5001</v>
      </c>
      <c r="BC74" s="1" t="s">
        <v>4806</v>
      </c>
      <c r="BD74" s="1">
        <v>10302</v>
      </c>
      <c r="BE74" s="1"/>
    </row>
    <row r="75" spans="1:57" x14ac:dyDescent="0.25">
      <c r="A75" s="1">
        <v>78</v>
      </c>
      <c r="B75" s="1" t="s">
        <v>3040</v>
      </c>
      <c r="C75" s="9" t="s">
        <v>106</v>
      </c>
      <c r="D75" s="1" t="s">
        <v>106</v>
      </c>
      <c r="E75" s="1"/>
      <c r="F75" s="1"/>
      <c r="G75" s="1" t="s">
        <v>3041</v>
      </c>
      <c r="H75" s="1" t="s">
        <v>3042</v>
      </c>
      <c r="I75" s="1" t="s">
        <v>3043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1218</v>
      </c>
      <c r="AK75" s="1" t="s">
        <v>330</v>
      </c>
      <c r="AL75" s="1">
        <v>17</v>
      </c>
      <c r="AM75" s="1" t="s">
        <v>4944</v>
      </c>
      <c r="AN75" s="1" t="s">
        <v>5002</v>
      </c>
      <c r="AO75" s="1" t="s">
        <v>5003</v>
      </c>
      <c r="AP75" s="1">
        <v>0</v>
      </c>
      <c r="AQ75" s="1" t="s">
        <v>1219</v>
      </c>
      <c r="AR75" s="1" t="s">
        <v>1220</v>
      </c>
      <c r="AS75" s="1" t="s">
        <v>1221</v>
      </c>
      <c r="AT75" s="1" t="s">
        <v>330</v>
      </c>
      <c r="AU75" s="1">
        <v>78</v>
      </c>
      <c r="AV75" s="1">
        <v>0</v>
      </c>
      <c r="AW75" s="1" t="s">
        <v>4577</v>
      </c>
      <c r="AX75" s="1" t="s">
        <v>4883</v>
      </c>
      <c r="AY75" s="1">
        <v>4</v>
      </c>
      <c r="AZ75" s="1">
        <v>0</v>
      </c>
      <c r="BA75" s="1" t="s">
        <v>330</v>
      </c>
      <c r="BB75" s="1" t="s">
        <v>5004</v>
      </c>
      <c r="BC75" s="1" t="s">
        <v>4806</v>
      </c>
      <c r="BD75" s="1">
        <v>10704</v>
      </c>
      <c r="BE75" s="1"/>
    </row>
    <row r="76" spans="1:57" x14ac:dyDescent="0.25">
      <c r="A76" s="1">
        <v>79</v>
      </c>
      <c r="B76" s="1" t="s">
        <v>3044</v>
      </c>
      <c r="C76" s="9" t="s">
        <v>1223</v>
      </c>
      <c r="D76" s="1" t="s">
        <v>1223</v>
      </c>
      <c r="E76" s="1"/>
      <c r="F76" s="1"/>
      <c r="G76" s="1" t="s">
        <v>3045</v>
      </c>
      <c r="H76" s="1" t="s">
        <v>3046</v>
      </c>
      <c r="I76" s="1" t="s">
        <v>3047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1222</v>
      </c>
      <c r="AK76" s="1" t="s">
        <v>330</v>
      </c>
      <c r="AL76" s="1">
        <v>18</v>
      </c>
      <c r="AM76" s="1" t="s">
        <v>4944</v>
      </c>
      <c r="AN76" s="1" t="s">
        <v>5005</v>
      </c>
      <c r="AO76" s="1" t="s">
        <v>5006</v>
      </c>
      <c r="AP76" s="1">
        <v>0</v>
      </c>
      <c r="AQ76" s="1" t="s">
        <v>1219</v>
      </c>
      <c r="AR76" s="1" t="s">
        <v>1220</v>
      </c>
      <c r="AS76" s="1" t="s">
        <v>4998</v>
      </c>
      <c r="AT76" s="1" t="s">
        <v>330</v>
      </c>
      <c r="AU76" s="1">
        <v>79</v>
      </c>
      <c r="AV76" s="1">
        <v>0</v>
      </c>
      <c r="AW76" s="1" t="s">
        <v>4577</v>
      </c>
      <c r="AX76" s="1" t="s">
        <v>5007</v>
      </c>
      <c r="AY76" s="1">
        <v>3</v>
      </c>
      <c r="AZ76" s="1">
        <v>0</v>
      </c>
      <c r="BA76" s="1" t="s">
        <v>330</v>
      </c>
      <c r="BB76" s="1" t="s">
        <v>5001</v>
      </c>
      <c r="BC76" s="1" t="s">
        <v>4806</v>
      </c>
      <c r="BD76" s="1">
        <v>10302</v>
      </c>
      <c r="BE76" s="1"/>
    </row>
    <row r="77" spans="1:57" x14ac:dyDescent="0.25">
      <c r="A77" s="1">
        <v>80</v>
      </c>
      <c r="B77" s="1" t="s">
        <v>3048</v>
      </c>
      <c r="C77" s="9" t="s">
        <v>107</v>
      </c>
      <c r="D77" s="1" t="s">
        <v>107</v>
      </c>
      <c r="E77" s="1"/>
      <c r="F77" s="1"/>
      <c r="G77" s="1" t="s">
        <v>3049</v>
      </c>
      <c r="H77" s="1" t="s">
        <v>3050</v>
      </c>
      <c r="I77" s="1" t="s">
        <v>3051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5008</v>
      </c>
      <c r="AK77" s="1" t="s">
        <v>330</v>
      </c>
      <c r="AL77" s="1">
        <v>19</v>
      </c>
      <c r="AM77" s="1" t="s">
        <v>4944</v>
      </c>
      <c r="AN77" s="1" t="s">
        <v>5009</v>
      </c>
      <c r="AO77" s="1" t="s">
        <v>5010</v>
      </c>
      <c r="AP77" s="1">
        <v>0</v>
      </c>
      <c r="AQ77" s="1" t="s">
        <v>1219</v>
      </c>
      <c r="AR77" s="1" t="s">
        <v>4997</v>
      </c>
      <c r="AS77" s="1" t="s">
        <v>1221</v>
      </c>
      <c r="AT77" s="1" t="s">
        <v>330</v>
      </c>
      <c r="AU77" s="1">
        <v>80</v>
      </c>
      <c r="AV77" s="1">
        <v>0</v>
      </c>
      <c r="AW77" s="1" t="s">
        <v>4577</v>
      </c>
      <c r="AX77" s="1" t="s">
        <v>4883</v>
      </c>
      <c r="AY77" s="1">
        <v>3</v>
      </c>
      <c r="AZ77" s="1">
        <v>0</v>
      </c>
      <c r="BA77" s="1" t="s">
        <v>330</v>
      </c>
      <c r="BB77" s="1" t="s">
        <v>5011</v>
      </c>
      <c r="BC77" s="1" t="s">
        <v>4806</v>
      </c>
      <c r="BD77" s="1">
        <v>10704</v>
      </c>
      <c r="BE77" s="1"/>
    </row>
    <row r="78" spans="1:57" x14ac:dyDescent="0.25">
      <c r="A78" s="1">
        <v>81</v>
      </c>
      <c r="B78" s="1" t="s">
        <v>3052</v>
      </c>
      <c r="C78" s="9" t="s">
        <v>108</v>
      </c>
      <c r="D78" s="1" t="s">
        <v>108</v>
      </c>
      <c r="E78" s="1"/>
      <c r="F78" s="1"/>
      <c r="G78" s="1" t="s">
        <v>3053</v>
      </c>
      <c r="H78" s="1" t="s">
        <v>3054</v>
      </c>
      <c r="I78" s="1" t="s">
        <v>3055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1224</v>
      </c>
      <c r="AK78" s="1" t="s">
        <v>330</v>
      </c>
      <c r="AL78" s="1">
        <v>18</v>
      </c>
      <c r="AM78" s="1" t="s">
        <v>4944</v>
      </c>
      <c r="AN78" s="1" t="s">
        <v>4995</v>
      </c>
      <c r="AO78" s="1" t="s">
        <v>5012</v>
      </c>
      <c r="AP78" s="1">
        <v>0</v>
      </c>
      <c r="AQ78" s="1" t="s">
        <v>1219</v>
      </c>
      <c r="AR78" s="1" t="s">
        <v>4997</v>
      </c>
      <c r="AS78" s="1" t="s">
        <v>1221</v>
      </c>
      <c r="AT78" s="1" t="s">
        <v>330</v>
      </c>
      <c r="AU78" s="1">
        <v>81</v>
      </c>
      <c r="AV78" s="1">
        <v>0</v>
      </c>
      <c r="AW78" s="1" t="s">
        <v>4577</v>
      </c>
      <c r="AX78" s="1" t="s">
        <v>472</v>
      </c>
      <c r="AY78" s="1">
        <v>2</v>
      </c>
      <c r="AZ78" s="1">
        <v>0</v>
      </c>
      <c r="BA78" s="1" t="s">
        <v>4831</v>
      </c>
      <c r="BB78" s="1" t="s">
        <v>5013</v>
      </c>
      <c r="BC78" s="1" t="s">
        <v>4806</v>
      </c>
      <c r="BD78" s="1">
        <v>10302</v>
      </c>
      <c r="BE78" s="1"/>
    </row>
    <row r="79" spans="1:57" x14ac:dyDescent="0.25">
      <c r="A79" s="1">
        <v>82</v>
      </c>
      <c r="B79" s="1" t="s">
        <v>3056</v>
      </c>
      <c r="C79" s="9" t="s">
        <v>109</v>
      </c>
      <c r="D79" s="1" t="s">
        <v>109</v>
      </c>
      <c r="E79" s="1"/>
      <c r="F79" s="1"/>
      <c r="G79" s="1" t="s">
        <v>3057</v>
      </c>
      <c r="H79" s="1" t="s">
        <v>3058</v>
      </c>
      <c r="I79" s="1" t="s">
        <v>3059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1222</v>
      </c>
      <c r="AK79" s="1" t="s">
        <v>330</v>
      </c>
      <c r="AL79" s="1">
        <v>19</v>
      </c>
      <c r="AM79" s="1" t="s">
        <v>4944</v>
      </c>
      <c r="AN79" s="1" t="s">
        <v>5014</v>
      </c>
      <c r="AO79" s="1" t="s">
        <v>5015</v>
      </c>
      <c r="AP79" s="1">
        <v>0</v>
      </c>
      <c r="AQ79" s="1" t="s">
        <v>1219</v>
      </c>
      <c r="AR79" s="1" t="s">
        <v>4997</v>
      </c>
      <c r="AS79" s="1" t="s">
        <v>1221</v>
      </c>
      <c r="AT79" s="1" t="s">
        <v>330</v>
      </c>
      <c r="AU79" s="1">
        <v>82</v>
      </c>
      <c r="AV79" s="1">
        <v>0</v>
      </c>
      <c r="AW79" s="1" t="s">
        <v>4577</v>
      </c>
      <c r="AX79" s="1" t="s">
        <v>472</v>
      </c>
      <c r="AY79" s="1">
        <v>2</v>
      </c>
      <c r="AZ79" s="1">
        <v>0</v>
      </c>
      <c r="BA79" s="1" t="s">
        <v>330</v>
      </c>
      <c r="BB79" s="1" t="s">
        <v>5016</v>
      </c>
      <c r="BC79" s="1" t="s">
        <v>4843</v>
      </c>
      <c r="BD79" s="1">
        <v>10302</v>
      </c>
      <c r="BE79" s="1"/>
    </row>
    <row r="80" spans="1:57" x14ac:dyDescent="0.25">
      <c r="A80" s="1">
        <v>84</v>
      </c>
      <c r="B80" s="1" t="s">
        <v>3060</v>
      </c>
      <c r="C80" s="9" t="s">
        <v>110</v>
      </c>
      <c r="D80" s="1" t="s">
        <v>110</v>
      </c>
      <c r="E80" s="1"/>
      <c r="F80" s="1"/>
      <c r="G80" s="1" t="s">
        <v>3061</v>
      </c>
      <c r="H80" s="1" t="s">
        <v>3062</v>
      </c>
      <c r="I80" s="1" t="s">
        <v>3063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5008</v>
      </c>
      <c r="AK80" s="1" t="s">
        <v>330</v>
      </c>
      <c r="AL80" s="1">
        <v>18</v>
      </c>
      <c r="AM80" s="1" t="s">
        <v>4944</v>
      </c>
      <c r="AN80" s="1" t="s">
        <v>5017</v>
      </c>
      <c r="AO80" s="1" t="s">
        <v>5018</v>
      </c>
      <c r="AP80" s="1">
        <v>0</v>
      </c>
      <c r="AQ80" s="1" t="s">
        <v>1219</v>
      </c>
      <c r="AR80" s="1" t="s">
        <v>1220</v>
      </c>
      <c r="AS80" s="1" t="s">
        <v>4998</v>
      </c>
      <c r="AT80" s="1" t="s">
        <v>330</v>
      </c>
      <c r="AU80" s="1">
        <v>84</v>
      </c>
      <c r="AV80" s="1">
        <v>0</v>
      </c>
      <c r="AW80" s="1" t="s">
        <v>5019</v>
      </c>
      <c r="AX80" s="1" t="s">
        <v>5020</v>
      </c>
      <c r="AY80" s="1">
        <v>3</v>
      </c>
      <c r="AZ80" s="1">
        <v>0</v>
      </c>
      <c r="BA80" s="1" t="s">
        <v>330</v>
      </c>
      <c r="BB80" s="1" t="s">
        <v>330</v>
      </c>
      <c r="BC80" s="1" t="s">
        <v>4843</v>
      </c>
      <c r="BD80" s="1">
        <v>10704</v>
      </c>
      <c r="BE80" s="1"/>
    </row>
    <row r="81" spans="1:57" x14ac:dyDescent="0.25">
      <c r="A81" s="1">
        <v>85</v>
      </c>
      <c r="B81" s="1" t="s">
        <v>3064</v>
      </c>
      <c r="C81" s="9" t="s">
        <v>111</v>
      </c>
      <c r="D81" s="1" t="s">
        <v>111</v>
      </c>
      <c r="E81" s="1"/>
      <c r="F81" s="1"/>
      <c r="G81" s="1" t="s">
        <v>3065</v>
      </c>
      <c r="H81" s="1" t="s">
        <v>3066</v>
      </c>
      <c r="I81" s="1" t="s">
        <v>3067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5021</v>
      </c>
      <c r="AK81" s="1" t="s">
        <v>5022</v>
      </c>
      <c r="AL81" s="1">
        <v>18</v>
      </c>
      <c r="AM81" s="1" t="s">
        <v>4944</v>
      </c>
      <c r="AN81" s="1" t="s">
        <v>5023</v>
      </c>
      <c r="AO81" s="1" t="s">
        <v>4910</v>
      </c>
      <c r="AP81" s="1">
        <v>0</v>
      </c>
      <c r="AQ81" s="1" t="s">
        <v>1219</v>
      </c>
      <c r="AR81" s="1" t="s">
        <v>4997</v>
      </c>
      <c r="AS81" s="1" t="s">
        <v>1221</v>
      </c>
      <c r="AT81" s="1" t="s">
        <v>330</v>
      </c>
      <c r="AU81" s="1">
        <v>85</v>
      </c>
      <c r="AV81" s="1">
        <v>0</v>
      </c>
      <c r="AW81" s="1" t="s">
        <v>4577</v>
      </c>
      <c r="AX81" s="1" t="s">
        <v>4883</v>
      </c>
      <c r="AY81" s="1">
        <v>4</v>
      </c>
      <c r="AZ81" s="1">
        <v>0</v>
      </c>
      <c r="BA81" s="1" t="s">
        <v>330</v>
      </c>
      <c r="BB81" s="1" t="s">
        <v>5024</v>
      </c>
      <c r="BC81" s="1" t="s">
        <v>4843</v>
      </c>
      <c r="BD81" s="1">
        <v>10402</v>
      </c>
      <c r="BE81" s="1"/>
    </row>
    <row r="82" spans="1:57" x14ac:dyDescent="0.25">
      <c r="A82" s="1">
        <v>86</v>
      </c>
      <c r="B82" s="1" t="s">
        <v>3068</v>
      </c>
      <c r="C82" s="9" t="s">
        <v>112</v>
      </c>
      <c r="D82" s="1" t="s">
        <v>112</v>
      </c>
      <c r="E82" s="1"/>
      <c r="F82" s="1"/>
      <c r="G82" s="1" t="s">
        <v>3069</v>
      </c>
      <c r="H82" s="1" t="s">
        <v>3070</v>
      </c>
      <c r="I82" s="1" t="s">
        <v>3071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1222</v>
      </c>
      <c r="AK82" s="1" t="s">
        <v>330</v>
      </c>
      <c r="AL82" s="1">
        <v>17</v>
      </c>
      <c r="AM82" s="1" t="s">
        <v>4944</v>
      </c>
      <c r="AN82" s="1" t="s">
        <v>905</v>
      </c>
      <c r="AO82" s="1" t="s">
        <v>5000</v>
      </c>
      <c r="AP82" s="1">
        <v>0</v>
      </c>
      <c r="AQ82" s="1" t="s">
        <v>1219</v>
      </c>
      <c r="AR82" s="1" t="s">
        <v>1220</v>
      </c>
      <c r="AS82" s="1" t="s">
        <v>1221</v>
      </c>
      <c r="AT82" s="1" t="s">
        <v>330</v>
      </c>
      <c r="AU82" s="1">
        <v>86</v>
      </c>
      <c r="AV82" s="1">
        <v>0</v>
      </c>
      <c r="AW82" s="1" t="s">
        <v>4577</v>
      </c>
      <c r="AX82" s="1" t="s">
        <v>4883</v>
      </c>
      <c r="AY82" s="1">
        <v>3</v>
      </c>
      <c r="AZ82" s="1">
        <v>0</v>
      </c>
      <c r="BA82" s="1" t="s">
        <v>330</v>
      </c>
      <c r="BB82" s="1" t="s">
        <v>5025</v>
      </c>
      <c r="BC82" s="1" t="s">
        <v>4855</v>
      </c>
      <c r="BD82" s="1">
        <v>10702</v>
      </c>
      <c r="BE82" s="1"/>
    </row>
    <row r="83" spans="1:57" x14ac:dyDescent="0.25">
      <c r="A83" s="1">
        <v>87</v>
      </c>
      <c r="B83" s="1" t="s">
        <v>3072</v>
      </c>
      <c r="C83" s="9" t="s">
        <v>113</v>
      </c>
      <c r="D83" s="1" t="s">
        <v>113</v>
      </c>
      <c r="E83" s="1"/>
      <c r="F83" s="1"/>
      <c r="G83" s="1" t="s">
        <v>3073</v>
      </c>
      <c r="H83" s="1" t="s">
        <v>3074</v>
      </c>
      <c r="I83" s="1" t="s">
        <v>3075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1222</v>
      </c>
      <c r="AK83" s="1" t="s">
        <v>330</v>
      </c>
      <c r="AL83" s="1">
        <v>19</v>
      </c>
      <c r="AM83" s="1" t="s">
        <v>4944</v>
      </c>
      <c r="AN83" s="1" t="s">
        <v>5009</v>
      </c>
      <c r="AO83" s="1" t="s">
        <v>5026</v>
      </c>
      <c r="AP83" s="1">
        <v>0</v>
      </c>
      <c r="AQ83" s="1" t="s">
        <v>1219</v>
      </c>
      <c r="AR83" s="1" t="s">
        <v>1220</v>
      </c>
      <c r="AS83" s="1" t="s">
        <v>1221</v>
      </c>
      <c r="AT83" s="1" t="s">
        <v>330</v>
      </c>
      <c r="AU83" s="1">
        <v>87</v>
      </c>
      <c r="AV83" s="1">
        <v>0</v>
      </c>
      <c r="AW83" s="1" t="s">
        <v>4577</v>
      </c>
      <c r="AX83" s="1" t="s">
        <v>472</v>
      </c>
      <c r="AY83" s="1">
        <v>2</v>
      </c>
      <c r="AZ83" s="1">
        <v>0</v>
      </c>
      <c r="BA83" s="1" t="s">
        <v>330</v>
      </c>
      <c r="BB83" s="1" t="s">
        <v>5027</v>
      </c>
      <c r="BC83" s="1" t="s">
        <v>4855</v>
      </c>
      <c r="BD83" s="1">
        <v>10702</v>
      </c>
      <c r="BE83" s="1"/>
    </row>
    <row r="84" spans="1:57" x14ac:dyDescent="0.25">
      <c r="A84" s="1">
        <v>88</v>
      </c>
      <c r="B84" s="1" t="s">
        <v>3076</v>
      </c>
      <c r="C84" s="9" t="s">
        <v>114</v>
      </c>
      <c r="D84" s="1" t="s">
        <v>114</v>
      </c>
      <c r="E84" s="1"/>
      <c r="F84" s="1"/>
      <c r="G84" s="1" t="s">
        <v>3077</v>
      </c>
      <c r="H84" s="1" t="s">
        <v>3078</v>
      </c>
      <c r="I84" s="1" t="s">
        <v>3079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1218</v>
      </c>
      <c r="AK84" s="1" t="s">
        <v>330</v>
      </c>
      <c r="AL84" s="1">
        <v>18</v>
      </c>
      <c r="AM84" s="1" t="s">
        <v>4944</v>
      </c>
      <c r="AN84" s="1" t="s">
        <v>5017</v>
      </c>
      <c r="AO84" s="1" t="s">
        <v>5028</v>
      </c>
      <c r="AP84" s="1">
        <v>0</v>
      </c>
      <c r="AQ84" s="1" t="s">
        <v>1219</v>
      </c>
      <c r="AR84" s="1" t="s">
        <v>1220</v>
      </c>
      <c r="AS84" s="1" t="s">
        <v>4998</v>
      </c>
      <c r="AT84" s="1" t="s">
        <v>330</v>
      </c>
      <c r="AU84" s="1">
        <v>88</v>
      </c>
      <c r="AV84" s="1">
        <v>0</v>
      </c>
      <c r="AW84" s="1" t="s">
        <v>4577</v>
      </c>
      <c r="AX84" s="1" t="s">
        <v>4883</v>
      </c>
      <c r="AY84" s="1">
        <v>4</v>
      </c>
      <c r="AZ84" s="1">
        <v>0</v>
      </c>
      <c r="BA84" s="1" t="s">
        <v>330</v>
      </c>
      <c r="BB84" s="1" t="s">
        <v>5029</v>
      </c>
      <c r="BC84" s="1" t="s">
        <v>4855</v>
      </c>
      <c r="BD84" s="1">
        <v>10302</v>
      </c>
      <c r="BE84" s="1"/>
    </row>
    <row r="85" spans="1:57" x14ac:dyDescent="0.25">
      <c r="A85" s="1">
        <v>89</v>
      </c>
      <c r="B85" s="1" t="s">
        <v>3080</v>
      </c>
      <c r="C85" s="9" t="s">
        <v>115</v>
      </c>
      <c r="D85" s="1" t="s">
        <v>3081</v>
      </c>
      <c r="E85" s="1"/>
      <c r="F85" s="1"/>
      <c r="G85" s="1" t="s">
        <v>3082</v>
      </c>
      <c r="H85" s="1" t="s">
        <v>3083</v>
      </c>
      <c r="I85" s="1" t="s">
        <v>3084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1222</v>
      </c>
      <c r="AK85" s="1" t="s">
        <v>330</v>
      </c>
      <c r="AL85" s="1">
        <v>17</v>
      </c>
      <c r="AM85" s="1" t="s">
        <v>4944</v>
      </c>
      <c r="AN85" s="1" t="s">
        <v>5002</v>
      </c>
      <c r="AO85" s="1" t="s">
        <v>5030</v>
      </c>
      <c r="AP85" s="1">
        <v>0</v>
      </c>
      <c r="AQ85" s="1" t="s">
        <v>1219</v>
      </c>
      <c r="AR85" s="1" t="s">
        <v>4997</v>
      </c>
      <c r="AS85" s="1" t="s">
        <v>1221</v>
      </c>
      <c r="AT85" s="1" t="s">
        <v>330</v>
      </c>
      <c r="AU85" s="1">
        <v>89</v>
      </c>
      <c r="AV85" s="1">
        <v>0</v>
      </c>
      <c r="AW85" s="1" t="s">
        <v>4577</v>
      </c>
      <c r="AX85" s="1" t="s">
        <v>4883</v>
      </c>
      <c r="AY85" s="1">
        <v>3</v>
      </c>
      <c r="AZ85" s="1">
        <v>0</v>
      </c>
      <c r="BA85" s="1" t="s">
        <v>4851</v>
      </c>
      <c r="BB85" s="1" t="s">
        <v>5031</v>
      </c>
      <c r="BC85" s="1" t="s">
        <v>330</v>
      </c>
      <c r="BD85" s="1">
        <v>10302</v>
      </c>
      <c r="BE85" s="1"/>
    </row>
    <row r="86" spans="1:57" x14ac:dyDescent="0.25">
      <c r="A86" s="1">
        <v>90</v>
      </c>
      <c r="B86" s="1" t="s">
        <v>3085</v>
      </c>
      <c r="C86" s="9" t="s">
        <v>1225</v>
      </c>
      <c r="D86" s="1" t="s">
        <v>1225</v>
      </c>
      <c r="E86" s="1"/>
      <c r="F86" s="1"/>
      <c r="G86" s="1" t="s">
        <v>3086</v>
      </c>
      <c r="H86" s="1" t="s">
        <v>3087</v>
      </c>
      <c r="I86" s="1" t="s">
        <v>3088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1177</v>
      </c>
      <c r="AK86" s="1" t="s">
        <v>330</v>
      </c>
      <c r="AL86" s="1">
        <v>13</v>
      </c>
      <c r="AM86" s="1" t="s">
        <v>1891</v>
      </c>
      <c r="AN86" s="1" t="s">
        <v>4947</v>
      </c>
      <c r="AO86" s="1" t="s">
        <v>5032</v>
      </c>
      <c r="AP86" s="1">
        <v>0</v>
      </c>
      <c r="AQ86" s="1" t="s">
        <v>1170</v>
      </c>
      <c r="AR86" s="1" t="s">
        <v>1171</v>
      </c>
      <c r="AS86" s="1" t="s">
        <v>1172</v>
      </c>
      <c r="AT86" s="1" t="s">
        <v>330</v>
      </c>
      <c r="AU86" s="1">
        <v>90</v>
      </c>
      <c r="AV86" s="1">
        <v>0</v>
      </c>
      <c r="AW86" s="1" t="s">
        <v>4577</v>
      </c>
      <c r="AX86" s="1" t="s">
        <v>472</v>
      </c>
      <c r="AY86" s="1">
        <v>2</v>
      </c>
      <c r="AZ86" s="1">
        <v>0</v>
      </c>
      <c r="BA86" s="1" t="s">
        <v>330</v>
      </c>
      <c r="BB86" s="1" t="s">
        <v>4896</v>
      </c>
      <c r="BC86" s="1" t="s">
        <v>4939</v>
      </c>
      <c r="BD86" s="1">
        <v>10704</v>
      </c>
      <c r="BE86" s="1"/>
    </row>
    <row r="87" spans="1:57" x14ac:dyDescent="0.25">
      <c r="A87" s="1">
        <v>91</v>
      </c>
      <c r="B87" s="1" t="s">
        <v>3089</v>
      </c>
      <c r="C87" s="9" t="s">
        <v>1671</v>
      </c>
      <c r="D87" s="1" t="s">
        <v>1671</v>
      </c>
      <c r="E87" s="1"/>
      <c r="F87" s="1"/>
      <c r="G87" s="1" t="s">
        <v>3090</v>
      </c>
      <c r="H87" s="1" t="s">
        <v>3091</v>
      </c>
      <c r="I87" s="1" t="s">
        <v>3092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1226</v>
      </c>
      <c r="AK87" s="1" t="s">
        <v>330</v>
      </c>
      <c r="AL87" s="1">
        <v>13</v>
      </c>
      <c r="AM87" s="1" t="s">
        <v>1891</v>
      </c>
      <c r="AN87" s="1" t="s">
        <v>5033</v>
      </c>
      <c r="AO87" s="1" t="s">
        <v>5034</v>
      </c>
      <c r="AP87" s="1">
        <v>0</v>
      </c>
      <c r="AQ87" s="1" t="s">
        <v>4828</v>
      </c>
      <c r="AR87" s="1" t="s">
        <v>1171</v>
      </c>
      <c r="AS87" s="1" t="s">
        <v>1172</v>
      </c>
      <c r="AT87" s="1" t="s">
        <v>330</v>
      </c>
      <c r="AU87" s="1">
        <v>91</v>
      </c>
      <c r="AV87" s="1">
        <v>0</v>
      </c>
      <c r="AW87" s="1" t="s">
        <v>4577</v>
      </c>
      <c r="AX87" s="1" t="s">
        <v>472</v>
      </c>
      <c r="AY87" s="1">
        <v>2</v>
      </c>
      <c r="AZ87" s="1">
        <v>0</v>
      </c>
      <c r="BA87" s="1" t="s">
        <v>4831</v>
      </c>
      <c r="BB87" s="1" t="s">
        <v>415</v>
      </c>
      <c r="BC87" s="1" t="s">
        <v>4843</v>
      </c>
      <c r="BD87" s="1">
        <v>10302</v>
      </c>
      <c r="BE87" s="1"/>
    </row>
    <row r="88" spans="1:57" x14ac:dyDescent="0.25">
      <c r="A88" s="1">
        <v>92</v>
      </c>
      <c r="B88" s="1" t="s">
        <v>3093</v>
      </c>
      <c r="C88" s="9" t="s">
        <v>116</v>
      </c>
      <c r="D88" s="1" t="s">
        <v>3094</v>
      </c>
      <c r="E88" s="1"/>
      <c r="F88" s="1"/>
      <c r="G88" s="1" t="s">
        <v>3095</v>
      </c>
      <c r="H88" s="1" t="s">
        <v>3096</v>
      </c>
      <c r="I88" s="1" t="s">
        <v>3097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1177</v>
      </c>
      <c r="AK88" s="1" t="s">
        <v>330</v>
      </c>
      <c r="AL88" s="1">
        <v>13</v>
      </c>
      <c r="AM88" s="1" t="s">
        <v>4876</v>
      </c>
      <c r="AN88" s="1" t="s">
        <v>4879</v>
      </c>
      <c r="AO88" s="1" t="s">
        <v>5026</v>
      </c>
      <c r="AP88" s="1">
        <v>0</v>
      </c>
      <c r="AQ88" s="1" t="s">
        <v>1181</v>
      </c>
      <c r="AR88" s="1" t="s">
        <v>1171</v>
      </c>
      <c r="AS88" s="1" t="s">
        <v>1798</v>
      </c>
      <c r="AT88" s="1" t="s">
        <v>330</v>
      </c>
      <c r="AU88" s="1">
        <v>92</v>
      </c>
      <c r="AV88" s="1">
        <v>0</v>
      </c>
      <c r="AW88" s="1" t="s">
        <v>4577</v>
      </c>
      <c r="AX88" s="1" t="s">
        <v>472</v>
      </c>
      <c r="AY88" s="1">
        <v>2</v>
      </c>
      <c r="AZ88" s="1">
        <v>0</v>
      </c>
      <c r="BA88" s="1" t="s">
        <v>330</v>
      </c>
      <c r="BB88" s="1" t="s">
        <v>358</v>
      </c>
      <c r="BC88" s="1" t="s">
        <v>4825</v>
      </c>
      <c r="BD88" s="1">
        <v>10704</v>
      </c>
      <c r="BE88" s="1"/>
    </row>
    <row r="89" spans="1:57" x14ac:dyDescent="0.25">
      <c r="A89" s="1">
        <v>93</v>
      </c>
      <c r="B89" s="1" t="s">
        <v>3098</v>
      </c>
      <c r="C89" s="9" t="s">
        <v>117</v>
      </c>
      <c r="D89" s="1" t="s">
        <v>117</v>
      </c>
      <c r="E89" s="1"/>
      <c r="F89" s="1"/>
      <c r="G89" s="1" t="s">
        <v>3099</v>
      </c>
      <c r="H89" s="1" t="s">
        <v>3100</v>
      </c>
      <c r="I89" s="1" t="s">
        <v>3101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1227</v>
      </c>
      <c r="AK89" s="1" t="s">
        <v>330</v>
      </c>
      <c r="AL89" s="1">
        <v>13</v>
      </c>
      <c r="AM89" s="1" t="s">
        <v>4876</v>
      </c>
      <c r="AN89" s="1" t="s">
        <v>4881</v>
      </c>
      <c r="AO89" s="1" t="s">
        <v>5035</v>
      </c>
      <c r="AP89" s="1">
        <v>0</v>
      </c>
      <c r="AQ89" s="1" t="s">
        <v>1797</v>
      </c>
      <c r="AR89" s="1" t="s">
        <v>1171</v>
      </c>
      <c r="AS89" s="1" t="s">
        <v>1182</v>
      </c>
      <c r="AT89" s="1" t="s">
        <v>330</v>
      </c>
      <c r="AU89" s="1">
        <v>93</v>
      </c>
      <c r="AV89" s="1">
        <v>0</v>
      </c>
      <c r="AW89" s="1" t="s">
        <v>4577</v>
      </c>
      <c r="AX89" s="1" t="s">
        <v>472</v>
      </c>
      <c r="AY89" s="1">
        <v>2</v>
      </c>
      <c r="AZ89" s="1">
        <v>0</v>
      </c>
      <c r="BA89" s="1" t="s">
        <v>4831</v>
      </c>
      <c r="BB89" s="1" t="s">
        <v>5036</v>
      </c>
      <c r="BC89" s="1" t="s">
        <v>330</v>
      </c>
      <c r="BD89" s="1">
        <v>10302</v>
      </c>
      <c r="BE89" s="1"/>
    </row>
    <row r="90" spans="1:57" x14ac:dyDescent="0.25">
      <c r="A90" s="1">
        <v>94</v>
      </c>
      <c r="B90" s="1" t="s">
        <v>3102</v>
      </c>
      <c r="C90" s="9" t="s">
        <v>118</v>
      </c>
      <c r="D90" s="1" t="s">
        <v>3103</v>
      </c>
      <c r="E90" s="1"/>
      <c r="F90" s="1"/>
      <c r="G90" s="1" t="s">
        <v>3104</v>
      </c>
      <c r="H90" s="1" t="s">
        <v>3105</v>
      </c>
      <c r="I90" s="1" t="s">
        <v>3106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1173</v>
      </c>
      <c r="AK90" s="1" t="s">
        <v>330</v>
      </c>
      <c r="AL90" s="1">
        <v>13</v>
      </c>
      <c r="AM90" s="1" t="s">
        <v>4876</v>
      </c>
      <c r="AN90" s="1" t="s">
        <v>4879</v>
      </c>
      <c r="AO90" s="1" t="s">
        <v>5037</v>
      </c>
      <c r="AP90" s="1">
        <v>0</v>
      </c>
      <c r="AQ90" s="1" t="s">
        <v>1797</v>
      </c>
      <c r="AR90" s="1" t="s">
        <v>1171</v>
      </c>
      <c r="AS90" s="1" t="s">
        <v>1798</v>
      </c>
      <c r="AT90" s="1" t="s">
        <v>330</v>
      </c>
      <c r="AU90" s="1">
        <v>94</v>
      </c>
      <c r="AV90" s="1">
        <v>0</v>
      </c>
      <c r="AW90" s="1" t="s">
        <v>4577</v>
      </c>
      <c r="AX90" s="1" t="s">
        <v>472</v>
      </c>
      <c r="AY90" s="1">
        <v>2</v>
      </c>
      <c r="AZ90" s="1">
        <v>0</v>
      </c>
      <c r="BA90" s="1" t="s">
        <v>4831</v>
      </c>
      <c r="BB90" s="1" t="s">
        <v>5038</v>
      </c>
      <c r="BC90" s="1" t="s">
        <v>4869</v>
      </c>
      <c r="BD90" s="1">
        <v>10705</v>
      </c>
      <c r="BE90" s="1"/>
    </row>
    <row r="91" spans="1:57" x14ac:dyDescent="0.25">
      <c r="A91" s="1">
        <v>95</v>
      </c>
      <c r="B91" s="1" t="s">
        <v>3107</v>
      </c>
      <c r="C91" s="9" t="s">
        <v>119</v>
      </c>
      <c r="D91" s="1" t="s">
        <v>3108</v>
      </c>
      <c r="E91" s="1"/>
      <c r="F91" s="1"/>
      <c r="G91" s="1" t="s">
        <v>3109</v>
      </c>
      <c r="H91" s="1" t="s">
        <v>3110</v>
      </c>
      <c r="I91" s="1" t="s">
        <v>3111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1228</v>
      </c>
      <c r="AK91" s="1" t="s">
        <v>330</v>
      </c>
      <c r="AL91" s="1">
        <v>13</v>
      </c>
      <c r="AM91" s="1" t="s">
        <v>4848</v>
      </c>
      <c r="AN91" s="1" t="s">
        <v>477</v>
      </c>
      <c r="AO91" s="1" t="s">
        <v>4912</v>
      </c>
      <c r="AP91" s="1">
        <v>0</v>
      </c>
      <c r="AQ91" s="1" t="s">
        <v>1799</v>
      </c>
      <c r="AR91" s="1" t="s">
        <v>4921</v>
      </c>
      <c r="AS91" s="1" t="s">
        <v>1194</v>
      </c>
      <c r="AT91" s="1" t="s">
        <v>330</v>
      </c>
      <c r="AU91" s="1">
        <v>95</v>
      </c>
      <c r="AV91" s="1">
        <v>0</v>
      </c>
      <c r="AW91" s="1" t="s">
        <v>4577</v>
      </c>
      <c r="AX91" s="1" t="s">
        <v>333</v>
      </c>
      <c r="AY91" s="1">
        <v>3</v>
      </c>
      <c r="AZ91" s="1">
        <v>0</v>
      </c>
      <c r="BA91" s="1" t="s">
        <v>4851</v>
      </c>
      <c r="BB91" s="1" t="s">
        <v>5038</v>
      </c>
      <c r="BC91" s="1" t="s">
        <v>4869</v>
      </c>
      <c r="BD91" s="1">
        <v>10701</v>
      </c>
      <c r="BE91" s="1"/>
    </row>
    <row r="92" spans="1:57" x14ac:dyDescent="0.25">
      <c r="A92" s="1">
        <v>96</v>
      </c>
      <c r="B92" s="1" t="s">
        <v>3112</v>
      </c>
      <c r="C92" s="9" t="s">
        <v>120</v>
      </c>
      <c r="D92" s="1" t="s">
        <v>120</v>
      </c>
      <c r="E92" s="1"/>
      <c r="F92" s="1"/>
      <c r="G92" s="1" t="s">
        <v>3113</v>
      </c>
      <c r="H92" s="1" t="s">
        <v>3114</v>
      </c>
      <c r="I92" s="1" t="s">
        <v>3115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330</v>
      </c>
      <c r="AK92" s="1" t="s">
        <v>1229</v>
      </c>
      <c r="AL92" s="1">
        <v>13</v>
      </c>
      <c r="AM92" s="1" t="s">
        <v>1891</v>
      </c>
      <c r="AN92" s="1" t="s">
        <v>5039</v>
      </c>
      <c r="AO92" s="1" t="s">
        <v>5040</v>
      </c>
      <c r="AP92" s="1">
        <v>0</v>
      </c>
      <c r="AQ92" s="1" t="s">
        <v>1170</v>
      </c>
      <c r="AR92" s="1" t="s">
        <v>1171</v>
      </c>
      <c r="AS92" s="1" t="s">
        <v>4847</v>
      </c>
      <c r="AT92" s="1" t="s">
        <v>330</v>
      </c>
      <c r="AU92" s="1">
        <v>96</v>
      </c>
      <c r="AV92" s="1">
        <v>0</v>
      </c>
      <c r="AW92" s="1" t="s">
        <v>4577</v>
      </c>
      <c r="AX92" s="1" t="s">
        <v>4848</v>
      </c>
      <c r="AY92" s="1">
        <v>5</v>
      </c>
      <c r="AZ92" s="1">
        <v>0</v>
      </c>
      <c r="BA92" s="1" t="s">
        <v>330</v>
      </c>
      <c r="BB92" s="1" t="s">
        <v>5041</v>
      </c>
      <c r="BC92" s="1" t="s">
        <v>4806</v>
      </c>
      <c r="BD92" s="1">
        <v>10401</v>
      </c>
      <c r="BE92" s="1"/>
    </row>
    <row r="93" spans="1:57" x14ac:dyDescent="0.25">
      <c r="A93" s="1">
        <v>97</v>
      </c>
      <c r="B93" s="1" t="s">
        <v>3116</v>
      </c>
      <c r="C93" s="9" t="s">
        <v>121</v>
      </c>
      <c r="D93" s="1" t="s">
        <v>121</v>
      </c>
      <c r="E93" s="1"/>
      <c r="F93" s="1"/>
      <c r="G93" s="1" t="s">
        <v>3117</v>
      </c>
      <c r="H93" s="1" t="s">
        <v>3118</v>
      </c>
      <c r="I93" s="1" t="s">
        <v>3119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330</v>
      </c>
      <c r="AK93" s="1" t="s">
        <v>330</v>
      </c>
      <c r="AL93" s="1">
        <v>13</v>
      </c>
      <c r="AM93" s="1" t="s">
        <v>1891</v>
      </c>
      <c r="AN93" s="1" t="s">
        <v>4870</v>
      </c>
      <c r="AO93" s="1" t="s">
        <v>4903</v>
      </c>
      <c r="AP93" s="1">
        <v>0</v>
      </c>
      <c r="AQ93" s="1" t="s">
        <v>4828</v>
      </c>
      <c r="AR93" s="1" t="s">
        <v>1171</v>
      </c>
      <c r="AS93" s="1" t="s">
        <v>1172</v>
      </c>
      <c r="AT93" s="1" t="s">
        <v>330</v>
      </c>
      <c r="AU93" s="1">
        <v>97</v>
      </c>
      <c r="AV93" s="1">
        <v>0</v>
      </c>
      <c r="AW93" s="1" t="s">
        <v>4577</v>
      </c>
      <c r="AX93" s="1" t="s">
        <v>5042</v>
      </c>
      <c r="AY93" s="1">
        <v>5</v>
      </c>
      <c r="AZ93" s="1">
        <v>0</v>
      </c>
      <c r="BA93" s="1" t="s">
        <v>4941</v>
      </c>
      <c r="BB93" s="1" t="s">
        <v>5043</v>
      </c>
      <c r="BC93" s="1" t="s">
        <v>4806</v>
      </c>
      <c r="BD93" s="1">
        <v>10202</v>
      </c>
      <c r="BE93" s="1"/>
    </row>
    <row r="94" spans="1:57" x14ac:dyDescent="0.25">
      <c r="A94" s="1">
        <v>98</v>
      </c>
      <c r="B94" s="1" t="s">
        <v>3120</v>
      </c>
      <c r="C94" s="9" t="s">
        <v>1672</v>
      </c>
      <c r="D94" s="1" t="s">
        <v>1672</v>
      </c>
      <c r="E94" s="1"/>
      <c r="F94" s="1"/>
      <c r="G94" s="1" t="s">
        <v>3121</v>
      </c>
      <c r="H94" s="1" t="s">
        <v>3122</v>
      </c>
      <c r="I94" s="1" t="s">
        <v>3123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330</v>
      </c>
      <c r="AK94" s="1" t="s">
        <v>330</v>
      </c>
      <c r="AL94" s="1">
        <v>13</v>
      </c>
      <c r="AM94" s="1" t="s">
        <v>1891</v>
      </c>
      <c r="AN94" s="1" t="s">
        <v>5044</v>
      </c>
      <c r="AO94" s="1" t="s">
        <v>5045</v>
      </c>
      <c r="AP94" s="1">
        <v>0</v>
      </c>
      <c r="AQ94" s="1" t="s">
        <v>1170</v>
      </c>
      <c r="AR94" s="1" t="s">
        <v>1171</v>
      </c>
      <c r="AS94" s="1" t="s">
        <v>1172</v>
      </c>
      <c r="AT94" s="1" t="s">
        <v>330</v>
      </c>
      <c r="AU94" s="1">
        <v>98</v>
      </c>
      <c r="AV94" s="1">
        <v>0</v>
      </c>
      <c r="AW94" s="1" t="s">
        <v>5046</v>
      </c>
      <c r="AX94" s="1" t="s">
        <v>1891</v>
      </c>
      <c r="AY94" s="1">
        <v>4</v>
      </c>
      <c r="AZ94" s="1">
        <v>0</v>
      </c>
      <c r="BA94" s="1" t="s">
        <v>330</v>
      </c>
      <c r="BB94" s="1" t="s">
        <v>330</v>
      </c>
      <c r="BC94" s="1" t="s">
        <v>4843</v>
      </c>
      <c r="BD94" s="1">
        <v>10802</v>
      </c>
      <c r="BE94" s="1"/>
    </row>
    <row r="95" spans="1:57" x14ac:dyDescent="0.25">
      <c r="A95" s="1">
        <v>99</v>
      </c>
      <c r="B95" s="1" t="s">
        <v>3124</v>
      </c>
      <c r="C95" s="9" t="s">
        <v>1230</v>
      </c>
      <c r="D95" s="1" t="s">
        <v>1230</v>
      </c>
      <c r="E95" s="1"/>
      <c r="F95" s="1"/>
      <c r="G95" s="1" t="s">
        <v>3125</v>
      </c>
      <c r="H95" s="1" t="s">
        <v>3126</v>
      </c>
      <c r="I95" s="1" t="s">
        <v>3127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330</v>
      </c>
      <c r="AK95" s="1" t="s">
        <v>330</v>
      </c>
      <c r="AL95" s="1">
        <v>13</v>
      </c>
      <c r="AM95" s="1" t="s">
        <v>1891</v>
      </c>
      <c r="AN95" s="1" t="s">
        <v>4849</v>
      </c>
      <c r="AO95" s="1" t="s">
        <v>4910</v>
      </c>
      <c r="AP95" s="1">
        <v>0</v>
      </c>
      <c r="AQ95" s="1" t="s">
        <v>1170</v>
      </c>
      <c r="AR95" s="1" t="s">
        <v>1171</v>
      </c>
      <c r="AS95" s="1" t="s">
        <v>1172</v>
      </c>
      <c r="AT95" s="1" t="s">
        <v>330</v>
      </c>
      <c r="AU95" s="1">
        <v>99</v>
      </c>
      <c r="AV95" s="1">
        <v>0</v>
      </c>
      <c r="AW95" s="1" t="s">
        <v>4577</v>
      </c>
      <c r="AX95" s="1" t="s">
        <v>472</v>
      </c>
      <c r="AY95" s="1">
        <v>4</v>
      </c>
      <c r="AZ95" s="1">
        <v>0</v>
      </c>
      <c r="BA95" s="1" t="s">
        <v>330</v>
      </c>
      <c r="BB95" s="1" t="s">
        <v>5047</v>
      </c>
      <c r="BC95" s="1" t="s">
        <v>4855</v>
      </c>
      <c r="BD95" s="1">
        <v>10302</v>
      </c>
      <c r="BE95" s="1"/>
    </row>
    <row r="96" spans="1:57" x14ac:dyDescent="0.25">
      <c r="A96" s="1">
        <v>100</v>
      </c>
      <c r="B96" s="1" t="s">
        <v>3128</v>
      </c>
      <c r="C96" s="9" t="s">
        <v>122</v>
      </c>
      <c r="D96" s="1" t="s">
        <v>122</v>
      </c>
      <c r="E96" s="1"/>
      <c r="F96" s="1"/>
      <c r="G96" s="1" t="s">
        <v>3129</v>
      </c>
      <c r="H96" s="1" t="s">
        <v>3130</v>
      </c>
      <c r="I96" s="1" t="s">
        <v>3131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330</v>
      </c>
      <c r="AK96" s="1" t="s">
        <v>330</v>
      </c>
      <c r="AL96" s="1">
        <v>13</v>
      </c>
      <c r="AM96" s="1" t="s">
        <v>1891</v>
      </c>
      <c r="AN96" s="1" t="s">
        <v>5048</v>
      </c>
      <c r="AO96" s="1" t="s">
        <v>4953</v>
      </c>
      <c r="AP96" s="1">
        <v>0</v>
      </c>
      <c r="AQ96" s="1" t="s">
        <v>1170</v>
      </c>
      <c r="AR96" s="1" t="s">
        <v>1171</v>
      </c>
      <c r="AS96" s="1" t="s">
        <v>1172</v>
      </c>
      <c r="AT96" s="1" t="s">
        <v>330</v>
      </c>
      <c r="AU96" s="1">
        <v>100</v>
      </c>
      <c r="AV96" s="1">
        <v>0</v>
      </c>
      <c r="AW96" s="1" t="s">
        <v>4577</v>
      </c>
      <c r="AX96" s="1" t="s">
        <v>472</v>
      </c>
      <c r="AY96" s="1">
        <v>4</v>
      </c>
      <c r="AZ96" s="1">
        <v>0</v>
      </c>
      <c r="BA96" s="1" t="s">
        <v>330</v>
      </c>
      <c r="BB96" s="1" t="s">
        <v>5049</v>
      </c>
      <c r="BC96" s="1" t="s">
        <v>4855</v>
      </c>
      <c r="BD96" s="1">
        <v>10303</v>
      </c>
      <c r="BE96" s="1"/>
    </row>
    <row r="97" spans="1:57" x14ac:dyDescent="0.25">
      <c r="A97" s="1">
        <v>101</v>
      </c>
      <c r="B97" s="1" t="s">
        <v>3132</v>
      </c>
      <c r="C97" s="9" t="s">
        <v>123</v>
      </c>
      <c r="D97" s="1" t="s">
        <v>123</v>
      </c>
      <c r="E97" s="1"/>
      <c r="F97" s="1"/>
      <c r="G97" s="1" t="s">
        <v>3133</v>
      </c>
      <c r="H97" s="1" t="s">
        <v>3134</v>
      </c>
      <c r="I97" s="1" t="s">
        <v>3135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1231</v>
      </c>
      <c r="AK97" s="1" t="s">
        <v>330</v>
      </c>
      <c r="AL97" s="1">
        <v>13</v>
      </c>
      <c r="AM97" s="1" t="s">
        <v>4876</v>
      </c>
      <c r="AN97" s="1" t="s">
        <v>4881</v>
      </c>
      <c r="AO97" s="1" t="s">
        <v>5050</v>
      </c>
      <c r="AP97" s="1">
        <v>0</v>
      </c>
      <c r="AQ97" s="1" t="s">
        <v>1797</v>
      </c>
      <c r="AR97" s="1" t="s">
        <v>1171</v>
      </c>
      <c r="AS97" s="1" t="s">
        <v>1798</v>
      </c>
      <c r="AT97" s="1" t="s">
        <v>330</v>
      </c>
      <c r="AU97" s="1">
        <v>101</v>
      </c>
      <c r="AV97" s="1">
        <v>0</v>
      </c>
      <c r="AW97" s="1" t="s">
        <v>4577</v>
      </c>
      <c r="AX97" s="1" t="s">
        <v>4883</v>
      </c>
      <c r="AY97" s="1">
        <v>4</v>
      </c>
      <c r="AZ97" s="1">
        <v>0</v>
      </c>
      <c r="BA97" s="1" t="s">
        <v>4829</v>
      </c>
      <c r="BB97" s="1" t="s">
        <v>5051</v>
      </c>
      <c r="BC97" s="1" t="s">
        <v>4975</v>
      </c>
      <c r="BD97" s="1">
        <v>10104</v>
      </c>
      <c r="BE97" s="1"/>
    </row>
    <row r="98" spans="1:57" x14ac:dyDescent="0.25">
      <c r="A98" s="1">
        <v>102</v>
      </c>
      <c r="B98" s="1" t="s">
        <v>3136</v>
      </c>
      <c r="C98" s="9" t="s">
        <v>24</v>
      </c>
      <c r="D98" s="1" t="s">
        <v>24</v>
      </c>
      <c r="E98" s="1"/>
      <c r="F98" s="1"/>
      <c r="G98" s="1" t="s">
        <v>3137</v>
      </c>
      <c r="H98" s="1" t="s">
        <v>3138</v>
      </c>
      <c r="I98" s="1" t="s">
        <v>3139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1232</v>
      </c>
      <c r="AK98" s="1" t="s">
        <v>330</v>
      </c>
      <c r="AL98" s="1">
        <v>13</v>
      </c>
      <c r="AM98" s="1" t="s">
        <v>4805</v>
      </c>
      <c r="AN98" s="1" t="s">
        <v>4833</v>
      </c>
      <c r="AO98" s="1" t="s">
        <v>5052</v>
      </c>
      <c r="AP98" s="1">
        <v>0</v>
      </c>
      <c r="AQ98" s="1" t="s">
        <v>1797</v>
      </c>
      <c r="AR98" s="1" t="s">
        <v>1171</v>
      </c>
      <c r="AS98" s="1" t="s">
        <v>1182</v>
      </c>
      <c r="AT98" s="1" t="s">
        <v>330</v>
      </c>
      <c r="AU98" s="1">
        <v>102</v>
      </c>
      <c r="AV98" s="1">
        <v>0</v>
      </c>
      <c r="AW98" s="1" t="s">
        <v>5053</v>
      </c>
      <c r="AX98" s="1" t="s">
        <v>1891</v>
      </c>
      <c r="AY98" s="1">
        <v>4</v>
      </c>
      <c r="AZ98" s="1">
        <v>0</v>
      </c>
      <c r="BA98" s="1" t="s">
        <v>330</v>
      </c>
      <c r="BB98" s="1" t="s">
        <v>5054</v>
      </c>
      <c r="BC98" s="1" t="s">
        <v>4855</v>
      </c>
      <c r="BD98" s="1">
        <v>0</v>
      </c>
      <c r="BE98" s="1"/>
    </row>
    <row r="99" spans="1:57" x14ac:dyDescent="0.25">
      <c r="A99" s="1">
        <v>103</v>
      </c>
      <c r="B99" s="1" t="s">
        <v>3140</v>
      </c>
      <c r="C99" s="9" t="s">
        <v>23</v>
      </c>
      <c r="D99" s="1" t="s">
        <v>23</v>
      </c>
      <c r="E99" s="1"/>
      <c r="F99" s="1"/>
      <c r="G99" s="1" t="s">
        <v>3141</v>
      </c>
      <c r="H99" s="1" t="s">
        <v>3142</v>
      </c>
      <c r="I99" s="1" t="s">
        <v>3143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1233</v>
      </c>
      <c r="AK99" s="1" t="s">
        <v>330</v>
      </c>
      <c r="AL99" s="1">
        <v>13</v>
      </c>
      <c r="AM99" s="1" t="s">
        <v>4876</v>
      </c>
      <c r="AN99" s="1" t="s">
        <v>4881</v>
      </c>
      <c r="AO99" s="1" t="s">
        <v>4948</v>
      </c>
      <c r="AP99" s="1">
        <v>0</v>
      </c>
      <c r="AQ99" s="1" t="s">
        <v>1797</v>
      </c>
      <c r="AR99" s="1" t="s">
        <v>1171</v>
      </c>
      <c r="AS99" s="1" t="s">
        <v>1798</v>
      </c>
      <c r="AT99" s="1" t="s">
        <v>330</v>
      </c>
      <c r="AU99" s="1">
        <v>103</v>
      </c>
      <c r="AV99" s="1">
        <v>0</v>
      </c>
      <c r="AW99" s="1" t="s">
        <v>5055</v>
      </c>
      <c r="AX99" s="1" t="s">
        <v>4883</v>
      </c>
      <c r="AY99" s="1">
        <v>4</v>
      </c>
      <c r="AZ99" s="1">
        <v>0</v>
      </c>
      <c r="BA99" s="1" t="s">
        <v>4829</v>
      </c>
      <c r="BB99" s="1" t="s">
        <v>5056</v>
      </c>
      <c r="BC99" s="1" t="s">
        <v>4975</v>
      </c>
      <c r="BD99" s="1">
        <v>10104</v>
      </c>
      <c r="BE99" s="1"/>
    </row>
    <row r="100" spans="1:57" x14ac:dyDescent="0.25">
      <c r="A100" s="1">
        <v>104</v>
      </c>
      <c r="B100" s="1" t="s">
        <v>3144</v>
      </c>
      <c r="C100" s="9" t="s">
        <v>1654</v>
      </c>
      <c r="D100" s="1" t="s">
        <v>3145</v>
      </c>
      <c r="E100" s="1"/>
      <c r="F100" s="1"/>
      <c r="G100" s="1" t="s">
        <v>3146</v>
      </c>
      <c r="H100" s="1" t="s">
        <v>3147</v>
      </c>
      <c r="I100" s="1" t="s">
        <v>3148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330</v>
      </c>
      <c r="AK100" s="1" t="s">
        <v>330</v>
      </c>
      <c r="AL100" s="1">
        <v>13</v>
      </c>
      <c r="AM100" s="1" t="s">
        <v>4876</v>
      </c>
      <c r="AN100" s="1" t="s">
        <v>4881</v>
      </c>
      <c r="AO100" s="1" t="s">
        <v>5003</v>
      </c>
      <c r="AP100" s="1">
        <v>0</v>
      </c>
      <c r="AQ100" s="1" t="s">
        <v>1797</v>
      </c>
      <c r="AR100" s="1" t="s">
        <v>1171</v>
      </c>
      <c r="AS100" s="1" t="s">
        <v>1182</v>
      </c>
      <c r="AT100" s="1" t="s">
        <v>330</v>
      </c>
      <c r="AU100" s="1">
        <v>104</v>
      </c>
      <c r="AV100" s="1">
        <v>0</v>
      </c>
      <c r="AW100" s="1" t="s">
        <v>5057</v>
      </c>
      <c r="AX100" s="1" t="s">
        <v>333</v>
      </c>
      <c r="AY100" s="1">
        <v>5</v>
      </c>
      <c r="AZ100" s="1">
        <v>0</v>
      </c>
      <c r="BA100" s="1" t="s">
        <v>4941</v>
      </c>
      <c r="BB100" s="1" t="s">
        <v>5058</v>
      </c>
      <c r="BC100" s="1" t="s">
        <v>4855</v>
      </c>
      <c r="BD100" s="1">
        <v>10703</v>
      </c>
      <c r="BE100" s="1"/>
    </row>
    <row r="101" spans="1:57" x14ac:dyDescent="0.25">
      <c r="A101" s="1">
        <v>105</v>
      </c>
      <c r="B101" s="1" t="s">
        <v>3149</v>
      </c>
      <c r="C101" s="9" t="s">
        <v>733</v>
      </c>
      <c r="D101" s="1" t="s">
        <v>733</v>
      </c>
      <c r="E101" s="1"/>
      <c r="F101" s="1"/>
      <c r="G101" s="1" t="s">
        <v>3150</v>
      </c>
      <c r="H101" s="1" t="s">
        <v>3151</v>
      </c>
      <c r="I101" s="1" t="s">
        <v>3152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1177</v>
      </c>
      <c r="AK101" s="1" t="s">
        <v>330</v>
      </c>
      <c r="AL101" s="1">
        <v>13</v>
      </c>
      <c r="AM101" s="1" t="s">
        <v>4805</v>
      </c>
      <c r="AN101" s="1" t="s">
        <v>4915</v>
      </c>
      <c r="AO101" s="1" t="s">
        <v>5059</v>
      </c>
      <c r="AP101" s="1">
        <v>0</v>
      </c>
      <c r="AQ101" s="1" t="s">
        <v>1182</v>
      </c>
      <c r="AR101" s="1" t="s">
        <v>4954</v>
      </c>
      <c r="AS101" s="1" t="s">
        <v>1181</v>
      </c>
      <c r="AT101" s="1" t="s">
        <v>330</v>
      </c>
      <c r="AU101" s="1">
        <v>105</v>
      </c>
      <c r="AV101" s="1">
        <v>0</v>
      </c>
      <c r="AW101" s="1" t="s">
        <v>4577</v>
      </c>
      <c r="AX101" s="1" t="s">
        <v>4883</v>
      </c>
      <c r="AY101" s="1">
        <v>3</v>
      </c>
      <c r="AZ101" s="1">
        <v>0</v>
      </c>
      <c r="BA101" s="1" t="s">
        <v>330</v>
      </c>
      <c r="BB101" s="1" t="s">
        <v>330</v>
      </c>
      <c r="BC101" s="1" t="s">
        <v>4843</v>
      </c>
      <c r="BD101" s="1">
        <v>10704</v>
      </c>
      <c r="BE101" s="1"/>
    </row>
    <row r="102" spans="1:57" x14ac:dyDescent="0.25">
      <c r="A102" s="1">
        <v>106</v>
      </c>
      <c r="B102" s="1" t="s">
        <v>3153</v>
      </c>
      <c r="C102" s="9" t="s">
        <v>124</v>
      </c>
      <c r="D102" s="1" t="s">
        <v>3154</v>
      </c>
      <c r="E102" s="1"/>
      <c r="F102" s="1"/>
      <c r="G102" s="1" t="s">
        <v>3155</v>
      </c>
      <c r="H102" s="1" t="s">
        <v>3156</v>
      </c>
      <c r="I102" s="1" t="s">
        <v>3157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5060</v>
      </c>
      <c r="AK102" s="1" t="s">
        <v>1234</v>
      </c>
      <c r="AL102" s="1">
        <v>13</v>
      </c>
      <c r="AM102" s="1" t="s">
        <v>4805</v>
      </c>
      <c r="AN102" s="1" t="s">
        <v>4950</v>
      </c>
      <c r="AO102" s="1" t="s">
        <v>5035</v>
      </c>
      <c r="AP102" s="1">
        <v>0</v>
      </c>
      <c r="AQ102" s="1" t="s">
        <v>1182</v>
      </c>
      <c r="AR102" s="1" t="s">
        <v>1206</v>
      </c>
      <c r="AS102" s="1" t="s">
        <v>1181</v>
      </c>
      <c r="AT102" s="1" t="s">
        <v>330</v>
      </c>
      <c r="AU102" s="1">
        <v>106</v>
      </c>
      <c r="AV102" s="1">
        <v>0</v>
      </c>
      <c r="AW102" s="1" t="s">
        <v>4577</v>
      </c>
      <c r="AX102" s="1" t="s">
        <v>333</v>
      </c>
      <c r="AY102" s="1">
        <v>5</v>
      </c>
      <c r="AZ102" s="1">
        <v>0</v>
      </c>
      <c r="BA102" s="1" t="s">
        <v>330</v>
      </c>
      <c r="BB102" s="1" t="s">
        <v>5061</v>
      </c>
      <c r="BC102" s="1" t="s">
        <v>4939</v>
      </c>
      <c r="BD102" s="1">
        <v>10202</v>
      </c>
      <c r="BE102" s="1"/>
    </row>
    <row r="103" spans="1:57" x14ac:dyDescent="0.25">
      <c r="A103" s="1">
        <v>107</v>
      </c>
      <c r="B103" s="1" t="s">
        <v>3158</v>
      </c>
      <c r="C103" s="9" t="s">
        <v>1235</v>
      </c>
      <c r="D103" s="1" t="s">
        <v>1235</v>
      </c>
      <c r="E103" s="1"/>
      <c r="F103" s="1"/>
      <c r="G103" s="1" t="s">
        <v>3159</v>
      </c>
      <c r="H103" s="1" t="s">
        <v>3160</v>
      </c>
      <c r="I103" s="1" t="s">
        <v>3161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1177</v>
      </c>
      <c r="AK103" s="1" t="s">
        <v>330</v>
      </c>
      <c r="AL103" s="1">
        <v>13</v>
      </c>
      <c r="AM103" s="1" t="s">
        <v>4805</v>
      </c>
      <c r="AN103" s="1" t="s">
        <v>477</v>
      </c>
      <c r="AO103" s="1" t="s">
        <v>5062</v>
      </c>
      <c r="AP103" s="1">
        <v>0</v>
      </c>
      <c r="AQ103" s="1" t="s">
        <v>1798</v>
      </c>
      <c r="AR103" s="1" t="s">
        <v>1206</v>
      </c>
      <c r="AS103" s="1" t="s">
        <v>1181</v>
      </c>
      <c r="AT103" s="1" t="s">
        <v>330</v>
      </c>
      <c r="AU103" s="1">
        <v>107</v>
      </c>
      <c r="AV103" s="1">
        <v>0</v>
      </c>
      <c r="AW103" s="1" t="s">
        <v>4577</v>
      </c>
      <c r="AX103" s="1" t="s">
        <v>472</v>
      </c>
      <c r="AY103" s="1">
        <v>2</v>
      </c>
      <c r="AZ103" s="1">
        <v>0</v>
      </c>
      <c r="BA103" s="1" t="s">
        <v>330</v>
      </c>
      <c r="BB103" s="1" t="s">
        <v>5063</v>
      </c>
      <c r="BC103" s="1" t="s">
        <v>4939</v>
      </c>
      <c r="BD103" s="1">
        <v>10202</v>
      </c>
      <c r="BE103" s="1"/>
    </row>
    <row r="104" spans="1:57" x14ac:dyDescent="0.25">
      <c r="A104" s="1">
        <v>108</v>
      </c>
      <c r="B104" s="1" t="s">
        <v>3162</v>
      </c>
      <c r="C104" s="9" t="s">
        <v>1673</v>
      </c>
      <c r="D104" s="1" t="s">
        <v>1673</v>
      </c>
      <c r="E104" s="1"/>
      <c r="F104" s="1"/>
      <c r="G104" s="1" t="s">
        <v>3163</v>
      </c>
      <c r="H104" s="1" t="s">
        <v>3164</v>
      </c>
      <c r="I104" s="1" t="s">
        <v>3165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1173</v>
      </c>
      <c r="AK104" s="1" t="s">
        <v>330</v>
      </c>
      <c r="AL104" s="1">
        <v>13</v>
      </c>
      <c r="AM104" s="1" t="s">
        <v>4805</v>
      </c>
      <c r="AN104" s="1" t="s">
        <v>4920</v>
      </c>
      <c r="AO104" s="1" t="s">
        <v>5064</v>
      </c>
      <c r="AP104" s="1">
        <v>0</v>
      </c>
      <c r="AQ104" s="1" t="s">
        <v>1182</v>
      </c>
      <c r="AR104" s="1" t="s">
        <v>1206</v>
      </c>
      <c r="AS104" s="1" t="s">
        <v>1181</v>
      </c>
      <c r="AT104" s="1" t="s">
        <v>330</v>
      </c>
      <c r="AU104" s="1">
        <v>108</v>
      </c>
      <c r="AV104" s="1">
        <v>0</v>
      </c>
      <c r="AW104" s="1" t="s">
        <v>4577</v>
      </c>
      <c r="AX104" s="1" t="s">
        <v>5065</v>
      </c>
      <c r="AY104" s="1">
        <v>3</v>
      </c>
      <c r="AZ104" s="1">
        <v>0</v>
      </c>
      <c r="BA104" s="1" t="s">
        <v>330</v>
      </c>
      <c r="BB104" s="1" t="s">
        <v>330</v>
      </c>
      <c r="BC104" s="1" t="s">
        <v>330</v>
      </c>
      <c r="BD104" s="1">
        <v>10704</v>
      </c>
      <c r="BE104" s="1"/>
    </row>
    <row r="105" spans="1:57" x14ac:dyDescent="0.25">
      <c r="A105" s="1">
        <v>109</v>
      </c>
      <c r="B105" s="1" t="s">
        <v>3166</v>
      </c>
      <c r="C105" s="9" t="s">
        <v>302</v>
      </c>
      <c r="D105" s="1" t="s">
        <v>302</v>
      </c>
      <c r="E105" s="1"/>
      <c r="F105" s="1"/>
      <c r="G105" s="1" t="s">
        <v>3167</v>
      </c>
      <c r="H105" s="1" t="s">
        <v>3168</v>
      </c>
      <c r="I105" s="1" t="s">
        <v>3169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1218</v>
      </c>
      <c r="AK105" s="1" t="s">
        <v>330</v>
      </c>
      <c r="AL105" s="1">
        <v>18</v>
      </c>
      <c r="AM105" s="1" t="s">
        <v>4944</v>
      </c>
      <c r="AN105" s="1" t="s">
        <v>5017</v>
      </c>
      <c r="AO105" s="1" t="s">
        <v>4824</v>
      </c>
      <c r="AP105" s="1">
        <v>0</v>
      </c>
      <c r="AQ105" s="1" t="s">
        <v>1219</v>
      </c>
      <c r="AR105" s="1" t="s">
        <v>1220</v>
      </c>
      <c r="AS105" s="1" t="s">
        <v>1221</v>
      </c>
      <c r="AT105" s="1" t="s">
        <v>330</v>
      </c>
      <c r="AU105" s="1">
        <v>109</v>
      </c>
      <c r="AV105" s="1">
        <v>0</v>
      </c>
      <c r="AW105" s="1" t="s">
        <v>4577</v>
      </c>
      <c r="AX105" s="1" t="s">
        <v>5066</v>
      </c>
      <c r="AY105" s="1">
        <v>5</v>
      </c>
      <c r="AZ105" s="1">
        <v>0</v>
      </c>
      <c r="BA105" s="1" t="s">
        <v>330</v>
      </c>
      <c r="BB105" s="1" t="s">
        <v>5067</v>
      </c>
      <c r="BC105" s="1" t="s">
        <v>4855</v>
      </c>
      <c r="BD105" s="1">
        <v>10402</v>
      </c>
      <c r="BE105" s="1"/>
    </row>
    <row r="106" spans="1:57" x14ac:dyDescent="0.25">
      <c r="A106" s="1">
        <v>110</v>
      </c>
      <c r="B106" s="1" t="s">
        <v>3170</v>
      </c>
      <c r="C106" s="9" t="s">
        <v>125</v>
      </c>
      <c r="D106" s="1" t="s">
        <v>125</v>
      </c>
      <c r="E106" s="1"/>
      <c r="F106" s="1"/>
      <c r="G106" s="1" t="s">
        <v>3171</v>
      </c>
      <c r="H106" s="1" t="s">
        <v>3172</v>
      </c>
      <c r="I106" s="1" t="s">
        <v>3173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1222</v>
      </c>
      <c r="AK106" s="1" t="s">
        <v>330</v>
      </c>
      <c r="AL106" s="1">
        <v>18</v>
      </c>
      <c r="AM106" s="1" t="s">
        <v>4944</v>
      </c>
      <c r="AN106" s="1" t="s">
        <v>5017</v>
      </c>
      <c r="AO106" s="1" t="s">
        <v>5068</v>
      </c>
      <c r="AP106" s="1">
        <v>0</v>
      </c>
      <c r="AQ106" s="1" t="s">
        <v>1219</v>
      </c>
      <c r="AR106" s="1" t="s">
        <v>4997</v>
      </c>
      <c r="AS106" s="1" t="s">
        <v>1221</v>
      </c>
      <c r="AT106" s="1" t="s">
        <v>330</v>
      </c>
      <c r="AU106" s="1">
        <v>110</v>
      </c>
      <c r="AV106" s="1">
        <v>0</v>
      </c>
      <c r="AW106" s="1" t="s">
        <v>4577</v>
      </c>
      <c r="AX106" s="1" t="s">
        <v>472</v>
      </c>
      <c r="AY106" s="1">
        <v>2</v>
      </c>
      <c r="AZ106" s="1">
        <v>0</v>
      </c>
      <c r="BA106" s="1" t="s">
        <v>330</v>
      </c>
      <c r="BB106" s="1" t="s">
        <v>355</v>
      </c>
      <c r="BC106" s="1" t="s">
        <v>4855</v>
      </c>
      <c r="BD106" s="1">
        <v>10303</v>
      </c>
      <c r="BE106" s="1"/>
    </row>
    <row r="107" spans="1:57" x14ac:dyDescent="0.25">
      <c r="A107" s="1">
        <v>111</v>
      </c>
      <c r="B107" s="1" t="s">
        <v>3174</v>
      </c>
      <c r="C107" s="9" t="s">
        <v>1674</v>
      </c>
      <c r="D107" s="1" t="s">
        <v>1674</v>
      </c>
      <c r="E107" s="1"/>
      <c r="F107" s="1"/>
      <c r="G107" s="1" t="s">
        <v>3175</v>
      </c>
      <c r="H107" s="1" t="s">
        <v>3176</v>
      </c>
      <c r="I107" s="1" t="s">
        <v>3177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1222</v>
      </c>
      <c r="AK107" s="1" t="s">
        <v>330</v>
      </c>
      <c r="AL107" s="1">
        <v>17</v>
      </c>
      <c r="AM107" s="1" t="s">
        <v>4944</v>
      </c>
      <c r="AN107" s="1" t="s">
        <v>905</v>
      </c>
      <c r="AO107" s="1" t="s">
        <v>5037</v>
      </c>
      <c r="AP107" s="1">
        <v>0</v>
      </c>
      <c r="AQ107" s="1" t="s">
        <v>1219</v>
      </c>
      <c r="AR107" s="1" t="s">
        <v>1220</v>
      </c>
      <c r="AS107" s="1" t="s">
        <v>1221</v>
      </c>
      <c r="AT107" s="1" t="s">
        <v>330</v>
      </c>
      <c r="AU107" s="1">
        <v>111</v>
      </c>
      <c r="AV107" s="1">
        <v>0</v>
      </c>
      <c r="AW107" s="1" t="s">
        <v>4577</v>
      </c>
      <c r="AX107" s="1" t="s">
        <v>472</v>
      </c>
      <c r="AY107" s="1">
        <v>2</v>
      </c>
      <c r="AZ107" s="1">
        <v>0</v>
      </c>
      <c r="BA107" s="1" t="s">
        <v>330</v>
      </c>
      <c r="BB107" s="1" t="s">
        <v>5069</v>
      </c>
      <c r="BC107" s="1" t="s">
        <v>330</v>
      </c>
      <c r="BD107" s="1">
        <v>10704</v>
      </c>
      <c r="BE107" s="1"/>
    </row>
    <row r="108" spans="1:57" x14ac:dyDescent="0.25">
      <c r="A108" s="1">
        <v>112</v>
      </c>
      <c r="B108" s="1" t="s">
        <v>3178</v>
      </c>
      <c r="C108" s="9" t="s">
        <v>126</v>
      </c>
      <c r="D108" s="1" t="s">
        <v>3179</v>
      </c>
      <c r="E108" s="1"/>
      <c r="F108" s="1"/>
      <c r="G108" s="1" t="s">
        <v>3180</v>
      </c>
      <c r="H108" s="1" t="s">
        <v>3181</v>
      </c>
      <c r="I108" s="1" t="s">
        <v>3182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1236</v>
      </c>
      <c r="AK108" s="1" t="s">
        <v>330</v>
      </c>
      <c r="AL108" s="1">
        <v>18</v>
      </c>
      <c r="AM108" s="1" t="s">
        <v>4944</v>
      </c>
      <c r="AN108" s="1" t="s">
        <v>5070</v>
      </c>
      <c r="AO108" s="1" t="s">
        <v>5071</v>
      </c>
      <c r="AP108" s="1">
        <v>0</v>
      </c>
      <c r="AQ108" s="1" t="s">
        <v>1219</v>
      </c>
      <c r="AR108" s="1" t="s">
        <v>1220</v>
      </c>
      <c r="AS108" s="1" t="s">
        <v>1221</v>
      </c>
      <c r="AT108" s="1" t="s">
        <v>330</v>
      </c>
      <c r="AU108" s="1">
        <v>112</v>
      </c>
      <c r="AV108" s="1">
        <v>0</v>
      </c>
      <c r="AW108" s="1" t="s">
        <v>4577</v>
      </c>
      <c r="AX108" s="1" t="s">
        <v>333</v>
      </c>
      <c r="AY108" s="1">
        <v>5</v>
      </c>
      <c r="AZ108" s="1">
        <v>0</v>
      </c>
      <c r="BA108" s="1" t="s">
        <v>330</v>
      </c>
      <c r="BB108" s="1" t="s">
        <v>5072</v>
      </c>
      <c r="BC108" s="1" t="s">
        <v>330</v>
      </c>
      <c r="BD108" s="1">
        <v>10202</v>
      </c>
      <c r="BE108" s="1"/>
    </row>
    <row r="109" spans="1:57" x14ac:dyDescent="0.25">
      <c r="A109" s="1">
        <v>113</v>
      </c>
      <c r="B109" s="1" t="s">
        <v>3183</v>
      </c>
      <c r="C109" s="9" t="s">
        <v>756</v>
      </c>
      <c r="D109" s="1" t="s">
        <v>3184</v>
      </c>
      <c r="E109" s="1"/>
      <c r="F109" s="1"/>
      <c r="G109" s="1" t="s">
        <v>3185</v>
      </c>
      <c r="H109" s="1" t="s">
        <v>3186</v>
      </c>
      <c r="I109" s="1" t="s">
        <v>3187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5073</v>
      </c>
      <c r="AK109" s="1" t="s">
        <v>330</v>
      </c>
      <c r="AL109" s="1">
        <v>13</v>
      </c>
      <c r="AM109" s="1" t="s">
        <v>1891</v>
      </c>
      <c r="AN109" s="1" t="s">
        <v>4840</v>
      </c>
      <c r="AO109" s="1" t="s">
        <v>4989</v>
      </c>
      <c r="AP109" s="1">
        <v>0</v>
      </c>
      <c r="AQ109" s="1" t="s">
        <v>4828</v>
      </c>
      <c r="AR109" s="1" t="s">
        <v>1171</v>
      </c>
      <c r="AS109" s="1" t="s">
        <v>1172</v>
      </c>
      <c r="AT109" s="1" t="s">
        <v>330</v>
      </c>
      <c r="AU109" s="1">
        <v>113</v>
      </c>
      <c r="AV109" s="1">
        <v>0</v>
      </c>
      <c r="AW109" s="1" t="s">
        <v>5074</v>
      </c>
      <c r="AX109" s="1" t="s">
        <v>5020</v>
      </c>
      <c r="AY109" s="1">
        <v>3</v>
      </c>
      <c r="AZ109" s="1">
        <v>0</v>
      </c>
      <c r="BA109" s="1" t="s">
        <v>330</v>
      </c>
      <c r="BB109" s="1" t="s">
        <v>330</v>
      </c>
      <c r="BC109" s="1" t="s">
        <v>4843</v>
      </c>
      <c r="BD109" s="1">
        <v>10801</v>
      </c>
      <c r="BE109" s="1"/>
    </row>
    <row r="110" spans="1:57" x14ac:dyDescent="0.25">
      <c r="A110" s="1">
        <v>114</v>
      </c>
      <c r="B110" s="1" t="s">
        <v>3188</v>
      </c>
      <c r="C110" s="9" t="s">
        <v>844</v>
      </c>
      <c r="D110" s="1" t="s">
        <v>3189</v>
      </c>
      <c r="E110" s="1"/>
      <c r="F110" s="1"/>
      <c r="G110" s="1" t="s">
        <v>3190</v>
      </c>
      <c r="H110" s="1" t="s">
        <v>3191</v>
      </c>
      <c r="I110" s="1" t="s">
        <v>3192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330</v>
      </c>
      <c r="AK110" s="1" t="s">
        <v>330</v>
      </c>
      <c r="AL110" s="1">
        <v>13</v>
      </c>
      <c r="AM110" s="1" t="s">
        <v>1891</v>
      </c>
      <c r="AN110" s="1" t="s">
        <v>5033</v>
      </c>
      <c r="AO110" s="1" t="s">
        <v>5003</v>
      </c>
      <c r="AP110" s="1">
        <v>0</v>
      </c>
      <c r="AQ110" s="1" t="s">
        <v>1170</v>
      </c>
      <c r="AR110" s="1" t="s">
        <v>1171</v>
      </c>
      <c r="AS110" s="1" t="s">
        <v>4847</v>
      </c>
      <c r="AT110" s="1" t="s">
        <v>330</v>
      </c>
      <c r="AU110" s="1">
        <v>114</v>
      </c>
      <c r="AV110" s="1">
        <v>0</v>
      </c>
      <c r="AW110" s="1" t="s">
        <v>5055</v>
      </c>
      <c r="AX110" s="1" t="s">
        <v>4848</v>
      </c>
      <c r="AY110" s="1">
        <v>5</v>
      </c>
      <c r="AZ110" s="1">
        <v>0</v>
      </c>
      <c r="BA110" s="1" t="s">
        <v>4941</v>
      </c>
      <c r="BB110" s="1" t="s">
        <v>5075</v>
      </c>
      <c r="BC110" s="1" t="s">
        <v>330</v>
      </c>
      <c r="BD110" s="1">
        <v>103</v>
      </c>
      <c r="BE110" s="1"/>
    </row>
    <row r="111" spans="1:57" x14ac:dyDescent="0.25">
      <c r="A111" s="1">
        <v>115</v>
      </c>
      <c r="B111" s="1" t="s">
        <v>3193</v>
      </c>
      <c r="C111" s="9" t="s">
        <v>127</v>
      </c>
      <c r="D111" s="1" t="s">
        <v>3194</v>
      </c>
      <c r="E111" s="1"/>
      <c r="F111" s="1"/>
      <c r="G111" s="1" t="s">
        <v>3195</v>
      </c>
      <c r="H111" s="1" t="s">
        <v>3196</v>
      </c>
      <c r="I111" s="1" t="s">
        <v>3197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5076</v>
      </c>
      <c r="AK111" s="1" t="s">
        <v>330</v>
      </c>
      <c r="AL111" s="1">
        <v>13</v>
      </c>
      <c r="AM111" s="1" t="s">
        <v>4876</v>
      </c>
      <c r="AN111" s="1" t="s">
        <v>390</v>
      </c>
      <c r="AO111" s="1" t="s">
        <v>5077</v>
      </c>
      <c r="AP111" s="1">
        <v>0</v>
      </c>
      <c r="AQ111" s="1" t="s">
        <v>1797</v>
      </c>
      <c r="AR111" s="1" t="s">
        <v>1171</v>
      </c>
      <c r="AS111" s="1" t="s">
        <v>1182</v>
      </c>
      <c r="AT111" s="1" t="s">
        <v>330</v>
      </c>
      <c r="AU111" s="1">
        <v>115</v>
      </c>
      <c r="AV111" s="1">
        <v>0</v>
      </c>
      <c r="AW111" s="1" t="s">
        <v>5055</v>
      </c>
      <c r="AX111" s="1" t="s">
        <v>333</v>
      </c>
      <c r="AY111" s="1">
        <v>5</v>
      </c>
      <c r="AZ111" s="1">
        <v>0</v>
      </c>
      <c r="BA111" s="1" t="s">
        <v>330</v>
      </c>
      <c r="BB111" s="1" t="s">
        <v>5078</v>
      </c>
      <c r="BC111" s="1" t="s">
        <v>330</v>
      </c>
      <c r="BD111" s="1">
        <v>10803</v>
      </c>
      <c r="BE111" s="1"/>
    </row>
    <row r="112" spans="1:57" x14ac:dyDescent="0.25">
      <c r="A112" s="1">
        <v>116</v>
      </c>
      <c r="B112" s="1" t="s">
        <v>3198</v>
      </c>
      <c r="C112" s="9" t="s">
        <v>1675</v>
      </c>
      <c r="D112" s="1" t="s">
        <v>1675</v>
      </c>
      <c r="E112" s="1"/>
      <c r="F112" s="1"/>
      <c r="G112" s="1" t="s">
        <v>3199</v>
      </c>
      <c r="H112" s="1" t="s">
        <v>3200</v>
      </c>
      <c r="I112" s="1" t="s">
        <v>3201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1173</v>
      </c>
      <c r="AK112" s="1" t="s">
        <v>330</v>
      </c>
      <c r="AL112" s="1">
        <v>13</v>
      </c>
      <c r="AM112" s="1" t="s">
        <v>4876</v>
      </c>
      <c r="AN112" s="1" t="s">
        <v>5079</v>
      </c>
      <c r="AO112" s="1" t="s">
        <v>5080</v>
      </c>
      <c r="AP112" s="1">
        <v>0</v>
      </c>
      <c r="AQ112" s="1" t="s">
        <v>1181</v>
      </c>
      <c r="AR112" s="1" t="s">
        <v>1171</v>
      </c>
      <c r="AS112" s="1" t="s">
        <v>1182</v>
      </c>
      <c r="AT112" s="1" t="s">
        <v>330</v>
      </c>
      <c r="AU112" s="1">
        <v>116</v>
      </c>
      <c r="AV112" s="1">
        <v>0</v>
      </c>
      <c r="AW112" s="1" t="s">
        <v>5046</v>
      </c>
      <c r="AX112" s="1" t="s">
        <v>5081</v>
      </c>
      <c r="AY112" s="1">
        <v>3</v>
      </c>
      <c r="AZ112" s="1">
        <v>0</v>
      </c>
      <c r="BA112" s="1" t="s">
        <v>330</v>
      </c>
      <c r="BB112" s="1" t="s">
        <v>5082</v>
      </c>
      <c r="BC112" s="1" t="s">
        <v>330</v>
      </c>
      <c r="BD112" s="1">
        <v>10704</v>
      </c>
      <c r="BE112" s="1"/>
    </row>
    <row r="113" spans="1:57" x14ac:dyDescent="0.25">
      <c r="A113" s="1">
        <v>117</v>
      </c>
      <c r="B113" s="1" t="s">
        <v>3202</v>
      </c>
      <c r="C113" s="9" t="s">
        <v>1676</v>
      </c>
      <c r="D113" s="1" t="s">
        <v>1676</v>
      </c>
      <c r="E113" s="1"/>
      <c r="F113" s="1"/>
      <c r="G113" s="1" t="s">
        <v>3203</v>
      </c>
      <c r="H113" s="1" t="s">
        <v>3204</v>
      </c>
      <c r="I113" s="1" t="s">
        <v>3205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1195</v>
      </c>
      <c r="AK113" s="1" t="s">
        <v>330</v>
      </c>
      <c r="AL113" s="1">
        <v>13</v>
      </c>
      <c r="AM113" s="1" t="s">
        <v>4848</v>
      </c>
      <c r="AN113" s="1" t="s">
        <v>466</v>
      </c>
      <c r="AO113" s="1" t="s">
        <v>4918</v>
      </c>
      <c r="AP113" s="1">
        <v>0</v>
      </c>
      <c r="AQ113" s="1" t="s">
        <v>1192</v>
      </c>
      <c r="AR113" s="1" t="s">
        <v>1193</v>
      </c>
      <c r="AS113" s="1" t="s">
        <v>1194</v>
      </c>
      <c r="AT113" s="1" t="s">
        <v>330</v>
      </c>
      <c r="AU113" s="1">
        <v>117</v>
      </c>
      <c r="AV113" s="1">
        <v>0</v>
      </c>
      <c r="AW113" s="1" t="s">
        <v>5046</v>
      </c>
      <c r="AX113" s="1" t="s">
        <v>5081</v>
      </c>
      <c r="AY113" s="1">
        <v>4</v>
      </c>
      <c r="AZ113" s="1">
        <v>0</v>
      </c>
      <c r="BA113" s="1" t="s">
        <v>330</v>
      </c>
      <c r="BB113" s="1" t="s">
        <v>4845</v>
      </c>
      <c r="BC113" s="1" t="s">
        <v>4855</v>
      </c>
      <c r="BD113" s="1">
        <v>10302</v>
      </c>
      <c r="BE113" s="1"/>
    </row>
    <row r="114" spans="1:57" x14ac:dyDescent="0.25">
      <c r="A114" s="1">
        <v>118</v>
      </c>
      <c r="B114" s="1" t="s">
        <v>3206</v>
      </c>
      <c r="C114" s="9" t="s">
        <v>723</v>
      </c>
      <c r="D114" s="1" t="s">
        <v>723</v>
      </c>
      <c r="E114" s="1"/>
      <c r="F114" s="1"/>
      <c r="G114" s="1" t="s">
        <v>3207</v>
      </c>
      <c r="H114" s="1" t="s">
        <v>3208</v>
      </c>
      <c r="I114" s="1" t="s">
        <v>3209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1237</v>
      </c>
      <c r="AK114" s="1" t="s">
        <v>5083</v>
      </c>
      <c r="AL114" s="1">
        <v>13</v>
      </c>
      <c r="AM114" s="1" t="s">
        <v>4805</v>
      </c>
      <c r="AN114" s="1" t="s">
        <v>4920</v>
      </c>
      <c r="AO114" s="1" t="s">
        <v>5084</v>
      </c>
      <c r="AP114" s="1">
        <v>0</v>
      </c>
      <c r="AQ114" s="1" t="s">
        <v>1798</v>
      </c>
      <c r="AR114" s="1" t="s">
        <v>1206</v>
      </c>
      <c r="AS114" s="1" t="s">
        <v>1797</v>
      </c>
      <c r="AT114" s="1" t="s">
        <v>330</v>
      </c>
      <c r="AU114" s="1">
        <v>118</v>
      </c>
      <c r="AV114" s="1">
        <v>0</v>
      </c>
      <c r="AW114" s="1" t="s">
        <v>5055</v>
      </c>
      <c r="AX114" s="1" t="s">
        <v>4883</v>
      </c>
      <c r="AY114" s="1">
        <v>4</v>
      </c>
      <c r="AZ114" s="1">
        <v>0</v>
      </c>
      <c r="BA114" s="1" t="s">
        <v>330</v>
      </c>
      <c r="BB114" s="1" t="s">
        <v>5085</v>
      </c>
      <c r="BC114" s="1" t="s">
        <v>4843</v>
      </c>
      <c r="BD114" s="1">
        <v>10403</v>
      </c>
      <c r="BE114" s="1"/>
    </row>
    <row r="115" spans="1:57" x14ac:dyDescent="0.25">
      <c r="A115" s="1">
        <v>119</v>
      </c>
      <c r="B115" s="1" t="s">
        <v>3210</v>
      </c>
      <c r="C115" s="9" t="s">
        <v>1677</v>
      </c>
      <c r="D115" s="1" t="s">
        <v>1677</v>
      </c>
      <c r="E115" s="1"/>
      <c r="F115" s="1"/>
      <c r="G115" s="1" t="s">
        <v>3211</v>
      </c>
      <c r="H115" s="1" t="s">
        <v>3212</v>
      </c>
      <c r="I115" s="1" t="s">
        <v>3213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330</v>
      </c>
      <c r="AK115" s="1" t="s">
        <v>330</v>
      </c>
      <c r="AL115" s="1">
        <v>13</v>
      </c>
      <c r="AM115" s="1" t="s">
        <v>4805</v>
      </c>
      <c r="AN115" s="1" t="s">
        <v>4950</v>
      </c>
      <c r="AO115" s="1" t="s">
        <v>5086</v>
      </c>
      <c r="AP115" s="1">
        <v>0</v>
      </c>
      <c r="AQ115" s="1" t="s">
        <v>1182</v>
      </c>
      <c r="AR115" s="1" t="s">
        <v>1206</v>
      </c>
      <c r="AS115" s="1" t="s">
        <v>1181</v>
      </c>
      <c r="AT115" s="1" t="s">
        <v>330</v>
      </c>
      <c r="AU115" s="1">
        <v>119</v>
      </c>
      <c r="AV115" s="1">
        <v>0</v>
      </c>
      <c r="AW115" s="1" t="s">
        <v>5046</v>
      </c>
      <c r="AX115" s="1" t="s">
        <v>1891</v>
      </c>
      <c r="AY115" s="1">
        <v>5</v>
      </c>
      <c r="AZ115" s="1">
        <v>0</v>
      </c>
      <c r="BA115" s="1" t="s">
        <v>330</v>
      </c>
      <c r="BB115" s="1" t="s">
        <v>5087</v>
      </c>
      <c r="BC115" s="1" t="s">
        <v>4843</v>
      </c>
      <c r="BD115" s="1">
        <v>10202</v>
      </c>
      <c r="BE115" s="1"/>
    </row>
    <row r="116" spans="1:57" x14ac:dyDescent="0.25">
      <c r="A116" s="1">
        <v>120</v>
      </c>
      <c r="B116" s="1" t="s">
        <v>3214</v>
      </c>
      <c r="C116" s="9" t="s">
        <v>1678</v>
      </c>
      <c r="D116" s="1" t="s">
        <v>1678</v>
      </c>
      <c r="E116" s="1"/>
      <c r="F116" s="1"/>
      <c r="G116" s="1" t="s">
        <v>3215</v>
      </c>
      <c r="H116" s="1" t="s">
        <v>3216</v>
      </c>
      <c r="I116" s="1" t="s">
        <v>3217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1173</v>
      </c>
      <c r="AK116" s="1" t="s">
        <v>330</v>
      </c>
      <c r="AL116" s="1">
        <v>13</v>
      </c>
      <c r="AM116" s="1" t="s">
        <v>4805</v>
      </c>
      <c r="AN116" s="1" t="s">
        <v>467</v>
      </c>
      <c r="AO116" s="1" t="s">
        <v>5088</v>
      </c>
      <c r="AP116" s="1">
        <v>0</v>
      </c>
      <c r="AQ116" s="1" t="s">
        <v>1182</v>
      </c>
      <c r="AR116" s="1" t="s">
        <v>1206</v>
      </c>
      <c r="AS116" s="1" t="s">
        <v>1181</v>
      </c>
      <c r="AT116" s="1" t="s">
        <v>330</v>
      </c>
      <c r="AU116" s="1">
        <v>120</v>
      </c>
      <c r="AV116" s="1">
        <v>0</v>
      </c>
      <c r="AW116" s="1" t="s">
        <v>5046</v>
      </c>
      <c r="AX116" s="1" t="s">
        <v>5081</v>
      </c>
      <c r="AY116" s="1">
        <v>3</v>
      </c>
      <c r="AZ116" s="1">
        <v>0</v>
      </c>
      <c r="BA116" s="1" t="s">
        <v>330</v>
      </c>
      <c r="BB116" s="1" t="s">
        <v>5001</v>
      </c>
      <c r="BC116" s="1" t="s">
        <v>4825</v>
      </c>
      <c r="BD116" s="1">
        <v>10403</v>
      </c>
      <c r="BE116" s="1"/>
    </row>
    <row r="117" spans="1:57" x14ac:dyDescent="0.25">
      <c r="A117" s="1">
        <v>121</v>
      </c>
      <c r="B117" s="1" t="s">
        <v>3218</v>
      </c>
      <c r="C117" s="9" t="s">
        <v>128</v>
      </c>
      <c r="D117" s="1" t="s">
        <v>128</v>
      </c>
      <c r="E117" s="1"/>
      <c r="F117" s="1"/>
      <c r="G117" s="1" t="s">
        <v>3219</v>
      </c>
      <c r="H117" s="1" t="s">
        <v>3220</v>
      </c>
      <c r="I117" s="1" t="s">
        <v>3221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1218</v>
      </c>
      <c r="AK117" s="1" t="s">
        <v>330</v>
      </c>
      <c r="AL117" s="1">
        <v>19</v>
      </c>
      <c r="AM117" s="1" t="s">
        <v>4944</v>
      </c>
      <c r="AN117" s="1" t="s">
        <v>5014</v>
      </c>
      <c r="AO117" s="1" t="s">
        <v>5089</v>
      </c>
      <c r="AP117" s="1">
        <v>0</v>
      </c>
      <c r="AQ117" s="1" t="s">
        <v>1219</v>
      </c>
      <c r="AR117" s="1" t="s">
        <v>1220</v>
      </c>
      <c r="AS117" s="1" t="s">
        <v>1221</v>
      </c>
      <c r="AT117" s="1" t="s">
        <v>330</v>
      </c>
      <c r="AU117" s="1">
        <v>121</v>
      </c>
      <c r="AV117" s="1">
        <v>0</v>
      </c>
      <c r="AW117" s="1" t="s">
        <v>5055</v>
      </c>
      <c r="AX117" s="1" t="s">
        <v>333</v>
      </c>
      <c r="AY117" s="1">
        <v>4</v>
      </c>
      <c r="AZ117" s="1">
        <v>0</v>
      </c>
      <c r="BA117" s="1" t="s">
        <v>330</v>
      </c>
      <c r="BB117" s="1" t="s">
        <v>5090</v>
      </c>
      <c r="BC117" s="1" t="s">
        <v>4806</v>
      </c>
      <c r="BD117" s="1">
        <v>10402</v>
      </c>
      <c r="BE117" s="1"/>
    </row>
    <row r="118" spans="1:57" x14ac:dyDescent="0.25">
      <c r="A118" s="1">
        <v>122</v>
      </c>
      <c r="B118" s="1" t="s">
        <v>3222</v>
      </c>
      <c r="C118" s="9" t="s">
        <v>1238</v>
      </c>
      <c r="D118" s="1" t="s">
        <v>1238</v>
      </c>
      <c r="E118" s="1"/>
      <c r="F118" s="1"/>
      <c r="G118" s="1" t="s">
        <v>3223</v>
      </c>
      <c r="H118" s="1" t="s">
        <v>3224</v>
      </c>
      <c r="I118" s="1" t="s">
        <v>3225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1239</v>
      </c>
      <c r="AK118" s="1" t="s">
        <v>330</v>
      </c>
      <c r="AL118" s="1">
        <v>13</v>
      </c>
      <c r="AM118" s="1" t="s">
        <v>4805</v>
      </c>
      <c r="AN118" s="1" t="s">
        <v>477</v>
      </c>
      <c r="AO118" s="1" t="s">
        <v>5091</v>
      </c>
      <c r="AP118" s="1">
        <v>0</v>
      </c>
      <c r="AQ118" s="1" t="s">
        <v>1182</v>
      </c>
      <c r="AR118" s="1" t="s">
        <v>1206</v>
      </c>
      <c r="AS118" s="1" t="s">
        <v>1797</v>
      </c>
      <c r="AT118" s="1" t="s">
        <v>330</v>
      </c>
      <c r="AU118" s="1">
        <v>122</v>
      </c>
      <c r="AV118" s="1">
        <v>0</v>
      </c>
      <c r="AW118" s="1" t="s">
        <v>5046</v>
      </c>
      <c r="AX118" s="1" t="s">
        <v>333</v>
      </c>
      <c r="AY118" s="1">
        <v>5</v>
      </c>
      <c r="AZ118" s="1">
        <v>0</v>
      </c>
      <c r="BA118" s="1" t="s">
        <v>4941</v>
      </c>
      <c r="BB118" s="1" t="s">
        <v>5092</v>
      </c>
      <c r="BC118" s="1" t="s">
        <v>4975</v>
      </c>
      <c r="BD118" s="1">
        <v>10104</v>
      </c>
      <c r="BE118" s="1"/>
    </row>
    <row r="119" spans="1:57" x14ac:dyDescent="0.25">
      <c r="A119" s="1">
        <v>123</v>
      </c>
      <c r="B119" s="1" t="s">
        <v>3226</v>
      </c>
      <c r="C119" s="9" t="s">
        <v>129</v>
      </c>
      <c r="D119" s="1" t="s">
        <v>129</v>
      </c>
      <c r="E119" s="1"/>
      <c r="F119" s="1"/>
      <c r="G119" s="1" t="s">
        <v>3227</v>
      </c>
      <c r="H119" s="1" t="s">
        <v>3228</v>
      </c>
      <c r="I119" s="1" t="s">
        <v>3229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1177</v>
      </c>
      <c r="AK119" s="1" t="s">
        <v>330</v>
      </c>
      <c r="AL119" s="1">
        <v>13</v>
      </c>
      <c r="AM119" s="1" t="s">
        <v>1891</v>
      </c>
      <c r="AN119" s="1" t="s">
        <v>4859</v>
      </c>
      <c r="AO119" s="1" t="s">
        <v>5093</v>
      </c>
      <c r="AP119" s="1">
        <v>0</v>
      </c>
      <c r="AQ119" s="1" t="s">
        <v>1170</v>
      </c>
      <c r="AR119" s="1" t="s">
        <v>1171</v>
      </c>
      <c r="AS119" s="1" t="s">
        <v>1172</v>
      </c>
      <c r="AT119" s="1" t="s">
        <v>330</v>
      </c>
      <c r="AU119" s="1">
        <v>123</v>
      </c>
      <c r="AV119" s="1">
        <v>0</v>
      </c>
      <c r="AW119" s="1" t="s">
        <v>4928</v>
      </c>
      <c r="AX119" s="1" t="s">
        <v>4848</v>
      </c>
      <c r="AY119" s="1">
        <v>3</v>
      </c>
      <c r="AZ119" s="1">
        <v>0</v>
      </c>
      <c r="BA119" s="1" t="s">
        <v>330</v>
      </c>
      <c r="BB119" s="1" t="s">
        <v>5094</v>
      </c>
      <c r="BC119" s="1" t="s">
        <v>4855</v>
      </c>
      <c r="BD119" s="1">
        <v>10704</v>
      </c>
      <c r="BE119" s="1"/>
    </row>
    <row r="120" spans="1:57" x14ac:dyDescent="0.25">
      <c r="A120" s="1">
        <v>124</v>
      </c>
      <c r="B120" s="1" t="s">
        <v>3230</v>
      </c>
      <c r="C120" s="9" t="s">
        <v>130</v>
      </c>
      <c r="D120" s="1" t="s">
        <v>3231</v>
      </c>
      <c r="E120" s="1"/>
      <c r="F120" s="1"/>
      <c r="G120" s="1" t="s">
        <v>3232</v>
      </c>
      <c r="H120" s="1" t="s">
        <v>3233</v>
      </c>
      <c r="I120" s="1" t="s">
        <v>3234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1240</v>
      </c>
      <c r="AK120" s="1" t="s">
        <v>330</v>
      </c>
      <c r="AL120" s="1">
        <v>13</v>
      </c>
      <c r="AM120" s="1" t="s">
        <v>4848</v>
      </c>
      <c r="AN120" s="1" t="s">
        <v>4917</v>
      </c>
      <c r="AO120" s="1" t="s">
        <v>4912</v>
      </c>
      <c r="AP120" s="1">
        <v>0</v>
      </c>
      <c r="AQ120" s="1" t="s">
        <v>1192</v>
      </c>
      <c r="AR120" s="1" t="s">
        <v>4921</v>
      </c>
      <c r="AS120" s="1" t="s">
        <v>1194</v>
      </c>
      <c r="AT120" s="1" t="s">
        <v>330</v>
      </c>
      <c r="AU120" s="1">
        <v>124</v>
      </c>
      <c r="AV120" s="1">
        <v>0</v>
      </c>
      <c r="AW120" s="1" t="s">
        <v>5095</v>
      </c>
      <c r="AX120" s="1" t="s">
        <v>4935</v>
      </c>
      <c r="AY120" s="1">
        <v>3</v>
      </c>
      <c r="AZ120" s="1">
        <v>0</v>
      </c>
      <c r="BA120" s="1" t="s">
        <v>4851</v>
      </c>
      <c r="BB120" s="1" t="s">
        <v>5096</v>
      </c>
      <c r="BC120" s="1" t="s">
        <v>4806</v>
      </c>
      <c r="BD120" s="1">
        <v>10202</v>
      </c>
      <c r="BE120" s="1"/>
    </row>
    <row r="121" spans="1:57" x14ac:dyDescent="0.25">
      <c r="A121" s="1">
        <v>125</v>
      </c>
      <c r="B121" s="1" t="s">
        <v>3235</v>
      </c>
      <c r="C121" s="9" t="s">
        <v>301</v>
      </c>
      <c r="D121" s="1" t="s">
        <v>301</v>
      </c>
      <c r="E121" s="1"/>
      <c r="F121" s="1"/>
      <c r="G121" s="1" t="s">
        <v>3236</v>
      </c>
      <c r="H121" s="1" t="s">
        <v>3237</v>
      </c>
      <c r="I121" s="1" t="s">
        <v>3238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1241</v>
      </c>
      <c r="AK121" s="1" t="s">
        <v>330</v>
      </c>
      <c r="AL121" s="1">
        <v>18</v>
      </c>
      <c r="AM121" s="1" t="s">
        <v>4944</v>
      </c>
      <c r="AN121" s="1" t="s">
        <v>5017</v>
      </c>
      <c r="AO121" s="1" t="s">
        <v>5097</v>
      </c>
      <c r="AP121" s="1">
        <v>0</v>
      </c>
      <c r="AQ121" s="1" t="s">
        <v>5098</v>
      </c>
      <c r="AR121" s="1" t="s">
        <v>4997</v>
      </c>
      <c r="AS121" s="1" t="s">
        <v>1221</v>
      </c>
      <c r="AT121" s="1" t="s">
        <v>330</v>
      </c>
      <c r="AU121" s="1">
        <v>125</v>
      </c>
      <c r="AV121" s="1">
        <v>0</v>
      </c>
      <c r="AW121" s="1" t="s">
        <v>4928</v>
      </c>
      <c r="AX121" s="1" t="s">
        <v>333</v>
      </c>
      <c r="AY121" s="1">
        <v>5</v>
      </c>
      <c r="AZ121" s="1">
        <v>0</v>
      </c>
      <c r="BA121" s="1" t="s">
        <v>4941</v>
      </c>
      <c r="BB121" s="1" t="s">
        <v>330</v>
      </c>
      <c r="BC121" s="1" t="s">
        <v>4855</v>
      </c>
      <c r="BD121" s="1">
        <v>10402</v>
      </c>
      <c r="BE121" s="1"/>
    </row>
    <row r="122" spans="1:57" x14ac:dyDescent="0.25">
      <c r="A122" s="1">
        <v>126</v>
      </c>
      <c r="B122" s="1" t="s">
        <v>3239</v>
      </c>
      <c r="C122" s="9" t="s">
        <v>131</v>
      </c>
      <c r="D122" s="1" t="s">
        <v>131</v>
      </c>
      <c r="E122" s="1"/>
      <c r="F122" s="1"/>
      <c r="G122" s="1" t="s">
        <v>3240</v>
      </c>
      <c r="H122" s="1" t="s">
        <v>3241</v>
      </c>
      <c r="I122" s="1" t="s">
        <v>3242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330</v>
      </c>
      <c r="AK122" s="1" t="s">
        <v>330</v>
      </c>
      <c r="AL122" s="1">
        <v>13</v>
      </c>
      <c r="AM122" s="1" t="s">
        <v>1891</v>
      </c>
      <c r="AN122" s="1" t="s">
        <v>5099</v>
      </c>
      <c r="AO122" s="1" t="s">
        <v>5100</v>
      </c>
      <c r="AP122" s="1">
        <v>0</v>
      </c>
      <c r="AQ122" s="1" t="s">
        <v>4828</v>
      </c>
      <c r="AR122" s="1" t="s">
        <v>1171</v>
      </c>
      <c r="AS122" s="1" t="s">
        <v>1172</v>
      </c>
      <c r="AT122" s="1" t="s">
        <v>330</v>
      </c>
      <c r="AU122" s="1">
        <v>126</v>
      </c>
      <c r="AV122" s="1">
        <v>0</v>
      </c>
      <c r="AW122" s="1" t="s">
        <v>5101</v>
      </c>
      <c r="AX122" s="1" t="s">
        <v>4848</v>
      </c>
      <c r="AY122" s="1">
        <v>5</v>
      </c>
      <c r="AZ122" s="1">
        <v>0</v>
      </c>
      <c r="BA122" s="1" t="s">
        <v>330</v>
      </c>
      <c r="BB122" s="1" t="s">
        <v>5102</v>
      </c>
      <c r="BC122" s="1" t="s">
        <v>4869</v>
      </c>
      <c r="BD122" s="1">
        <v>10402</v>
      </c>
      <c r="BE122" s="1"/>
    </row>
    <row r="123" spans="1:57" x14ac:dyDescent="0.25">
      <c r="A123" s="1">
        <v>127</v>
      </c>
      <c r="B123" s="1" t="s">
        <v>3243</v>
      </c>
      <c r="C123" s="9" t="s">
        <v>224</v>
      </c>
      <c r="D123" s="1" t="s">
        <v>3244</v>
      </c>
      <c r="E123" s="1"/>
      <c r="F123" s="1"/>
      <c r="G123" s="1" t="s">
        <v>3245</v>
      </c>
      <c r="H123" s="1" t="s">
        <v>3246</v>
      </c>
      <c r="I123" s="1" t="s">
        <v>3247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1242</v>
      </c>
      <c r="AK123" s="1" t="s">
        <v>330</v>
      </c>
      <c r="AL123" s="1">
        <v>13</v>
      </c>
      <c r="AM123" s="1" t="s">
        <v>4876</v>
      </c>
      <c r="AN123" s="1" t="s">
        <v>390</v>
      </c>
      <c r="AO123" s="1" t="s">
        <v>5026</v>
      </c>
      <c r="AP123" s="1">
        <v>0</v>
      </c>
      <c r="AQ123" s="1" t="s">
        <v>1181</v>
      </c>
      <c r="AR123" s="1" t="s">
        <v>1796</v>
      </c>
      <c r="AS123" s="1" t="s">
        <v>1182</v>
      </c>
      <c r="AT123" s="1" t="s">
        <v>330</v>
      </c>
      <c r="AU123" s="1">
        <v>127</v>
      </c>
      <c r="AV123" s="1">
        <v>0</v>
      </c>
      <c r="AW123" s="1" t="s">
        <v>5101</v>
      </c>
      <c r="AX123" s="1" t="s">
        <v>333</v>
      </c>
      <c r="AY123" s="1">
        <v>5</v>
      </c>
      <c r="AZ123" s="1">
        <v>0</v>
      </c>
      <c r="BA123" s="1" t="s">
        <v>330</v>
      </c>
      <c r="BB123" s="1" t="s">
        <v>5038</v>
      </c>
      <c r="BC123" s="1" t="s">
        <v>4869</v>
      </c>
      <c r="BD123" s="1">
        <v>10203</v>
      </c>
      <c r="BE123" s="1"/>
    </row>
    <row r="124" spans="1:57" x14ac:dyDescent="0.25">
      <c r="A124" s="1">
        <v>128</v>
      </c>
      <c r="B124" s="1" t="s">
        <v>3248</v>
      </c>
      <c r="C124" s="9" t="s">
        <v>132</v>
      </c>
      <c r="D124" s="1" t="s">
        <v>132</v>
      </c>
      <c r="E124" s="1"/>
      <c r="F124" s="1"/>
      <c r="G124" s="1" t="s">
        <v>3249</v>
      </c>
      <c r="H124" s="1" t="s">
        <v>3250</v>
      </c>
      <c r="I124" s="1" t="s">
        <v>3251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1198</v>
      </c>
      <c r="AK124" s="1" t="s">
        <v>330</v>
      </c>
      <c r="AL124" s="1">
        <v>13</v>
      </c>
      <c r="AM124" s="1" t="s">
        <v>4848</v>
      </c>
      <c r="AN124" s="1" t="s">
        <v>477</v>
      </c>
      <c r="AO124" s="1" t="s">
        <v>4931</v>
      </c>
      <c r="AP124" s="1">
        <v>0</v>
      </c>
      <c r="AQ124" s="1" t="s">
        <v>1192</v>
      </c>
      <c r="AR124" s="1" t="s">
        <v>1193</v>
      </c>
      <c r="AS124" s="1" t="s">
        <v>1194</v>
      </c>
      <c r="AT124" s="1" t="s">
        <v>330</v>
      </c>
      <c r="AU124" s="1">
        <v>128</v>
      </c>
      <c r="AV124" s="1">
        <v>0</v>
      </c>
      <c r="AW124" s="1" t="s">
        <v>5101</v>
      </c>
      <c r="AX124" s="1" t="s">
        <v>5103</v>
      </c>
      <c r="AY124" s="1">
        <v>5</v>
      </c>
      <c r="AZ124" s="1">
        <v>0</v>
      </c>
      <c r="BA124" s="1" t="s">
        <v>330</v>
      </c>
      <c r="BB124" s="1" t="s">
        <v>5104</v>
      </c>
      <c r="BC124" s="1" t="s">
        <v>4869</v>
      </c>
      <c r="BD124" s="1">
        <v>10203</v>
      </c>
      <c r="BE124" s="1"/>
    </row>
    <row r="125" spans="1:57" x14ac:dyDescent="0.25">
      <c r="A125" s="1">
        <v>129</v>
      </c>
      <c r="B125" s="1" t="s">
        <v>3252</v>
      </c>
      <c r="C125" s="9" t="s">
        <v>133</v>
      </c>
      <c r="D125" s="1" t="s">
        <v>3253</v>
      </c>
      <c r="E125" s="1"/>
      <c r="F125" s="1"/>
      <c r="G125" s="1" t="s">
        <v>3254</v>
      </c>
      <c r="H125" s="1" t="s">
        <v>3255</v>
      </c>
      <c r="I125" s="1" t="s">
        <v>3256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1243</v>
      </c>
      <c r="AK125" s="1" t="s">
        <v>330</v>
      </c>
      <c r="AL125" s="1">
        <v>13</v>
      </c>
      <c r="AM125" s="1" t="s">
        <v>4805</v>
      </c>
      <c r="AN125" s="1" t="s">
        <v>467</v>
      </c>
      <c r="AO125" s="1" t="s">
        <v>5105</v>
      </c>
      <c r="AP125" s="1">
        <v>0</v>
      </c>
      <c r="AQ125" s="1" t="s">
        <v>1798</v>
      </c>
      <c r="AR125" s="1" t="s">
        <v>1206</v>
      </c>
      <c r="AS125" s="1" t="s">
        <v>1181</v>
      </c>
      <c r="AT125" s="1" t="s">
        <v>330</v>
      </c>
      <c r="AU125" s="1">
        <v>129</v>
      </c>
      <c r="AV125" s="1">
        <v>0</v>
      </c>
      <c r="AW125" s="1" t="s">
        <v>5101</v>
      </c>
      <c r="AX125" s="1" t="s">
        <v>333</v>
      </c>
      <c r="AY125" s="1">
        <v>5</v>
      </c>
      <c r="AZ125" s="1">
        <v>0</v>
      </c>
      <c r="BA125" s="1" t="s">
        <v>330</v>
      </c>
      <c r="BB125" s="1" t="s">
        <v>5106</v>
      </c>
      <c r="BC125" s="1" t="s">
        <v>4869</v>
      </c>
      <c r="BD125" s="1">
        <v>10203</v>
      </c>
      <c r="BE125" s="1"/>
    </row>
    <row r="126" spans="1:57" x14ac:dyDescent="0.25">
      <c r="A126" s="1">
        <v>130</v>
      </c>
      <c r="B126" s="1" t="s">
        <v>3257</v>
      </c>
      <c r="C126" s="9" t="s">
        <v>134</v>
      </c>
      <c r="D126" s="1" t="s">
        <v>3258</v>
      </c>
      <c r="E126" s="1"/>
      <c r="F126" s="1"/>
      <c r="G126" s="1" t="s">
        <v>3259</v>
      </c>
      <c r="H126" s="1" t="s">
        <v>3260</v>
      </c>
      <c r="I126" s="1" t="s">
        <v>3261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1243</v>
      </c>
      <c r="AK126" s="1" t="s">
        <v>330</v>
      </c>
      <c r="AL126" s="1">
        <v>13</v>
      </c>
      <c r="AM126" s="1" t="s">
        <v>4805</v>
      </c>
      <c r="AN126" s="1" t="s">
        <v>4917</v>
      </c>
      <c r="AO126" s="1" t="s">
        <v>5107</v>
      </c>
      <c r="AP126" s="1">
        <v>0</v>
      </c>
      <c r="AQ126" s="1" t="s">
        <v>1798</v>
      </c>
      <c r="AR126" s="1" t="s">
        <v>1206</v>
      </c>
      <c r="AS126" s="1" t="s">
        <v>1181</v>
      </c>
      <c r="AT126" s="1" t="s">
        <v>330</v>
      </c>
      <c r="AU126" s="1">
        <v>130</v>
      </c>
      <c r="AV126" s="1">
        <v>0</v>
      </c>
      <c r="AW126" s="1" t="s">
        <v>5101</v>
      </c>
      <c r="AX126" s="1" t="s">
        <v>333</v>
      </c>
      <c r="AY126" s="1">
        <v>5</v>
      </c>
      <c r="AZ126" s="1">
        <v>0</v>
      </c>
      <c r="BA126" s="1" t="s">
        <v>330</v>
      </c>
      <c r="BB126" s="1" t="s">
        <v>5108</v>
      </c>
      <c r="BC126" s="1" t="s">
        <v>4869</v>
      </c>
      <c r="BD126" s="1">
        <v>10203</v>
      </c>
      <c r="BE126" s="1"/>
    </row>
    <row r="127" spans="1:57" x14ac:dyDescent="0.25">
      <c r="A127" s="1">
        <v>131</v>
      </c>
      <c r="B127" s="1" t="s">
        <v>3262</v>
      </c>
      <c r="C127" s="9" t="s">
        <v>135</v>
      </c>
      <c r="D127" s="1" t="s">
        <v>3263</v>
      </c>
      <c r="E127" s="1"/>
      <c r="F127" s="1"/>
      <c r="G127" s="1" t="s">
        <v>3264</v>
      </c>
      <c r="H127" s="1" t="s">
        <v>3265</v>
      </c>
      <c r="I127" s="1" t="s">
        <v>3266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1173</v>
      </c>
      <c r="AK127" s="1" t="s">
        <v>330</v>
      </c>
      <c r="AL127" s="1">
        <v>13</v>
      </c>
      <c r="AM127" s="1" t="s">
        <v>4876</v>
      </c>
      <c r="AN127" s="1" t="s">
        <v>4879</v>
      </c>
      <c r="AO127" s="1" t="s">
        <v>5109</v>
      </c>
      <c r="AP127" s="1">
        <v>0</v>
      </c>
      <c r="AQ127" s="1" t="s">
        <v>1181</v>
      </c>
      <c r="AR127" s="1" t="s">
        <v>1171</v>
      </c>
      <c r="AS127" s="1" t="s">
        <v>1182</v>
      </c>
      <c r="AT127" s="1" t="s">
        <v>330</v>
      </c>
      <c r="AU127" s="1">
        <v>131</v>
      </c>
      <c r="AV127" s="1">
        <v>0</v>
      </c>
      <c r="AW127" s="1" t="s">
        <v>5110</v>
      </c>
      <c r="AX127" s="1" t="s">
        <v>4935</v>
      </c>
      <c r="AY127" s="1">
        <v>3</v>
      </c>
      <c r="AZ127" s="1">
        <v>0</v>
      </c>
      <c r="BA127" s="1" t="s">
        <v>330</v>
      </c>
      <c r="BB127" s="1" t="s">
        <v>330</v>
      </c>
      <c r="BC127" s="1" t="s">
        <v>330</v>
      </c>
      <c r="BD127" s="1">
        <v>10303</v>
      </c>
      <c r="BE127" s="1"/>
    </row>
    <row r="128" spans="1:57" x14ac:dyDescent="0.25">
      <c r="A128" s="1">
        <v>132</v>
      </c>
      <c r="B128" s="1" t="s">
        <v>3267</v>
      </c>
      <c r="C128" s="9" t="s">
        <v>225</v>
      </c>
      <c r="D128" s="1" t="s">
        <v>3268</v>
      </c>
      <c r="E128" s="1"/>
      <c r="F128" s="1"/>
      <c r="G128" s="1" t="s">
        <v>3269</v>
      </c>
      <c r="H128" s="1" t="s">
        <v>3270</v>
      </c>
      <c r="I128" s="1" t="s">
        <v>3271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1177</v>
      </c>
      <c r="AK128" s="1" t="s">
        <v>330</v>
      </c>
      <c r="AL128" s="1">
        <v>13</v>
      </c>
      <c r="AM128" s="1" t="s">
        <v>1891</v>
      </c>
      <c r="AN128" s="1" t="s">
        <v>4947</v>
      </c>
      <c r="AO128" s="1" t="s">
        <v>4895</v>
      </c>
      <c r="AP128" s="1">
        <v>0</v>
      </c>
      <c r="AQ128" s="1" t="s">
        <v>1170</v>
      </c>
      <c r="AR128" s="1" t="s">
        <v>1171</v>
      </c>
      <c r="AS128" s="1" t="s">
        <v>1172</v>
      </c>
      <c r="AT128" s="1" t="s">
        <v>330</v>
      </c>
      <c r="AU128" s="1">
        <v>132</v>
      </c>
      <c r="AV128" s="1">
        <v>0</v>
      </c>
      <c r="AW128" s="1" t="s">
        <v>5111</v>
      </c>
      <c r="AX128" s="1" t="s">
        <v>4935</v>
      </c>
      <c r="AY128" s="1">
        <v>3</v>
      </c>
      <c r="AZ128" s="1">
        <v>0</v>
      </c>
      <c r="BA128" s="1" t="s">
        <v>330</v>
      </c>
      <c r="BB128" s="1" t="s">
        <v>5112</v>
      </c>
      <c r="BC128" s="1" t="s">
        <v>4869</v>
      </c>
      <c r="BD128" s="1">
        <v>10704</v>
      </c>
      <c r="BE128" s="1"/>
    </row>
    <row r="129" spans="1:57" x14ac:dyDescent="0.25">
      <c r="A129" s="1">
        <v>133</v>
      </c>
      <c r="B129" s="1" t="s">
        <v>3272</v>
      </c>
      <c r="C129" s="9" t="s">
        <v>136</v>
      </c>
      <c r="D129" s="1" t="s">
        <v>3273</v>
      </c>
      <c r="E129" s="1"/>
      <c r="F129" s="1"/>
      <c r="G129" s="1" t="s">
        <v>3274</v>
      </c>
      <c r="H129" s="1" t="s">
        <v>3275</v>
      </c>
      <c r="I129" s="1" t="s">
        <v>3276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1177</v>
      </c>
      <c r="AK129" s="1" t="s">
        <v>330</v>
      </c>
      <c r="AL129" s="1">
        <v>13</v>
      </c>
      <c r="AM129" s="1" t="s">
        <v>4805</v>
      </c>
      <c r="AN129" s="1" t="s">
        <v>477</v>
      </c>
      <c r="AO129" s="1" t="s">
        <v>5113</v>
      </c>
      <c r="AP129" s="1">
        <v>0</v>
      </c>
      <c r="AQ129" s="1" t="s">
        <v>1798</v>
      </c>
      <c r="AR129" s="1" t="s">
        <v>1206</v>
      </c>
      <c r="AS129" s="1" t="s">
        <v>1181</v>
      </c>
      <c r="AT129" s="1" t="s">
        <v>330</v>
      </c>
      <c r="AU129" s="1">
        <v>133</v>
      </c>
      <c r="AV129" s="1">
        <v>0</v>
      </c>
      <c r="AW129" s="1" t="s">
        <v>4914</v>
      </c>
      <c r="AX129" s="1" t="s">
        <v>472</v>
      </c>
      <c r="AY129" s="1">
        <v>2</v>
      </c>
      <c r="AZ129" s="1">
        <v>0</v>
      </c>
      <c r="BA129" s="1" t="s">
        <v>330</v>
      </c>
      <c r="BB129" s="1" t="s">
        <v>5038</v>
      </c>
      <c r="BC129" s="1" t="s">
        <v>4869</v>
      </c>
      <c r="BD129" s="1">
        <v>10704</v>
      </c>
      <c r="BE129" s="1"/>
    </row>
    <row r="130" spans="1:57" x14ac:dyDescent="0.25">
      <c r="A130" s="1">
        <v>134</v>
      </c>
      <c r="B130" s="1" t="s">
        <v>3277</v>
      </c>
      <c r="C130" s="9" t="s">
        <v>137</v>
      </c>
      <c r="D130" s="1" t="s">
        <v>137</v>
      </c>
      <c r="E130" s="1"/>
      <c r="F130" s="1"/>
      <c r="G130" s="1" t="s">
        <v>3278</v>
      </c>
      <c r="H130" s="1" t="s">
        <v>3279</v>
      </c>
      <c r="I130" s="1" t="s">
        <v>3280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1173</v>
      </c>
      <c r="AK130" s="1" t="s">
        <v>330</v>
      </c>
      <c r="AL130" s="1">
        <v>13</v>
      </c>
      <c r="AM130" s="1" t="s">
        <v>4805</v>
      </c>
      <c r="AN130" s="1" t="s">
        <v>4917</v>
      </c>
      <c r="AO130" s="1" t="s">
        <v>5114</v>
      </c>
      <c r="AP130" s="1">
        <v>0</v>
      </c>
      <c r="AQ130" s="1" t="s">
        <v>1182</v>
      </c>
      <c r="AR130" s="1" t="s">
        <v>1206</v>
      </c>
      <c r="AS130" s="1" t="s">
        <v>1181</v>
      </c>
      <c r="AT130" s="1" t="s">
        <v>330</v>
      </c>
      <c r="AU130" s="1">
        <v>134</v>
      </c>
      <c r="AV130" s="1">
        <v>0</v>
      </c>
      <c r="AW130" s="1" t="s">
        <v>5115</v>
      </c>
      <c r="AX130" s="1" t="s">
        <v>4935</v>
      </c>
      <c r="AY130" s="1">
        <v>3</v>
      </c>
      <c r="AZ130" s="1">
        <v>0</v>
      </c>
      <c r="BA130" s="1" t="s">
        <v>330</v>
      </c>
      <c r="BB130" s="1" t="s">
        <v>330</v>
      </c>
      <c r="BC130" s="1" t="s">
        <v>4825</v>
      </c>
      <c r="BD130" s="1">
        <v>10302</v>
      </c>
      <c r="BE130" s="1"/>
    </row>
    <row r="131" spans="1:57" x14ac:dyDescent="0.25">
      <c r="A131" s="1">
        <v>135</v>
      </c>
      <c r="B131" s="1" t="s">
        <v>3281</v>
      </c>
      <c r="C131" s="9" t="s">
        <v>1679</v>
      </c>
      <c r="D131" s="1" t="s">
        <v>1679</v>
      </c>
      <c r="E131" s="1"/>
      <c r="F131" s="1"/>
      <c r="G131" s="1" t="s">
        <v>3282</v>
      </c>
      <c r="H131" s="1" t="s">
        <v>3283</v>
      </c>
      <c r="I131" s="1" t="s">
        <v>3284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330</v>
      </c>
      <c r="AK131" s="1" t="s">
        <v>330</v>
      </c>
      <c r="AL131" s="1">
        <v>13</v>
      </c>
      <c r="AM131" s="1" t="s">
        <v>4876</v>
      </c>
      <c r="AN131" s="1" t="s">
        <v>4881</v>
      </c>
      <c r="AO131" s="1" t="s">
        <v>5116</v>
      </c>
      <c r="AP131" s="1">
        <v>0</v>
      </c>
      <c r="AQ131" s="1" t="s">
        <v>1181</v>
      </c>
      <c r="AR131" s="1" t="s">
        <v>1171</v>
      </c>
      <c r="AS131" s="1" t="s">
        <v>1798</v>
      </c>
      <c r="AT131" s="1" t="s">
        <v>330</v>
      </c>
      <c r="AU131" s="1">
        <v>135</v>
      </c>
      <c r="AV131" s="1">
        <v>0</v>
      </c>
      <c r="AW131" s="1" t="s">
        <v>4894</v>
      </c>
      <c r="AX131" s="1" t="s">
        <v>4576</v>
      </c>
      <c r="AY131" s="1">
        <v>5</v>
      </c>
      <c r="AZ131" s="1">
        <v>0</v>
      </c>
      <c r="BA131" s="1" t="s">
        <v>330</v>
      </c>
      <c r="BB131" s="1" t="s">
        <v>5117</v>
      </c>
      <c r="BC131" s="1" t="s">
        <v>4843</v>
      </c>
      <c r="BD131" s="1">
        <v>10202</v>
      </c>
      <c r="BE131" s="1"/>
    </row>
    <row r="132" spans="1:57" x14ac:dyDescent="0.25">
      <c r="A132" s="1">
        <v>136</v>
      </c>
      <c r="B132" s="1" t="s">
        <v>3285</v>
      </c>
      <c r="C132" s="9" t="s">
        <v>1680</v>
      </c>
      <c r="D132" s="1" t="s">
        <v>1680</v>
      </c>
      <c r="E132" s="1"/>
      <c r="F132" s="1"/>
      <c r="G132" s="1" t="s">
        <v>3286</v>
      </c>
      <c r="H132" s="1" t="s">
        <v>3287</v>
      </c>
      <c r="I132" s="1" t="s">
        <v>3288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1216</v>
      </c>
      <c r="AK132" s="1" t="s">
        <v>330</v>
      </c>
      <c r="AL132" s="1">
        <v>13</v>
      </c>
      <c r="AM132" s="1" t="s">
        <v>4876</v>
      </c>
      <c r="AN132" s="1" t="s">
        <v>4879</v>
      </c>
      <c r="AO132" s="1" t="s">
        <v>5118</v>
      </c>
      <c r="AP132" s="1">
        <v>0</v>
      </c>
      <c r="AQ132" s="1" t="s">
        <v>1181</v>
      </c>
      <c r="AR132" s="1" t="s">
        <v>1171</v>
      </c>
      <c r="AS132" s="1" t="s">
        <v>1798</v>
      </c>
      <c r="AT132" s="1" t="s">
        <v>330</v>
      </c>
      <c r="AU132" s="1">
        <v>136</v>
      </c>
      <c r="AV132" s="1">
        <v>0</v>
      </c>
      <c r="AW132" s="1" t="s">
        <v>4894</v>
      </c>
      <c r="AX132" s="1" t="s">
        <v>1891</v>
      </c>
      <c r="AY132" s="1">
        <v>4</v>
      </c>
      <c r="AZ132" s="1">
        <v>0</v>
      </c>
      <c r="BA132" s="1" t="s">
        <v>4829</v>
      </c>
      <c r="BB132" s="1" t="s">
        <v>4879</v>
      </c>
      <c r="BC132" s="1" t="s">
        <v>4843</v>
      </c>
      <c r="BD132" s="1">
        <v>10203</v>
      </c>
      <c r="BE132" s="1"/>
    </row>
    <row r="133" spans="1:57" x14ac:dyDescent="0.25">
      <c r="A133" s="1">
        <v>137</v>
      </c>
      <c r="B133" s="1" t="s">
        <v>3289</v>
      </c>
      <c r="C133" s="9" t="s">
        <v>226</v>
      </c>
      <c r="D133" s="1" t="s">
        <v>226</v>
      </c>
      <c r="E133" s="1"/>
      <c r="F133" s="1"/>
      <c r="G133" s="1" t="s">
        <v>3290</v>
      </c>
      <c r="H133" s="1" t="s">
        <v>3291</v>
      </c>
      <c r="I133" s="1" t="s">
        <v>3292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330</v>
      </c>
      <c r="AK133" s="1" t="s">
        <v>330</v>
      </c>
      <c r="AL133" s="1">
        <v>13</v>
      </c>
      <c r="AM133" s="1" t="s">
        <v>4876</v>
      </c>
      <c r="AN133" s="1" t="s">
        <v>390</v>
      </c>
      <c r="AO133" s="1" t="s">
        <v>5050</v>
      </c>
      <c r="AP133" s="1">
        <v>0</v>
      </c>
      <c r="AQ133" s="1" t="s">
        <v>1181</v>
      </c>
      <c r="AR133" s="1" t="s">
        <v>1171</v>
      </c>
      <c r="AS133" s="1" t="s">
        <v>1182</v>
      </c>
      <c r="AT133" s="1" t="s">
        <v>330</v>
      </c>
      <c r="AU133" s="1">
        <v>137</v>
      </c>
      <c r="AV133" s="1">
        <v>0</v>
      </c>
      <c r="AW133" s="1" t="s">
        <v>5119</v>
      </c>
      <c r="AX133" s="1" t="s">
        <v>333</v>
      </c>
      <c r="AY133" s="1">
        <v>4</v>
      </c>
      <c r="AZ133" s="1">
        <v>0</v>
      </c>
      <c r="BA133" s="1" t="s">
        <v>330</v>
      </c>
      <c r="BB133" s="1" t="s">
        <v>508</v>
      </c>
      <c r="BC133" s="1" t="s">
        <v>4843</v>
      </c>
      <c r="BD133" s="1">
        <v>10802</v>
      </c>
      <c r="BE133" s="1"/>
    </row>
    <row r="134" spans="1:57" x14ac:dyDescent="0.25">
      <c r="A134" s="1">
        <v>138</v>
      </c>
      <c r="B134" s="1" t="s">
        <v>3293</v>
      </c>
      <c r="C134" s="9" t="s">
        <v>138</v>
      </c>
      <c r="D134" s="1" t="s">
        <v>138</v>
      </c>
      <c r="E134" s="1"/>
      <c r="F134" s="1"/>
      <c r="G134" s="1" t="s">
        <v>3294</v>
      </c>
      <c r="H134" s="1" t="s">
        <v>3295</v>
      </c>
      <c r="I134" s="1" t="s">
        <v>3296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1177</v>
      </c>
      <c r="AK134" s="1" t="s">
        <v>330</v>
      </c>
      <c r="AL134" s="1">
        <v>13</v>
      </c>
      <c r="AM134" s="1" t="s">
        <v>4805</v>
      </c>
      <c r="AN134" s="1" t="s">
        <v>477</v>
      </c>
      <c r="AO134" s="1" t="s">
        <v>5120</v>
      </c>
      <c r="AP134" s="1">
        <v>0</v>
      </c>
      <c r="AQ134" s="1" t="s">
        <v>1182</v>
      </c>
      <c r="AR134" s="1" t="s">
        <v>1244</v>
      </c>
      <c r="AS134" s="1" t="s">
        <v>1181</v>
      </c>
      <c r="AT134" s="1" t="s">
        <v>330</v>
      </c>
      <c r="AU134" s="1">
        <v>138</v>
      </c>
      <c r="AV134" s="1">
        <v>0</v>
      </c>
      <c r="AW134" s="1" t="s">
        <v>5121</v>
      </c>
      <c r="AX134" s="1" t="s">
        <v>487</v>
      </c>
      <c r="AY134" s="1">
        <v>3</v>
      </c>
      <c r="AZ134" s="1">
        <v>0</v>
      </c>
      <c r="BA134" s="1" t="s">
        <v>330</v>
      </c>
      <c r="BB134" s="1" t="s">
        <v>330</v>
      </c>
      <c r="BC134" s="1" t="s">
        <v>4843</v>
      </c>
      <c r="BD134" s="1">
        <v>10102</v>
      </c>
      <c r="BE134" s="1"/>
    </row>
    <row r="135" spans="1:57" x14ac:dyDescent="0.25">
      <c r="A135" s="1">
        <v>139</v>
      </c>
      <c r="B135" s="1" t="s">
        <v>3297</v>
      </c>
      <c r="C135" s="9" t="s">
        <v>139</v>
      </c>
      <c r="D135" s="1" t="s">
        <v>3298</v>
      </c>
      <c r="E135" s="1"/>
      <c r="F135" s="1"/>
      <c r="G135" s="1" t="s">
        <v>3299</v>
      </c>
      <c r="H135" s="1" t="s">
        <v>3300</v>
      </c>
      <c r="I135" s="1" t="s">
        <v>3301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1177</v>
      </c>
      <c r="AK135" s="1" t="s">
        <v>330</v>
      </c>
      <c r="AL135" s="1">
        <v>13</v>
      </c>
      <c r="AM135" s="1" t="s">
        <v>1891</v>
      </c>
      <c r="AN135" s="1" t="s">
        <v>4826</v>
      </c>
      <c r="AO135" s="1" t="s">
        <v>5122</v>
      </c>
      <c r="AP135" s="1">
        <v>0</v>
      </c>
      <c r="AQ135" s="1" t="s">
        <v>1170</v>
      </c>
      <c r="AR135" s="1" t="s">
        <v>1171</v>
      </c>
      <c r="AS135" s="1" t="s">
        <v>1172</v>
      </c>
      <c r="AT135" s="1" t="s">
        <v>330</v>
      </c>
      <c r="AU135" s="1">
        <v>139</v>
      </c>
      <c r="AV135" s="1">
        <v>0</v>
      </c>
      <c r="AW135" s="1" t="s">
        <v>5123</v>
      </c>
      <c r="AX135" s="1" t="s">
        <v>472</v>
      </c>
      <c r="AY135" s="1">
        <v>2</v>
      </c>
      <c r="AZ135" s="1">
        <v>0</v>
      </c>
      <c r="BA135" s="1" t="s">
        <v>330</v>
      </c>
      <c r="BB135" s="1" t="s">
        <v>330</v>
      </c>
      <c r="BC135" s="1" t="s">
        <v>4806</v>
      </c>
      <c r="BD135" s="1">
        <v>10704</v>
      </c>
      <c r="BE135" s="1"/>
    </row>
    <row r="136" spans="1:57" x14ac:dyDescent="0.25">
      <c r="A136" s="1">
        <v>140</v>
      </c>
      <c r="B136" s="1" t="s">
        <v>3302</v>
      </c>
      <c r="C136" s="9" t="s">
        <v>140</v>
      </c>
      <c r="D136" s="1" t="s">
        <v>140</v>
      </c>
      <c r="E136" s="1"/>
      <c r="F136" s="1"/>
      <c r="G136" s="1" t="s">
        <v>3303</v>
      </c>
      <c r="H136" s="1" t="s">
        <v>3304</v>
      </c>
      <c r="I136" s="1" t="s">
        <v>3305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1177</v>
      </c>
      <c r="AK136" s="1" t="s">
        <v>330</v>
      </c>
      <c r="AL136" s="1">
        <v>13</v>
      </c>
      <c r="AM136" s="1" t="s">
        <v>1891</v>
      </c>
      <c r="AN136" s="1" t="s">
        <v>5124</v>
      </c>
      <c r="AO136" s="1" t="s">
        <v>5125</v>
      </c>
      <c r="AP136" s="1">
        <v>0</v>
      </c>
      <c r="AQ136" s="1" t="s">
        <v>1170</v>
      </c>
      <c r="AR136" s="1" t="s">
        <v>1171</v>
      </c>
      <c r="AS136" s="1" t="s">
        <v>1172</v>
      </c>
      <c r="AT136" s="1" t="s">
        <v>330</v>
      </c>
      <c r="AU136" s="1">
        <v>140</v>
      </c>
      <c r="AV136" s="1">
        <v>0</v>
      </c>
      <c r="AW136" s="1" t="s">
        <v>5123</v>
      </c>
      <c r="AX136" s="1" t="s">
        <v>5126</v>
      </c>
      <c r="AY136" s="1">
        <v>3</v>
      </c>
      <c r="AZ136" s="1">
        <v>0</v>
      </c>
      <c r="BA136" s="1" t="s">
        <v>330</v>
      </c>
      <c r="BB136" s="1" t="s">
        <v>330</v>
      </c>
      <c r="BC136" s="1" t="s">
        <v>4843</v>
      </c>
      <c r="BD136" s="1">
        <v>10704</v>
      </c>
      <c r="BE136" s="1"/>
    </row>
    <row r="137" spans="1:57" x14ac:dyDescent="0.25">
      <c r="A137" s="1">
        <v>141</v>
      </c>
      <c r="B137" s="1" t="s">
        <v>3306</v>
      </c>
      <c r="C137" s="9" t="s">
        <v>1245</v>
      </c>
      <c r="D137" s="1" t="s">
        <v>1245</v>
      </c>
      <c r="E137" s="1"/>
      <c r="F137" s="1"/>
      <c r="G137" s="1" t="s">
        <v>3307</v>
      </c>
      <c r="H137" s="1" t="s">
        <v>3308</v>
      </c>
      <c r="I137" s="1" t="s">
        <v>3309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1177</v>
      </c>
      <c r="AK137" s="1" t="s">
        <v>330</v>
      </c>
      <c r="AL137" s="1">
        <v>13</v>
      </c>
      <c r="AM137" s="1" t="s">
        <v>1891</v>
      </c>
      <c r="AN137" s="1" t="s">
        <v>4862</v>
      </c>
      <c r="AO137" s="1" t="s">
        <v>5127</v>
      </c>
      <c r="AP137" s="1">
        <v>0</v>
      </c>
      <c r="AQ137" s="1" t="s">
        <v>1170</v>
      </c>
      <c r="AR137" s="1" t="s">
        <v>1171</v>
      </c>
      <c r="AS137" s="1" t="s">
        <v>1172</v>
      </c>
      <c r="AT137" s="1" t="s">
        <v>330</v>
      </c>
      <c r="AU137" s="1">
        <v>141</v>
      </c>
      <c r="AV137" s="1">
        <v>0</v>
      </c>
      <c r="AW137" s="1" t="s">
        <v>5123</v>
      </c>
      <c r="AX137" s="1" t="s">
        <v>472</v>
      </c>
      <c r="AY137" s="1">
        <v>2</v>
      </c>
      <c r="AZ137" s="1">
        <v>0</v>
      </c>
      <c r="BA137" s="1" t="s">
        <v>330</v>
      </c>
      <c r="BB137" s="1" t="s">
        <v>330</v>
      </c>
      <c r="BC137" s="1" t="s">
        <v>4855</v>
      </c>
      <c r="BD137" s="1">
        <v>10704</v>
      </c>
      <c r="BE137" s="1"/>
    </row>
    <row r="138" spans="1:57" x14ac:dyDescent="0.25">
      <c r="A138" s="1">
        <v>142</v>
      </c>
      <c r="B138" s="1" t="s">
        <v>3310</v>
      </c>
      <c r="C138" s="9" t="s">
        <v>1681</v>
      </c>
      <c r="D138" s="1" t="s">
        <v>3311</v>
      </c>
      <c r="E138" s="1"/>
      <c r="F138" s="1"/>
      <c r="G138" s="1" t="s">
        <v>3312</v>
      </c>
      <c r="H138" s="1" t="s">
        <v>3313</v>
      </c>
      <c r="I138" s="1" t="s">
        <v>3314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330</v>
      </c>
      <c r="AK138" s="1" t="s">
        <v>330</v>
      </c>
      <c r="AL138" s="1">
        <v>13</v>
      </c>
      <c r="AM138" s="1" t="s">
        <v>1891</v>
      </c>
      <c r="AN138" s="1" t="s">
        <v>4833</v>
      </c>
      <c r="AO138" s="1" t="s">
        <v>5128</v>
      </c>
      <c r="AP138" s="1">
        <v>0</v>
      </c>
      <c r="AQ138" s="1" t="s">
        <v>1170</v>
      </c>
      <c r="AR138" s="1" t="s">
        <v>1171</v>
      </c>
      <c r="AS138" s="1" t="s">
        <v>1172</v>
      </c>
      <c r="AT138" s="1" t="s">
        <v>330</v>
      </c>
      <c r="AU138" s="1">
        <v>142</v>
      </c>
      <c r="AV138" s="1">
        <v>0</v>
      </c>
      <c r="AW138" s="1" t="s">
        <v>5129</v>
      </c>
      <c r="AX138" s="1" t="s">
        <v>5130</v>
      </c>
      <c r="AY138" s="1">
        <v>5</v>
      </c>
      <c r="AZ138" s="1">
        <v>0</v>
      </c>
      <c r="BA138" s="1" t="s">
        <v>330</v>
      </c>
      <c r="BB138" s="1" t="s">
        <v>5131</v>
      </c>
      <c r="BC138" s="1" t="s">
        <v>4939</v>
      </c>
      <c r="BD138" s="1">
        <v>10202</v>
      </c>
      <c r="BE138" s="1"/>
    </row>
    <row r="139" spans="1:57" x14ac:dyDescent="0.25">
      <c r="A139" s="1">
        <v>143</v>
      </c>
      <c r="B139" s="1" t="s">
        <v>3315</v>
      </c>
      <c r="C139" s="9" t="s">
        <v>141</v>
      </c>
      <c r="D139" s="1" t="s">
        <v>141</v>
      </c>
      <c r="E139" s="1"/>
      <c r="F139" s="1"/>
      <c r="G139" s="1" t="s">
        <v>3316</v>
      </c>
      <c r="H139" s="1" t="s">
        <v>3317</v>
      </c>
      <c r="I139" s="1" t="s">
        <v>3318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1246</v>
      </c>
      <c r="AK139" s="1" t="s">
        <v>330</v>
      </c>
      <c r="AL139" s="1">
        <v>13</v>
      </c>
      <c r="AM139" s="1" t="s">
        <v>4876</v>
      </c>
      <c r="AN139" s="1" t="s">
        <v>5033</v>
      </c>
      <c r="AO139" s="1" t="s">
        <v>5132</v>
      </c>
      <c r="AP139" s="1">
        <v>0</v>
      </c>
      <c r="AQ139" s="1" t="s">
        <v>1797</v>
      </c>
      <c r="AR139" s="1" t="s">
        <v>1171</v>
      </c>
      <c r="AS139" s="1" t="s">
        <v>1182</v>
      </c>
      <c r="AT139" s="1" t="s">
        <v>330</v>
      </c>
      <c r="AU139" s="1">
        <v>143</v>
      </c>
      <c r="AV139" s="1">
        <v>0</v>
      </c>
      <c r="AW139" s="1" t="s">
        <v>5123</v>
      </c>
      <c r="AX139" s="1" t="s">
        <v>4944</v>
      </c>
      <c r="AY139" s="1">
        <v>5</v>
      </c>
      <c r="AZ139" s="1">
        <v>0</v>
      </c>
      <c r="BA139" s="1" t="s">
        <v>4941</v>
      </c>
      <c r="BB139" s="1" t="s">
        <v>5133</v>
      </c>
      <c r="BC139" s="1" t="s">
        <v>4946</v>
      </c>
      <c r="BD139" s="1">
        <v>10601</v>
      </c>
      <c r="BE139" s="1"/>
    </row>
    <row r="140" spans="1:57" x14ac:dyDescent="0.25">
      <c r="A140" s="1">
        <v>144</v>
      </c>
      <c r="B140" s="1" t="s">
        <v>3319</v>
      </c>
      <c r="C140" s="9" t="s">
        <v>1682</v>
      </c>
      <c r="D140" s="1" t="s">
        <v>1682</v>
      </c>
      <c r="E140" s="1"/>
      <c r="F140" s="1"/>
      <c r="G140" s="1" t="s">
        <v>3320</v>
      </c>
      <c r="H140" s="1" t="s">
        <v>3321</v>
      </c>
      <c r="I140" s="1" t="s">
        <v>3322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1173</v>
      </c>
      <c r="AK140" s="1" t="s">
        <v>330</v>
      </c>
      <c r="AL140" s="1">
        <v>13</v>
      </c>
      <c r="AM140" s="1" t="s">
        <v>4876</v>
      </c>
      <c r="AN140" s="1" t="s">
        <v>390</v>
      </c>
      <c r="AO140" s="1" t="s">
        <v>4885</v>
      </c>
      <c r="AP140" s="1">
        <v>0</v>
      </c>
      <c r="AQ140" s="1" t="s">
        <v>1181</v>
      </c>
      <c r="AR140" s="1" t="s">
        <v>1171</v>
      </c>
      <c r="AS140" s="1" t="s">
        <v>1182</v>
      </c>
      <c r="AT140" s="1" t="s">
        <v>330</v>
      </c>
      <c r="AU140" s="1">
        <v>144</v>
      </c>
      <c r="AV140" s="1">
        <v>0</v>
      </c>
      <c r="AW140" s="1" t="s">
        <v>5134</v>
      </c>
      <c r="AX140" s="1" t="s">
        <v>487</v>
      </c>
      <c r="AY140" s="1">
        <v>3</v>
      </c>
      <c r="AZ140" s="1">
        <v>0</v>
      </c>
      <c r="BA140" s="1" t="s">
        <v>330</v>
      </c>
      <c r="BB140" s="1" t="s">
        <v>372</v>
      </c>
      <c r="BC140" s="1" t="s">
        <v>330</v>
      </c>
      <c r="BD140" s="1">
        <v>10303</v>
      </c>
      <c r="BE140" s="1"/>
    </row>
    <row r="141" spans="1:57" x14ac:dyDescent="0.25">
      <c r="A141" s="1">
        <v>145</v>
      </c>
      <c r="B141" s="1" t="s">
        <v>3323</v>
      </c>
      <c r="C141" s="9" t="s">
        <v>1683</v>
      </c>
      <c r="D141" s="1" t="s">
        <v>3324</v>
      </c>
      <c r="E141" s="1"/>
      <c r="F141" s="1"/>
      <c r="G141" s="1" t="s">
        <v>3325</v>
      </c>
      <c r="H141" s="1" t="s">
        <v>3326</v>
      </c>
      <c r="I141" s="1" t="s">
        <v>3327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1247</v>
      </c>
      <c r="AK141" s="1" t="s">
        <v>330</v>
      </c>
      <c r="AL141" s="1">
        <v>13</v>
      </c>
      <c r="AM141" s="1" t="s">
        <v>4848</v>
      </c>
      <c r="AN141" s="1" t="s">
        <v>4920</v>
      </c>
      <c r="AO141" s="1" t="s">
        <v>4912</v>
      </c>
      <c r="AP141" s="1">
        <v>0</v>
      </c>
      <c r="AQ141" s="1" t="s">
        <v>1192</v>
      </c>
      <c r="AR141" s="1" t="s">
        <v>4921</v>
      </c>
      <c r="AS141" s="1" t="s">
        <v>1194</v>
      </c>
      <c r="AT141" s="1" t="s">
        <v>330</v>
      </c>
      <c r="AU141" s="1">
        <v>145</v>
      </c>
      <c r="AV141" s="1">
        <v>0</v>
      </c>
      <c r="AW141" s="1" t="s">
        <v>5129</v>
      </c>
      <c r="AX141" s="1" t="s">
        <v>5135</v>
      </c>
      <c r="AY141" s="1">
        <v>3</v>
      </c>
      <c r="AZ141" s="1">
        <v>0</v>
      </c>
      <c r="BA141" s="1" t="s">
        <v>330</v>
      </c>
      <c r="BB141" s="1" t="s">
        <v>330</v>
      </c>
      <c r="BC141" s="1" t="s">
        <v>4843</v>
      </c>
      <c r="BD141" s="1">
        <v>10703</v>
      </c>
      <c r="BE141" s="1"/>
    </row>
    <row r="142" spans="1:57" x14ac:dyDescent="0.25">
      <c r="A142" s="1">
        <v>146</v>
      </c>
      <c r="B142" s="1" t="s">
        <v>3328</v>
      </c>
      <c r="C142" s="9" t="s">
        <v>227</v>
      </c>
      <c r="D142" s="1" t="s">
        <v>227</v>
      </c>
      <c r="E142" s="1"/>
      <c r="F142" s="1"/>
      <c r="G142" s="1" t="s">
        <v>3329</v>
      </c>
      <c r="H142" s="1" t="s">
        <v>3330</v>
      </c>
      <c r="I142" s="1" t="s">
        <v>3331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1248</v>
      </c>
      <c r="AK142" s="1" t="s">
        <v>330</v>
      </c>
      <c r="AL142" s="1">
        <v>13</v>
      </c>
      <c r="AM142" s="1" t="s">
        <v>4848</v>
      </c>
      <c r="AN142" s="1" t="s">
        <v>466</v>
      </c>
      <c r="AO142" s="1" t="s">
        <v>4918</v>
      </c>
      <c r="AP142" s="1">
        <v>0</v>
      </c>
      <c r="AQ142" s="1" t="s">
        <v>1192</v>
      </c>
      <c r="AR142" s="1" t="s">
        <v>1193</v>
      </c>
      <c r="AS142" s="1" t="s">
        <v>1194</v>
      </c>
      <c r="AT142" s="1" t="s">
        <v>330</v>
      </c>
      <c r="AU142" s="1">
        <v>146</v>
      </c>
      <c r="AV142" s="1">
        <v>0</v>
      </c>
      <c r="AW142" s="1" t="s">
        <v>5129</v>
      </c>
      <c r="AX142" s="1" t="s">
        <v>5135</v>
      </c>
      <c r="AY142" s="1">
        <v>4</v>
      </c>
      <c r="AZ142" s="1">
        <v>0</v>
      </c>
      <c r="BA142" s="1" t="s">
        <v>330</v>
      </c>
      <c r="BB142" s="1" t="s">
        <v>5136</v>
      </c>
      <c r="BC142" s="1" t="s">
        <v>4855</v>
      </c>
      <c r="BD142" s="1">
        <v>10701</v>
      </c>
      <c r="BE142" s="1"/>
    </row>
    <row r="143" spans="1:57" x14ac:dyDescent="0.25">
      <c r="A143" s="1">
        <v>147</v>
      </c>
      <c r="B143" s="1" t="s">
        <v>3332</v>
      </c>
      <c r="C143" s="9" t="s">
        <v>142</v>
      </c>
      <c r="D143" s="1" t="s">
        <v>3333</v>
      </c>
      <c r="E143" s="1"/>
      <c r="F143" s="1"/>
      <c r="G143" s="1" t="s">
        <v>3334</v>
      </c>
      <c r="H143" s="1" t="s">
        <v>3335</v>
      </c>
      <c r="I143" s="1" t="s">
        <v>3336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1177</v>
      </c>
      <c r="AK143" s="1" t="s">
        <v>330</v>
      </c>
      <c r="AL143" s="1">
        <v>13</v>
      </c>
      <c r="AM143" s="1" t="s">
        <v>4848</v>
      </c>
      <c r="AN143" s="1" t="s">
        <v>477</v>
      </c>
      <c r="AO143" s="1" t="s">
        <v>4912</v>
      </c>
      <c r="AP143" s="1">
        <v>0</v>
      </c>
      <c r="AQ143" s="1" t="s">
        <v>1192</v>
      </c>
      <c r="AR143" s="1" t="s">
        <v>1193</v>
      </c>
      <c r="AS143" s="1" t="s">
        <v>1194</v>
      </c>
      <c r="AT143" s="1" t="s">
        <v>330</v>
      </c>
      <c r="AU143" s="1">
        <v>147</v>
      </c>
      <c r="AV143" s="1">
        <v>0</v>
      </c>
      <c r="AW143" s="1" t="s">
        <v>5137</v>
      </c>
      <c r="AX143" s="1" t="s">
        <v>487</v>
      </c>
      <c r="AY143" s="1">
        <v>3</v>
      </c>
      <c r="AZ143" s="1">
        <v>0</v>
      </c>
      <c r="BA143" s="1" t="s">
        <v>330</v>
      </c>
      <c r="BB143" s="1" t="s">
        <v>369</v>
      </c>
      <c r="BC143" s="1" t="s">
        <v>330</v>
      </c>
      <c r="BD143" s="1">
        <v>10803</v>
      </c>
      <c r="BE143" s="1"/>
    </row>
    <row r="144" spans="1:57" x14ac:dyDescent="0.25">
      <c r="A144" s="1">
        <v>148</v>
      </c>
      <c r="B144" s="1" t="s">
        <v>3337</v>
      </c>
      <c r="C144" s="9" t="s">
        <v>143</v>
      </c>
      <c r="D144" s="1" t="s">
        <v>3338</v>
      </c>
      <c r="E144" s="1"/>
      <c r="F144" s="1"/>
      <c r="G144" s="1" t="s">
        <v>3339</v>
      </c>
      <c r="H144" s="1" t="s">
        <v>3340</v>
      </c>
      <c r="I144" s="1" t="s">
        <v>3341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1249</v>
      </c>
      <c r="AK144" s="1" t="s">
        <v>330</v>
      </c>
      <c r="AL144" s="1">
        <v>13</v>
      </c>
      <c r="AM144" s="1" t="s">
        <v>4848</v>
      </c>
      <c r="AN144" s="1" t="s">
        <v>466</v>
      </c>
      <c r="AO144" s="1" t="s">
        <v>4931</v>
      </c>
      <c r="AP144" s="1">
        <v>0</v>
      </c>
      <c r="AQ144" s="1" t="s">
        <v>1192</v>
      </c>
      <c r="AR144" s="1" t="s">
        <v>1193</v>
      </c>
      <c r="AS144" s="1" t="s">
        <v>1194</v>
      </c>
      <c r="AT144" s="1" t="s">
        <v>330</v>
      </c>
      <c r="AU144" s="1">
        <v>148</v>
      </c>
      <c r="AV144" s="1">
        <v>0</v>
      </c>
      <c r="AW144" s="1" t="s">
        <v>5138</v>
      </c>
      <c r="AX144" s="1" t="s">
        <v>333</v>
      </c>
      <c r="AY144" s="1">
        <v>5</v>
      </c>
      <c r="AZ144" s="1">
        <v>0</v>
      </c>
      <c r="BA144" s="1" t="s">
        <v>330</v>
      </c>
      <c r="BB144" s="1" t="s">
        <v>5139</v>
      </c>
      <c r="BC144" s="1" t="s">
        <v>330</v>
      </c>
      <c r="BD144" s="1">
        <v>10203</v>
      </c>
      <c r="BE144" s="1"/>
    </row>
    <row r="145" spans="1:57" x14ac:dyDescent="0.25">
      <c r="A145" s="1">
        <v>149</v>
      </c>
      <c r="B145" s="1" t="s">
        <v>3342</v>
      </c>
      <c r="C145" s="9" t="s">
        <v>1684</v>
      </c>
      <c r="D145" s="1" t="s">
        <v>1684</v>
      </c>
      <c r="E145" s="1"/>
      <c r="F145" s="1"/>
      <c r="G145" s="1" t="s">
        <v>3343</v>
      </c>
      <c r="H145" s="1" t="s">
        <v>3344</v>
      </c>
      <c r="I145" s="1" t="s">
        <v>3345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1218</v>
      </c>
      <c r="AK145" s="1" t="s">
        <v>330</v>
      </c>
      <c r="AL145" s="1">
        <v>18</v>
      </c>
      <c r="AM145" s="1" t="s">
        <v>4944</v>
      </c>
      <c r="AN145" s="1" t="s">
        <v>5017</v>
      </c>
      <c r="AO145" s="1" t="s">
        <v>5140</v>
      </c>
      <c r="AP145" s="1">
        <v>0</v>
      </c>
      <c r="AQ145" s="1" t="s">
        <v>1219</v>
      </c>
      <c r="AR145" s="1" t="s">
        <v>1220</v>
      </c>
      <c r="AS145" s="1" t="s">
        <v>1221</v>
      </c>
      <c r="AT145" s="1" t="s">
        <v>330</v>
      </c>
      <c r="AU145" s="1">
        <v>149</v>
      </c>
      <c r="AV145" s="1">
        <v>0</v>
      </c>
      <c r="AW145" s="1" t="s">
        <v>5138</v>
      </c>
      <c r="AX145" s="1" t="s">
        <v>333</v>
      </c>
      <c r="AY145" s="1">
        <v>4</v>
      </c>
      <c r="AZ145" s="1">
        <v>0</v>
      </c>
      <c r="BA145" s="1" t="s">
        <v>330</v>
      </c>
      <c r="BB145" s="1" t="s">
        <v>5141</v>
      </c>
      <c r="BC145" s="1" t="s">
        <v>4843</v>
      </c>
      <c r="BD145" s="1">
        <v>10202</v>
      </c>
      <c r="BE145" s="1"/>
    </row>
    <row r="146" spans="1:57" x14ac:dyDescent="0.25">
      <c r="A146" s="1">
        <v>150</v>
      </c>
      <c r="B146" s="1" t="s">
        <v>3346</v>
      </c>
      <c r="C146" s="9" t="s">
        <v>144</v>
      </c>
      <c r="D146" s="1" t="s">
        <v>144</v>
      </c>
      <c r="E146" s="1"/>
      <c r="F146" s="1"/>
      <c r="G146" s="1" t="s">
        <v>3347</v>
      </c>
      <c r="H146" s="1" t="s">
        <v>3348</v>
      </c>
      <c r="I146" s="1" t="s">
        <v>3349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1250</v>
      </c>
      <c r="AK146" s="1" t="s">
        <v>330</v>
      </c>
      <c r="AL146" s="1">
        <v>13</v>
      </c>
      <c r="AM146" s="1" t="s">
        <v>4876</v>
      </c>
      <c r="AN146" s="1" t="s">
        <v>390</v>
      </c>
      <c r="AO146" s="1" t="s">
        <v>5142</v>
      </c>
      <c r="AP146" s="1">
        <v>0</v>
      </c>
      <c r="AQ146" s="1" t="s">
        <v>1181</v>
      </c>
      <c r="AR146" s="1" t="s">
        <v>1171</v>
      </c>
      <c r="AS146" s="1" t="s">
        <v>1182</v>
      </c>
      <c r="AT146" s="1" t="s">
        <v>330</v>
      </c>
      <c r="AU146" s="1">
        <v>150</v>
      </c>
      <c r="AV146" s="1">
        <v>0</v>
      </c>
      <c r="AW146" s="1" t="s">
        <v>5138</v>
      </c>
      <c r="AX146" s="1" t="s">
        <v>333</v>
      </c>
      <c r="AY146" s="1">
        <v>4</v>
      </c>
      <c r="AZ146" s="1">
        <v>0</v>
      </c>
      <c r="BA146" s="1" t="s">
        <v>330</v>
      </c>
      <c r="BB146" s="1" t="s">
        <v>330</v>
      </c>
      <c r="BC146" s="1" t="s">
        <v>330</v>
      </c>
      <c r="BD146" s="1">
        <v>10302</v>
      </c>
      <c r="BE146" s="1"/>
    </row>
    <row r="147" spans="1:57" x14ac:dyDescent="0.25">
      <c r="A147" s="1">
        <v>151</v>
      </c>
      <c r="B147" s="1" t="s">
        <v>3350</v>
      </c>
      <c r="C147" s="9" t="s">
        <v>145</v>
      </c>
      <c r="D147" s="1" t="s">
        <v>145</v>
      </c>
      <c r="E147" s="1"/>
      <c r="F147" s="1"/>
      <c r="G147" s="1" t="s">
        <v>3351</v>
      </c>
      <c r="H147" s="1" t="s">
        <v>3352</v>
      </c>
      <c r="I147" s="1" t="s">
        <v>3353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1251</v>
      </c>
      <c r="AK147" s="1" t="s">
        <v>330</v>
      </c>
      <c r="AL147" s="1">
        <v>8</v>
      </c>
      <c r="AM147" s="1" t="s">
        <v>4802</v>
      </c>
      <c r="AN147" s="1" t="s">
        <v>478</v>
      </c>
      <c r="AO147" s="1" t="s">
        <v>5143</v>
      </c>
      <c r="AP147" s="1">
        <v>0</v>
      </c>
      <c r="AQ147" s="1" t="s">
        <v>1252</v>
      </c>
      <c r="AR147" s="1" t="s">
        <v>1253</v>
      </c>
      <c r="AS147" s="1" t="s">
        <v>1254</v>
      </c>
      <c r="AT147" s="1" t="s">
        <v>330</v>
      </c>
      <c r="AU147" s="1">
        <v>151</v>
      </c>
      <c r="AV147" s="1">
        <v>0</v>
      </c>
      <c r="AW147" s="1" t="s">
        <v>5129</v>
      </c>
      <c r="AX147" s="1" t="s">
        <v>5144</v>
      </c>
      <c r="AY147" s="1">
        <v>5</v>
      </c>
      <c r="AZ147" s="1">
        <v>0</v>
      </c>
      <c r="BA147" s="1" t="s">
        <v>330</v>
      </c>
      <c r="BB147" s="1" t="s">
        <v>330</v>
      </c>
      <c r="BC147" s="1" t="s">
        <v>4806</v>
      </c>
      <c r="BD147" s="1">
        <v>10202</v>
      </c>
      <c r="BE147" s="1"/>
    </row>
    <row r="148" spans="1:57" x14ac:dyDescent="0.25">
      <c r="A148" s="1">
        <v>152</v>
      </c>
      <c r="B148" s="1" t="s">
        <v>3354</v>
      </c>
      <c r="C148" s="9" t="s">
        <v>146</v>
      </c>
      <c r="D148" s="1" t="s">
        <v>146</v>
      </c>
      <c r="E148" s="1"/>
      <c r="F148" s="1"/>
      <c r="G148" s="1" t="s">
        <v>3355</v>
      </c>
      <c r="H148" s="1" t="s">
        <v>3356</v>
      </c>
      <c r="I148" s="1" t="s">
        <v>3357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1255</v>
      </c>
      <c r="AK148" s="1" t="s">
        <v>330</v>
      </c>
      <c r="AL148" s="1">
        <v>8</v>
      </c>
      <c r="AM148" s="1" t="s">
        <v>4802</v>
      </c>
      <c r="AN148" s="1" t="s">
        <v>336</v>
      </c>
      <c r="AO148" s="1" t="s">
        <v>5145</v>
      </c>
      <c r="AP148" s="1">
        <v>0</v>
      </c>
      <c r="AQ148" s="1" t="s">
        <v>1252</v>
      </c>
      <c r="AR148" s="1" t="s">
        <v>5146</v>
      </c>
      <c r="AS148" s="1" t="s">
        <v>1254</v>
      </c>
      <c r="AT148" s="1" t="s">
        <v>330</v>
      </c>
      <c r="AU148" s="1">
        <v>152</v>
      </c>
      <c r="AV148" s="1">
        <v>0</v>
      </c>
      <c r="AW148" s="1" t="s">
        <v>5147</v>
      </c>
      <c r="AX148" s="1" t="s">
        <v>4805</v>
      </c>
      <c r="AY148" s="1">
        <v>3</v>
      </c>
      <c r="AZ148" s="1">
        <v>0</v>
      </c>
      <c r="BA148" s="1" t="s">
        <v>4851</v>
      </c>
      <c r="BB148" s="1" t="s">
        <v>330</v>
      </c>
      <c r="BC148" s="1" t="s">
        <v>4806</v>
      </c>
      <c r="BD148" s="1">
        <v>10303</v>
      </c>
      <c r="BE148" s="1"/>
    </row>
    <row r="149" spans="1:57" x14ac:dyDescent="0.25">
      <c r="A149" s="1">
        <v>153</v>
      </c>
      <c r="B149" s="1" t="s">
        <v>3358</v>
      </c>
      <c r="C149" s="9" t="s">
        <v>147</v>
      </c>
      <c r="D149" s="1" t="s">
        <v>3359</v>
      </c>
      <c r="E149" s="1"/>
      <c r="F149" s="1"/>
      <c r="G149" s="1" t="s">
        <v>3360</v>
      </c>
      <c r="H149" s="1" t="s">
        <v>3361</v>
      </c>
      <c r="I149" s="1" t="s">
        <v>3362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1251</v>
      </c>
      <c r="AK149" s="1" t="s">
        <v>330</v>
      </c>
      <c r="AL149" s="1">
        <v>8</v>
      </c>
      <c r="AM149" s="1" t="s">
        <v>4802</v>
      </c>
      <c r="AN149" s="1" t="s">
        <v>400</v>
      </c>
      <c r="AO149" s="1" t="s">
        <v>4910</v>
      </c>
      <c r="AP149" s="1">
        <v>0</v>
      </c>
      <c r="AQ149" s="1" t="s">
        <v>1252</v>
      </c>
      <c r="AR149" s="1" t="s">
        <v>1253</v>
      </c>
      <c r="AS149" s="1" t="s">
        <v>1254</v>
      </c>
      <c r="AT149" s="1" t="s">
        <v>330</v>
      </c>
      <c r="AU149" s="1">
        <v>153</v>
      </c>
      <c r="AV149" s="1">
        <v>0</v>
      </c>
      <c r="AW149" s="1" t="s">
        <v>5123</v>
      </c>
      <c r="AX149" s="1" t="s">
        <v>4805</v>
      </c>
      <c r="AY149" s="1">
        <v>4</v>
      </c>
      <c r="AZ149" s="1">
        <v>0</v>
      </c>
      <c r="BA149" s="1" t="s">
        <v>330</v>
      </c>
      <c r="BB149" s="1" t="s">
        <v>330</v>
      </c>
      <c r="BC149" s="1" t="s">
        <v>4806</v>
      </c>
      <c r="BD149" s="1">
        <v>10702</v>
      </c>
      <c r="BE149" s="1"/>
    </row>
    <row r="150" spans="1:57" x14ac:dyDescent="0.25">
      <c r="A150" s="1">
        <v>154</v>
      </c>
      <c r="B150" s="1" t="s">
        <v>3363</v>
      </c>
      <c r="C150" s="9" t="s">
        <v>148</v>
      </c>
      <c r="D150" s="1" t="s">
        <v>148</v>
      </c>
      <c r="E150" s="1"/>
      <c r="F150" s="1"/>
      <c r="G150" s="1" t="s">
        <v>3364</v>
      </c>
      <c r="H150" s="1" t="s">
        <v>3365</v>
      </c>
      <c r="I150" s="1" t="s">
        <v>3366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1255</v>
      </c>
      <c r="AK150" s="1" t="s">
        <v>330</v>
      </c>
      <c r="AL150" s="1">
        <v>7</v>
      </c>
      <c r="AM150" s="1" t="s">
        <v>4802</v>
      </c>
      <c r="AN150" s="1" t="s">
        <v>472</v>
      </c>
      <c r="AO150" s="1" t="s">
        <v>4910</v>
      </c>
      <c r="AP150" s="1">
        <v>0</v>
      </c>
      <c r="AQ150" s="1" t="s">
        <v>1252</v>
      </c>
      <c r="AR150" s="1" t="s">
        <v>1253</v>
      </c>
      <c r="AS150" s="1" t="s">
        <v>5148</v>
      </c>
      <c r="AT150" s="1" t="s">
        <v>330</v>
      </c>
      <c r="AU150" s="1">
        <v>154</v>
      </c>
      <c r="AV150" s="1">
        <v>0</v>
      </c>
      <c r="AW150" s="1" t="s">
        <v>5123</v>
      </c>
      <c r="AX150" s="1" t="s">
        <v>4805</v>
      </c>
      <c r="AY150" s="1">
        <v>3</v>
      </c>
      <c r="AZ150" s="1">
        <v>0</v>
      </c>
      <c r="BA150" s="1" t="s">
        <v>4851</v>
      </c>
      <c r="BB150" s="1" t="s">
        <v>330</v>
      </c>
      <c r="BC150" s="1" t="s">
        <v>4806</v>
      </c>
      <c r="BD150" s="1">
        <v>10802</v>
      </c>
      <c r="BE150" s="1"/>
    </row>
    <row r="151" spans="1:57" x14ac:dyDescent="0.25">
      <c r="A151" s="1">
        <v>155</v>
      </c>
      <c r="B151" s="1" t="s">
        <v>3367</v>
      </c>
      <c r="C151" s="9" t="s">
        <v>149</v>
      </c>
      <c r="D151" s="1" t="s">
        <v>149</v>
      </c>
      <c r="E151" s="1"/>
      <c r="F151" s="1"/>
      <c r="G151" s="1" t="s">
        <v>3368</v>
      </c>
      <c r="H151" s="1" t="s">
        <v>3369</v>
      </c>
      <c r="I151" s="1" t="s">
        <v>3370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1251</v>
      </c>
      <c r="AK151" s="1" t="s">
        <v>330</v>
      </c>
      <c r="AL151" s="1">
        <v>9</v>
      </c>
      <c r="AM151" s="1" t="s">
        <v>4802</v>
      </c>
      <c r="AN151" s="1" t="s">
        <v>337</v>
      </c>
      <c r="AO151" s="1" t="s">
        <v>5109</v>
      </c>
      <c r="AP151" s="1">
        <v>0</v>
      </c>
      <c r="AQ151" s="1" t="s">
        <v>1252</v>
      </c>
      <c r="AR151" s="1" t="s">
        <v>1253</v>
      </c>
      <c r="AS151" s="1" t="s">
        <v>1254</v>
      </c>
      <c r="AT151" s="1" t="s">
        <v>330</v>
      </c>
      <c r="AU151" s="1">
        <v>155</v>
      </c>
      <c r="AV151" s="1">
        <v>0</v>
      </c>
      <c r="AW151" s="1" t="s">
        <v>5123</v>
      </c>
      <c r="AX151" s="1" t="s">
        <v>4805</v>
      </c>
      <c r="AY151" s="1">
        <v>4</v>
      </c>
      <c r="AZ151" s="1">
        <v>0</v>
      </c>
      <c r="BA151" s="1" t="s">
        <v>330</v>
      </c>
      <c r="BB151" s="1" t="s">
        <v>4845</v>
      </c>
      <c r="BC151" s="1" t="s">
        <v>4806</v>
      </c>
      <c r="BD151" s="1">
        <v>10402</v>
      </c>
      <c r="BE151" s="1"/>
    </row>
    <row r="152" spans="1:57" x14ac:dyDescent="0.25">
      <c r="A152" s="1">
        <v>156</v>
      </c>
      <c r="B152" s="1" t="s">
        <v>3371</v>
      </c>
      <c r="C152" s="9" t="s">
        <v>1685</v>
      </c>
      <c r="D152" s="1" t="s">
        <v>1685</v>
      </c>
      <c r="E152" s="1"/>
      <c r="F152" s="1"/>
      <c r="G152" s="1" t="s">
        <v>3372</v>
      </c>
      <c r="H152" s="1" t="s">
        <v>3373</v>
      </c>
      <c r="I152" s="1" t="s">
        <v>3374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1256</v>
      </c>
      <c r="AK152" s="1" t="s">
        <v>330</v>
      </c>
      <c r="AL152" s="1">
        <v>8</v>
      </c>
      <c r="AM152" s="1" t="s">
        <v>4802</v>
      </c>
      <c r="AN152" s="1" t="s">
        <v>478</v>
      </c>
      <c r="AO152" s="1" t="s">
        <v>5149</v>
      </c>
      <c r="AP152" s="1">
        <v>0</v>
      </c>
      <c r="AQ152" s="1" t="s">
        <v>1252</v>
      </c>
      <c r="AR152" s="1" t="s">
        <v>1253</v>
      </c>
      <c r="AS152" s="1" t="s">
        <v>1254</v>
      </c>
      <c r="AT152" s="1" t="s">
        <v>330</v>
      </c>
      <c r="AU152" s="1">
        <v>156</v>
      </c>
      <c r="AV152" s="1">
        <v>0</v>
      </c>
      <c r="AW152" s="1" t="s">
        <v>5147</v>
      </c>
      <c r="AX152" s="1" t="s">
        <v>4805</v>
      </c>
      <c r="AY152" s="1">
        <v>4</v>
      </c>
      <c r="AZ152" s="1">
        <v>0</v>
      </c>
      <c r="BA152" s="1" t="s">
        <v>330</v>
      </c>
      <c r="BB152" s="1" t="s">
        <v>5150</v>
      </c>
      <c r="BC152" s="1" t="s">
        <v>4806</v>
      </c>
      <c r="BD152" s="1">
        <v>10203</v>
      </c>
      <c r="BE152" s="1"/>
    </row>
    <row r="153" spans="1:57" x14ac:dyDescent="0.25">
      <c r="A153" s="1">
        <v>157</v>
      </c>
      <c r="B153" s="1" t="s">
        <v>3375</v>
      </c>
      <c r="C153" s="9" t="s">
        <v>1257</v>
      </c>
      <c r="D153" s="1" t="s">
        <v>1257</v>
      </c>
      <c r="E153" s="1"/>
      <c r="F153" s="1"/>
      <c r="G153" s="1" t="s">
        <v>3376</v>
      </c>
      <c r="H153" s="1" t="s">
        <v>3377</v>
      </c>
      <c r="I153" s="1" t="s">
        <v>3378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5151</v>
      </c>
      <c r="AK153" s="1" t="s">
        <v>330</v>
      </c>
      <c r="AL153" s="1">
        <v>8</v>
      </c>
      <c r="AM153" s="1" t="s">
        <v>4802</v>
      </c>
      <c r="AN153" s="1" t="s">
        <v>400</v>
      </c>
      <c r="AO153" s="1" t="s">
        <v>5026</v>
      </c>
      <c r="AP153" s="1">
        <v>0</v>
      </c>
      <c r="AQ153" s="1" t="s">
        <v>1252</v>
      </c>
      <c r="AR153" s="1" t="s">
        <v>1253</v>
      </c>
      <c r="AS153" s="1" t="s">
        <v>1254</v>
      </c>
      <c r="AT153" s="1" t="s">
        <v>330</v>
      </c>
      <c r="AU153" s="1">
        <v>157</v>
      </c>
      <c r="AV153" s="1">
        <v>0</v>
      </c>
      <c r="AW153" s="1" t="s">
        <v>5123</v>
      </c>
      <c r="AX153" s="1" t="s">
        <v>4805</v>
      </c>
      <c r="AY153" s="1">
        <v>5</v>
      </c>
      <c r="AZ153" s="1">
        <v>0</v>
      </c>
      <c r="BA153" s="1" t="s">
        <v>330</v>
      </c>
      <c r="BB153" s="1" t="s">
        <v>330</v>
      </c>
      <c r="BC153" s="1" t="s">
        <v>4806</v>
      </c>
      <c r="BD153" s="1">
        <v>10202</v>
      </c>
      <c r="BE153" s="1"/>
    </row>
    <row r="154" spans="1:57" x14ac:dyDescent="0.25">
      <c r="A154" s="1">
        <v>158</v>
      </c>
      <c r="B154" s="1" t="s">
        <v>3379</v>
      </c>
      <c r="C154" s="9" t="s">
        <v>729</v>
      </c>
      <c r="D154" s="1" t="s">
        <v>729</v>
      </c>
      <c r="E154" s="1"/>
      <c r="F154" s="1"/>
      <c r="G154" s="1" t="s">
        <v>3380</v>
      </c>
      <c r="H154" s="1" t="s">
        <v>3381</v>
      </c>
      <c r="I154" s="1" t="s">
        <v>3382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1258</v>
      </c>
      <c r="AK154" s="1" t="s">
        <v>330</v>
      </c>
      <c r="AL154" s="1">
        <v>7</v>
      </c>
      <c r="AM154" s="1" t="s">
        <v>4802</v>
      </c>
      <c r="AN154" s="1" t="s">
        <v>4848</v>
      </c>
      <c r="AO154" s="1" t="s">
        <v>5152</v>
      </c>
      <c r="AP154" s="1">
        <v>0</v>
      </c>
      <c r="AQ154" s="1" t="s">
        <v>1252</v>
      </c>
      <c r="AR154" s="1" t="s">
        <v>5146</v>
      </c>
      <c r="AS154" s="1" t="s">
        <v>1254</v>
      </c>
      <c r="AT154" s="1" t="s">
        <v>330</v>
      </c>
      <c r="AU154" s="1">
        <v>158</v>
      </c>
      <c r="AV154" s="1">
        <v>0</v>
      </c>
      <c r="AW154" s="1" t="s">
        <v>5123</v>
      </c>
      <c r="AX154" s="1" t="s">
        <v>4805</v>
      </c>
      <c r="AY154" s="1">
        <v>3</v>
      </c>
      <c r="AZ154" s="1">
        <v>0</v>
      </c>
      <c r="BA154" s="1" t="s">
        <v>330</v>
      </c>
      <c r="BB154" s="1" t="s">
        <v>330</v>
      </c>
      <c r="BC154" s="1" t="s">
        <v>4843</v>
      </c>
      <c r="BD154" s="1">
        <v>10402</v>
      </c>
      <c r="BE154" s="1"/>
    </row>
    <row r="155" spans="1:57" x14ac:dyDescent="0.25">
      <c r="A155" s="1">
        <v>159</v>
      </c>
      <c r="B155" s="1" t="s">
        <v>3383</v>
      </c>
      <c r="C155" s="9" t="s">
        <v>1686</v>
      </c>
      <c r="D155" s="1" t="s">
        <v>1686</v>
      </c>
      <c r="E155" s="1"/>
      <c r="F155" s="1"/>
      <c r="G155" s="1" t="s">
        <v>3384</v>
      </c>
      <c r="H155" s="1" t="s">
        <v>3385</v>
      </c>
      <c r="I155" s="1" t="s">
        <v>3386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1255</v>
      </c>
      <c r="AK155" s="1" t="s">
        <v>330</v>
      </c>
      <c r="AL155" s="1">
        <v>9</v>
      </c>
      <c r="AM155" s="1" t="s">
        <v>4802</v>
      </c>
      <c r="AN155" s="1" t="s">
        <v>4802</v>
      </c>
      <c r="AO155" s="1" t="s">
        <v>5152</v>
      </c>
      <c r="AP155" s="1">
        <v>0</v>
      </c>
      <c r="AQ155" s="1" t="s">
        <v>5153</v>
      </c>
      <c r="AR155" s="1" t="s">
        <v>1253</v>
      </c>
      <c r="AS155" s="1" t="s">
        <v>1254</v>
      </c>
      <c r="AT155" s="1" t="s">
        <v>330</v>
      </c>
      <c r="AU155" s="1">
        <v>159</v>
      </c>
      <c r="AV155" s="1">
        <v>0</v>
      </c>
      <c r="AW155" s="1" t="s">
        <v>5123</v>
      </c>
      <c r="AX155" s="1" t="s">
        <v>4805</v>
      </c>
      <c r="AY155" s="1">
        <v>3</v>
      </c>
      <c r="AZ155" s="1">
        <v>0</v>
      </c>
      <c r="BA155" s="1" t="s">
        <v>4851</v>
      </c>
      <c r="BB155" s="1" t="s">
        <v>330</v>
      </c>
      <c r="BC155" s="1" t="s">
        <v>4843</v>
      </c>
      <c r="BD155" s="1">
        <v>10704</v>
      </c>
      <c r="BE155" s="1"/>
    </row>
    <row r="156" spans="1:57" x14ac:dyDescent="0.25">
      <c r="A156" s="1">
        <v>160</v>
      </c>
      <c r="B156" s="1" t="s">
        <v>3387</v>
      </c>
      <c r="C156" s="9" t="s">
        <v>1687</v>
      </c>
      <c r="D156" s="1" t="s">
        <v>1687</v>
      </c>
      <c r="E156" s="1"/>
      <c r="F156" s="1"/>
      <c r="G156" s="1" t="s">
        <v>3388</v>
      </c>
      <c r="H156" s="1" t="s">
        <v>3389</v>
      </c>
      <c r="I156" s="1" t="s">
        <v>3390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1251</v>
      </c>
      <c r="AK156" s="1" t="s">
        <v>330</v>
      </c>
      <c r="AL156" s="1">
        <v>8</v>
      </c>
      <c r="AM156" s="1" t="s">
        <v>4802</v>
      </c>
      <c r="AN156" s="1" t="s">
        <v>4814</v>
      </c>
      <c r="AO156" s="1" t="s">
        <v>5154</v>
      </c>
      <c r="AP156" s="1">
        <v>0</v>
      </c>
      <c r="AQ156" s="1" t="s">
        <v>1252</v>
      </c>
      <c r="AR156" s="1" t="s">
        <v>1253</v>
      </c>
      <c r="AS156" s="1" t="s">
        <v>1254</v>
      </c>
      <c r="AT156" s="1" t="s">
        <v>330</v>
      </c>
      <c r="AU156" s="1">
        <v>160</v>
      </c>
      <c r="AV156" s="1">
        <v>0</v>
      </c>
      <c r="AW156" s="1" t="s">
        <v>5147</v>
      </c>
      <c r="AX156" s="1" t="s">
        <v>4805</v>
      </c>
      <c r="AY156" s="1">
        <v>5</v>
      </c>
      <c r="AZ156" s="1">
        <v>0</v>
      </c>
      <c r="BA156" s="1" t="s">
        <v>330</v>
      </c>
      <c r="BB156" s="1" t="s">
        <v>474</v>
      </c>
      <c r="BC156" s="1" t="s">
        <v>4843</v>
      </c>
      <c r="BD156" s="1">
        <v>10802</v>
      </c>
      <c r="BE156" s="1"/>
    </row>
    <row r="157" spans="1:57" x14ac:dyDescent="0.25">
      <c r="A157" s="1">
        <v>161</v>
      </c>
      <c r="B157" s="1" t="s">
        <v>3391</v>
      </c>
      <c r="C157" s="9" t="s">
        <v>150</v>
      </c>
      <c r="D157" s="1" t="s">
        <v>3392</v>
      </c>
      <c r="E157" s="1"/>
      <c r="F157" s="1"/>
      <c r="G157" s="1" t="s">
        <v>3393</v>
      </c>
      <c r="H157" s="1" t="s">
        <v>3394</v>
      </c>
      <c r="I157" s="1" t="s">
        <v>3395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1259</v>
      </c>
      <c r="AK157" s="1" t="s">
        <v>330</v>
      </c>
      <c r="AL157" s="1">
        <v>8</v>
      </c>
      <c r="AM157" s="1" t="s">
        <v>4802</v>
      </c>
      <c r="AN157" s="1" t="s">
        <v>4814</v>
      </c>
      <c r="AO157" s="1" t="s">
        <v>4882</v>
      </c>
      <c r="AP157" s="1">
        <v>0</v>
      </c>
      <c r="AQ157" s="1" t="s">
        <v>5153</v>
      </c>
      <c r="AR157" s="1" t="s">
        <v>1253</v>
      </c>
      <c r="AS157" s="1" t="s">
        <v>1254</v>
      </c>
      <c r="AT157" s="1" t="s">
        <v>330</v>
      </c>
      <c r="AU157" s="1">
        <v>161</v>
      </c>
      <c r="AV157" s="1">
        <v>0</v>
      </c>
      <c r="AW157" s="1" t="s">
        <v>5123</v>
      </c>
      <c r="AX157" s="1" t="s">
        <v>5155</v>
      </c>
      <c r="AY157" s="1">
        <v>4</v>
      </c>
      <c r="AZ157" s="1">
        <v>0</v>
      </c>
      <c r="BA157" s="1" t="s">
        <v>4829</v>
      </c>
      <c r="BB157" s="1" t="s">
        <v>5038</v>
      </c>
      <c r="BC157" s="1" t="s">
        <v>4869</v>
      </c>
      <c r="BD157" s="1">
        <v>10302</v>
      </c>
      <c r="BE157" s="1"/>
    </row>
    <row r="158" spans="1:57" x14ac:dyDescent="0.25">
      <c r="A158" s="1">
        <v>162</v>
      </c>
      <c r="B158" s="1" t="s">
        <v>3396</v>
      </c>
      <c r="C158" s="9" t="s">
        <v>1688</v>
      </c>
      <c r="D158" s="1" t="s">
        <v>1688</v>
      </c>
      <c r="E158" s="1"/>
      <c r="F158" s="1"/>
      <c r="G158" s="1" t="s">
        <v>3397</v>
      </c>
      <c r="H158" s="1" t="s">
        <v>3398</v>
      </c>
      <c r="I158" s="1" t="s">
        <v>3399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5156</v>
      </c>
      <c r="AK158" s="1" t="s">
        <v>330</v>
      </c>
      <c r="AL158" s="1">
        <v>8</v>
      </c>
      <c r="AM158" s="1" t="s">
        <v>4802</v>
      </c>
      <c r="AN158" s="1" t="s">
        <v>356</v>
      </c>
      <c r="AO158" s="1" t="s">
        <v>5026</v>
      </c>
      <c r="AP158" s="1">
        <v>0</v>
      </c>
      <c r="AQ158" s="1" t="s">
        <v>1252</v>
      </c>
      <c r="AR158" s="1" t="s">
        <v>1253</v>
      </c>
      <c r="AS158" s="1" t="s">
        <v>1254</v>
      </c>
      <c r="AT158" s="1" t="s">
        <v>330</v>
      </c>
      <c r="AU158" s="1">
        <v>162</v>
      </c>
      <c r="AV158" s="1">
        <v>0</v>
      </c>
      <c r="AW158" s="1" t="s">
        <v>5147</v>
      </c>
      <c r="AX158" s="1" t="s">
        <v>4805</v>
      </c>
      <c r="AY158" s="1">
        <v>4</v>
      </c>
      <c r="AZ158" s="1">
        <v>0</v>
      </c>
      <c r="BA158" s="1" t="s">
        <v>330</v>
      </c>
      <c r="BB158" s="1" t="s">
        <v>4802</v>
      </c>
      <c r="BC158" s="1" t="s">
        <v>4825</v>
      </c>
      <c r="BD158" s="1">
        <v>10402</v>
      </c>
      <c r="BE158" s="1"/>
    </row>
    <row r="159" spans="1:57" x14ac:dyDescent="0.25">
      <c r="A159" s="1">
        <v>163</v>
      </c>
      <c r="B159" s="1" t="s">
        <v>3400</v>
      </c>
      <c r="C159" s="9" t="s">
        <v>730</v>
      </c>
      <c r="D159" s="1" t="s">
        <v>730</v>
      </c>
      <c r="E159" s="1"/>
      <c r="F159" s="1"/>
      <c r="G159" s="1" t="s">
        <v>3401</v>
      </c>
      <c r="H159" s="1" t="s">
        <v>3402</v>
      </c>
      <c r="I159" s="1" t="s">
        <v>3403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1260</v>
      </c>
      <c r="AK159" s="1" t="s">
        <v>1261</v>
      </c>
      <c r="AL159" s="1">
        <v>8</v>
      </c>
      <c r="AM159" s="1" t="s">
        <v>4802</v>
      </c>
      <c r="AN159" s="1" t="s">
        <v>356</v>
      </c>
      <c r="AO159" s="1" t="s">
        <v>5000</v>
      </c>
      <c r="AP159" s="1">
        <v>0</v>
      </c>
      <c r="AQ159" s="1" t="s">
        <v>1252</v>
      </c>
      <c r="AR159" s="1" t="s">
        <v>5146</v>
      </c>
      <c r="AS159" s="1" t="s">
        <v>1254</v>
      </c>
      <c r="AT159" s="1" t="s">
        <v>330</v>
      </c>
      <c r="AU159" s="1">
        <v>163</v>
      </c>
      <c r="AV159" s="1">
        <v>0</v>
      </c>
      <c r="AW159" s="1" t="s">
        <v>5157</v>
      </c>
      <c r="AX159" s="1" t="s">
        <v>4805</v>
      </c>
      <c r="AY159" s="1">
        <v>5</v>
      </c>
      <c r="AZ159" s="1">
        <v>0</v>
      </c>
      <c r="BA159" s="1" t="s">
        <v>330</v>
      </c>
      <c r="BB159" s="1" t="s">
        <v>5154</v>
      </c>
      <c r="BC159" s="1" t="s">
        <v>4806</v>
      </c>
      <c r="BD159" s="1">
        <v>10402</v>
      </c>
      <c r="BE159" s="1"/>
    </row>
    <row r="160" spans="1:57" x14ac:dyDescent="0.25">
      <c r="A160" s="1">
        <v>164</v>
      </c>
      <c r="B160" s="1" t="s">
        <v>3404</v>
      </c>
      <c r="C160" s="9" t="s">
        <v>1689</v>
      </c>
      <c r="D160" s="1" t="s">
        <v>1689</v>
      </c>
      <c r="E160" s="1"/>
      <c r="F160" s="1"/>
      <c r="G160" s="1" t="s">
        <v>3405</v>
      </c>
      <c r="H160" s="1" t="s">
        <v>3406</v>
      </c>
      <c r="I160" s="1" t="s">
        <v>3407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5158</v>
      </c>
      <c r="AK160" s="1" t="s">
        <v>1262</v>
      </c>
      <c r="AL160" s="1">
        <v>7</v>
      </c>
      <c r="AM160" s="1" t="s">
        <v>4802</v>
      </c>
      <c r="AN160" s="1" t="s">
        <v>5159</v>
      </c>
      <c r="AO160" s="1" t="s">
        <v>5160</v>
      </c>
      <c r="AP160" s="1">
        <v>0</v>
      </c>
      <c r="AQ160" s="1" t="s">
        <v>1252</v>
      </c>
      <c r="AR160" s="1" t="s">
        <v>1253</v>
      </c>
      <c r="AS160" s="1" t="s">
        <v>1254</v>
      </c>
      <c r="AT160" s="1" t="s">
        <v>330</v>
      </c>
      <c r="AU160" s="1">
        <v>164</v>
      </c>
      <c r="AV160" s="1">
        <v>0</v>
      </c>
      <c r="AW160" s="1" t="s">
        <v>5157</v>
      </c>
      <c r="AX160" s="1" t="s">
        <v>4805</v>
      </c>
      <c r="AY160" s="1">
        <v>5</v>
      </c>
      <c r="AZ160" s="1">
        <v>0</v>
      </c>
      <c r="BA160" s="1" t="s">
        <v>330</v>
      </c>
      <c r="BB160" s="1" t="s">
        <v>5161</v>
      </c>
      <c r="BC160" s="1" t="s">
        <v>4825</v>
      </c>
      <c r="BD160" s="1">
        <v>10202</v>
      </c>
      <c r="BE160" s="1"/>
    </row>
    <row r="161" spans="1:57" x14ac:dyDescent="0.25">
      <c r="A161" s="1">
        <v>165</v>
      </c>
      <c r="B161" s="1" t="s">
        <v>3408</v>
      </c>
      <c r="C161" s="9" t="s">
        <v>151</v>
      </c>
      <c r="D161" s="1" t="s">
        <v>151</v>
      </c>
      <c r="E161" s="1"/>
      <c r="F161" s="1"/>
      <c r="G161" s="1" t="s">
        <v>3409</v>
      </c>
      <c r="H161" s="1" t="s">
        <v>3410</v>
      </c>
      <c r="I161" s="1" t="s">
        <v>3411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1251</v>
      </c>
      <c r="AK161" s="1" t="s">
        <v>330</v>
      </c>
      <c r="AL161" s="1">
        <v>9</v>
      </c>
      <c r="AM161" s="1" t="s">
        <v>4802</v>
      </c>
      <c r="AN161" s="1" t="s">
        <v>337</v>
      </c>
      <c r="AO161" s="1" t="s">
        <v>5026</v>
      </c>
      <c r="AP161" s="1">
        <v>0</v>
      </c>
      <c r="AQ161" s="1" t="s">
        <v>1252</v>
      </c>
      <c r="AR161" s="1" t="s">
        <v>1253</v>
      </c>
      <c r="AS161" s="1" t="s">
        <v>1254</v>
      </c>
      <c r="AT161" s="1" t="s">
        <v>330</v>
      </c>
      <c r="AU161" s="1">
        <v>165</v>
      </c>
      <c r="AV161" s="1">
        <v>0</v>
      </c>
      <c r="AW161" s="1" t="s">
        <v>5157</v>
      </c>
      <c r="AX161" s="1" t="s">
        <v>4805</v>
      </c>
      <c r="AY161" s="1">
        <v>4</v>
      </c>
      <c r="AZ161" s="1">
        <v>0</v>
      </c>
      <c r="BA161" s="1" t="s">
        <v>330</v>
      </c>
      <c r="BB161" s="1" t="s">
        <v>5162</v>
      </c>
      <c r="BC161" s="1" t="s">
        <v>4825</v>
      </c>
      <c r="BD161" s="1">
        <v>10704</v>
      </c>
      <c r="BE161" s="1"/>
    </row>
    <row r="162" spans="1:57" x14ac:dyDescent="0.25">
      <c r="A162" s="1">
        <v>166</v>
      </c>
      <c r="B162" s="1" t="s">
        <v>3412</v>
      </c>
      <c r="C162" s="9" t="s">
        <v>152</v>
      </c>
      <c r="D162" s="1" t="s">
        <v>152</v>
      </c>
      <c r="E162" s="1"/>
      <c r="F162" s="1"/>
      <c r="G162" s="1" t="s">
        <v>3413</v>
      </c>
      <c r="H162" s="1" t="s">
        <v>3414</v>
      </c>
      <c r="I162" s="1" t="s">
        <v>3415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330</v>
      </c>
      <c r="AK162" s="1" t="s">
        <v>330</v>
      </c>
      <c r="AL162" s="1">
        <v>13</v>
      </c>
      <c r="AM162" s="1" t="s">
        <v>1891</v>
      </c>
      <c r="AN162" s="1" t="s">
        <v>5044</v>
      </c>
      <c r="AO162" s="1" t="s">
        <v>5163</v>
      </c>
      <c r="AP162" s="1">
        <v>0</v>
      </c>
      <c r="AQ162" s="1" t="s">
        <v>1170</v>
      </c>
      <c r="AR162" s="1" t="s">
        <v>1171</v>
      </c>
      <c r="AS162" s="1" t="s">
        <v>1172</v>
      </c>
      <c r="AT162" s="1" t="s">
        <v>330</v>
      </c>
      <c r="AU162" s="1">
        <v>166</v>
      </c>
      <c r="AV162" s="1">
        <v>0</v>
      </c>
      <c r="AW162" s="1" t="s">
        <v>5164</v>
      </c>
      <c r="AX162" s="1" t="s">
        <v>5144</v>
      </c>
      <c r="AY162" s="1">
        <v>5</v>
      </c>
      <c r="AZ162" s="1">
        <v>0</v>
      </c>
      <c r="BA162" s="1" t="s">
        <v>330</v>
      </c>
      <c r="BB162" s="1" t="s">
        <v>5165</v>
      </c>
      <c r="BC162" s="1" t="s">
        <v>330</v>
      </c>
      <c r="BD162" s="1">
        <v>10401</v>
      </c>
      <c r="BE162" s="1"/>
    </row>
    <row r="163" spans="1:57" x14ac:dyDescent="0.25">
      <c r="A163" s="1">
        <v>167</v>
      </c>
      <c r="B163" s="1" t="s">
        <v>3416</v>
      </c>
      <c r="C163" s="9" t="s">
        <v>228</v>
      </c>
      <c r="D163" s="1" t="s">
        <v>228</v>
      </c>
      <c r="E163" s="1"/>
      <c r="F163" s="1"/>
      <c r="G163" s="1" t="s">
        <v>3417</v>
      </c>
      <c r="H163" s="1" t="s">
        <v>3418</v>
      </c>
      <c r="I163" s="1" t="s">
        <v>3419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1177</v>
      </c>
      <c r="AK163" s="1" t="s">
        <v>330</v>
      </c>
      <c r="AL163" s="1">
        <v>13</v>
      </c>
      <c r="AM163" s="1" t="s">
        <v>1891</v>
      </c>
      <c r="AN163" s="1" t="s">
        <v>4870</v>
      </c>
      <c r="AO163" s="1" t="s">
        <v>5166</v>
      </c>
      <c r="AP163" s="1">
        <v>0</v>
      </c>
      <c r="AQ163" s="1" t="s">
        <v>1170</v>
      </c>
      <c r="AR163" s="1" t="s">
        <v>1171</v>
      </c>
      <c r="AS163" s="1" t="s">
        <v>1172</v>
      </c>
      <c r="AT163" s="1" t="s">
        <v>330</v>
      </c>
      <c r="AU163" s="1">
        <v>167</v>
      </c>
      <c r="AV163" s="1">
        <v>0</v>
      </c>
      <c r="AW163" s="1" t="s">
        <v>5167</v>
      </c>
      <c r="AX163" s="1" t="s">
        <v>487</v>
      </c>
      <c r="AY163" s="1">
        <v>3</v>
      </c>
      <c r="AZ163" s="1">
        <v>0</v>
      </c>
      <c r="BA163" s="1" t="s">
        <v>330</v>
      </c>
      <c r="BB163" s="1" t="s">
        <v>330</v>
      </c>
      <c r="BC163" s="1" t="s">
        <v>4855</v>
      </c>
      <c r="BD163" s="1">
        <v>10803</v>
      </c>
      <c r="BE163" s="1"/>
    </row>
    <row r="164" spans="1:57" x14ac:dyDescent="0.25">
      <c r="A164" s="1">
        <v>168</v>
      </c>
      <c r="B164" s="1" t="s">
        <v>3420</v>
      </c>
      <c r="C164" s="9" t="s">
        <v>153</v>
      </c>
      <c r="D164" s="1" t="s">
        <v>153</v>
      </c>
      <c r="E164" s="1"/>
      <c r="F164" s="1"/>
      <c r="G164" s="1" t="s">
        <v>3421</v>
      </c>
      <c r="H164" s="1" t="s">
        <v>3422</v>
      </c>
      <c r="I164" s="1" t="s">
        <v>3423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5168</v>
      </c>
      <c r="AK164" s="1" t="s">
        <v>330</v>
      </c>
      <c r="AL164" s="1">
        <v>18</v>
      </c>
      <c r="AM164" s="1" t="s">
        <v>1891</v>
      </c>
      <c r="AN164" s="1" t="s">
        <v>5169</v>
      </c>
      <c r="AO164" s="1" t="s">
        <v>5149</v>
      </c>
      <c r="AP164" s="1">
        <v>0</v>
      </c>
      <c r="AQ164" s="1" t="s">
        <v>1170</v>
      </c>
      <c r="AR164" s="1" t="s">
        <v>1171</v>
      </c>
      <c r="AS164" s="1" t="s">
        <v>1172</v>
      </c>
      <c r="AT164" s="1" t="s">
        <v>330</v>
      </c>
      <c r="AU164" s="1">
        <v>168</v>
      </c>
      <c r="AV164" s="1">
        <v>0</v>
      </c>
      <c r="AW164" s="1" t="s">
        <v>5170</v>
      </c>
      <c r="AX164" s="1" t="s">
        <v>4848</v>
      </c>
      <c r="AY164" s="1">
        <v>4</v>
      </c>
      <c r="AZ164" s="1">
        <v>0</v>
      </c>
      <c r="BA164" s="1" t="s">
        <v>330</v>
      </c>
      <c r="BB164" s="1" t="s">
        <v>5171</v>
      </c>
      <c r="BC164" s="1" t="s">
        <v>330</v>
      </c>
      <c r="BD164" s="1">
        <v>10401</v>
      </c>
      <c r="BE164" s="1"/>
    </row>
    <row r="165" spans="1:57" x14ac:dyDescent="0.25">
      <c r="A165" s="1">
        <v>169</v>
      </c>
      <c r="B165" s="1" t="s">
        <v>3424</v>
      </c>
      <c r="C165" s="9" t="s">
        <v>757</v>
      </c>
      <c r="D165" s="1" t="s">
        <v>3425</v>
      </c>
      <c r="E165" s="1"/>
      <c r="F165" s="1"/>
      <c r="G165" s="1" t="s">
        <v>3426</v>
      </c>
      <c r="H165" s="1" t="s">
        <v>3427</v>
      </c>
      <c r="I165" s="1" t="s">
        <v>3428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1177</v>
      </c>
      <c r="AK165" s="1" t="s">
        <v>330</v>
      </c>
      <c r="AL165" s="1">
        <v>13</v>
      </c>
      <c r="AM165" s="1" t="s">
        <v>4876</v>
      </c>
      <c r="AN165" s="1" t="s">
        <v>4879</v>
      </c>
      <c r="AO165" s="1" t="s">
        <v>5172</v>
      </c>
      <c r="AP165" s="1">
        <v>0</v>
      </c>
      <c r="AQ165" s="1" t="s">
        <v>1181</v>
      </c>
      <c r="AR165" s="1" t="s">
        <v>1171</v>
      </c>
      <c r="AS165" s="1" t="s">
        <v>1798</v>
      </c>
      <c r="AT165" s="1" t="s">
        <v>330</v>
      </c>
      <c r="AU165" s="1">
        <v>169</v>
      </c>
      <c r="AV165" s="1">
        <v>0</v>
      </c>
      <c r="AW165" s="1" t="s">
        <v>5170</v>
      </c>
      <c r="AX165" s="1" t="s">
        <v>5005</v>
      </c>
      <c r="AY165" s="1">
        <v>3</v>
      </c>
      <c r="AZ165" s="1">
        <v>0</v>
      </c>
      <c r="BA165" s="1" t="s">
        <v>330</v>
      </c>
      <c r="BB165" s="1" t="s">
        <v>359</v>
      </c>
      <c r="BC165" s="1" t="s">
        <v>4806</v>
      </c>
      <c r="BD165" s="1">
        <v>10703</v>
      </c>
      <c r="BE165" s="1"/>
    </row>
    <row r="166" spans="1:57" x14ac:dyDescent="0.25">
      <c r="A166" s="1">
        <v>170</v>
      </c>
      <c r="B166" s="1" t="s">
        <v>3429</v>
      </c>
      <c r="C166" s="9" t="s">
        <v>5576</v>
      </c>
      <c r="D166" s="1" t="s">
        <v>3430</v>
      </c>
      <c r="E166" s="1"/>
      <c r="F166" s="1"/>
      <c r="G166" s="1" t="s">
        <v>3431</v>
      </c>
      <c r="H166" s="1" t="s">
        <v>3432</v>
      </c>
      <c r="I166" s="1" t="s">
        <v>3433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1177</v>
      </c>
      <c r="AK166" s="1" t="s">
        <v>330</v>
      </c>
      <c r="AL166" s="1">
        <v>13</v>
      </c>
      <c r="AM166" s="1" t="s">
        <v>4805</v>
      </c>
      <c r="AN166" s="1" t="s">
        <v>4920</v>
      </c>
      <c r="AO166" s="1" t="s">
        <v>5173</v>
      </c>
      <c r="AP166" s="1">
        <v>0</v>
      </c>
      <c r="AQ166" s="1" t="s">
        <v>1182</v>
      </c>
      <c r="AR166" s="1" t="s">
        <v>1206</v>
      </c>
      <c r="AS166" s="1" t="s">
        <v>1181</v>
      </c>
      <c r="AT166" s="1" t="s">
        <v>330</v>
      </c>
      <c r="AU166" s="1">
        <v>170</v>
      </c>
      <c r="AV166" s="1">
        <v>0</v>
      </c>
      <c r="AW166" s="1" t="s">
        <v>5174</v>
      </c>
      <c r="AX166" s="1" t="s">
        <v>487</v>
      </c>
      <c r="AY166" s="1">
        <v>3</v>
      </c>
      <c r="AZ166" s="1">
        <v>0</v>
      </c>
      <c r="BA166" s="1" t="s">
        <v>330</v>
      </c>
      <c r="BB166" s="1" t="s">
        <v>330</v>
      </c>
      <c r="BC166" s="1" t="s">
        <v>4843</v>
      </c>
      <c r="BD166" s="1">
        <v>10402</v>
      </c>
      <c r="BE166" s="1"/>
    </row>
    <row r="167" spans="1:57" x14ac:dyDescent="0.25">
      <c r="A167" s="1">
        <v>171</v>
      </c>
      <c r="B167" s="1" t="s">
        <v>3434</v>
      </c>
      <c r="C167" s="9" t="s">
        <v>229</v>
      </c>
      <c r="D167" s="1" t="s">
        <v>3435</v>
      </c>
      <c r="E167" s="1"/>
      <c r="F167" s="1"/>
      <c r="G167" s="1" t="s">
        <v>3436</v>
      </c>
      <c r="H167" s="1" t="s">
        <v>3437</v>
      </c>
      <c r="I167" s="1" t="s">
        <v>3438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1800</v>
      </c>
      <c r="AK167" s="1" t="s">
        <v>330</v>
      </c>
      <c r="AL167" s="1">
        <v>13</v>
      </c>
      <c r="AM167" s="1" t="s">
        <v>4876</v>
      </c>
      <c r="AN167" s="1" t="s">
        <v>466</v>
      </c>
      <c r="AO167" s="1" t="s">
        <v>5026</v>
      </c>
      <c r="AP167" s="1">
        <v>0</v>
      </c>
      <c r="AQ167" s="1" t="s">
        <v>1798</v>
      </c>
      <c r="AR167" s="1" t="s">
        <v>1206</v>
      </c>
      <c r="AS167" s="1" t="s">
        <v>1181</v>
      </c>
      <c r="AT167" s="1" t="s">
        <v>330</v>
      </c>
      <c r="AU167" s="1">
        <v>171</v>
      </c>
      <c r="AV167" s="1">
        <v>0</v>
      </c>
      <c r="AW167" s="1" t="s">
        <v>5170</v>
      </c>
      <c r="AX167" s="1" t="s">
        <v>333</v>
      </c>
      <c r="AY167" s="1">
        <v>4</v>
      </c>
      <c r="AZ167" s="1">
        <v>0</v>
      </c>
      <c r="BA167" s="1" t="s">
        <v>4829</v>
      </c>
      <c r="BB167" s="1" t="s">
        <v>5175</v>
      </c>
      <c r="BC167" s="1" t="s">
        <v>330</v>
      </c>
      <c r="BD167" s="1">
        <v>10702</v>
      </c>
      <c r="BE167" s="1"/>
    </row>
    <row r="168" spans="1:57" x14ac:dyDescent="0.25">
      <c r="A168" s="1">
        <v>172</v>
      </c>
      <c r="B168" s="1" t="s">
        <v>3439</v>
      </c>
      <c r="C168" s="9" t="s">
        <v>230</v>
      </c>
      <c r="D168" s="1" t="s">
        <v>230</v>
      </c>
      <c r="E168" s="1"/>
      <c r="F168" s="1"/>
      <c r="G168" s="1" t="s">
        <v>3440</v>
      </c>
      <c r="H168" s="1" t="s">
        <v>3441</v>
      </c>
      <c r="I168" s="1" t="s">
        <v>3442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1263</v>
      </c>
      <c r="AK168" s="1" t="s">
        <v>330</v>
      </c>
      <c r="AL168" s="1">
        <v>13</v>
      </c>
      <c r="AM168" s="1" t="s">
        <v>4805</v>
      </c>
      <c r="AN168" s="1" t="s">
        <v>4950</v>
      </c>
      <c r="AO168" s="1" t="s">
        <v>5176</v>
      </c>
      <c r="AP168" s="1">
        <v>0</v>
      </c>
      <c r="AQ168" s="1" t="s">
        <v>1798</v>
      </c>
      <c r="AR168" s="1" t="s">
        <v>1206</v>
      </c>
      <c r="AS168" s="1" t="s">
        <v>1181</v>
      </c>
      <c r="AT168" s="1" t="s">
        <v>330</v>
      </c>
      <c r="AU168" s="1">
        <v>172</v>
      </c>
      <c r="AV168" s="1">
        <v>0</v>
      </c>
      <c r="AW168" s="1" t="s">
        <v>5170</v>
      </c>
      <c r="AX168" s="1" t="s">
        <v>333</v>
      </c>
      <c r="AY168" s="1">
        <v>5</v>
      </c>
      <c r="AZ168" s="1">
        <v>0</v>
      </c>
      <c r="BA168" s="1" t="s">
        <v>330</v>
      </c>
      <c r="BB168" s="1" t="s">
        <v>5177</v>
      </c>
      <c r="BC168" s="1" t="s">
        <v>4806</v>
      </c>
      <c r="BD168" s="1">
        <v>10802</v>
      </c>
      <c r="BE168" s="1"/>
    </row>
    <row r="169" spans="1:57" x14ac:dyDescent="0.25">
      <c r="A169" s="1">
        <v>173</v>
      </c>
      <c r="B169" s="1" t="s">
        <v>3443</v>
      </c>
      <c r="C169" s="9" t="s">
        <v>154</v>
      </c>
      <c r="D169" s="1" t="s">
        <v>154</v>
      </c>
      <c r="E169" s="1"/>
      <c r="F169" s="1"/>
      <c r="G169" s="1" t="s">
        <v>3444</v>
      </c>
      <c r="H169" s="1" t="s">
        <v>3445</v>
      </c>
      <c r="I169" s="1" t="s">
        <v>3446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5178</v>
      </c>
      <c r="AK169" s="1" t="s">
        <v>330</v>
      </c>
      <c r="AL169" s="1">
        <v>17</v>
      </c>
      <c r="AM169" s="1" t="s">
        <v>4944</v>
      </c>
      <c r="AN169" s="1" t="s">
        <v>5179</v>
      </c>
      <c r="AO169" s="1" t="s">
        <v>5180</v>
      </c>
      <c r="AP169" s="1">
        <v>0</v>
      </c>
      <c r="AQ169" s="1" t="s">
        <v>1219</v>
      </c>
      <c r="AR169" s="1" t="s">
        <v>1220</v>
      </c>
      <c r="AS169" s="1" t="s">
        <v>1221</v>
      </c>
      <c r="AT169" s="1" t="s">
        <v>330</v>
      </c>
      <c r="AU169" s="1">
        <v>173</v>
      </c>
      <c r="AV169" s="1">
        <v>0</v>
      </c>
      <c r="AW169" s="1" t="s">
        <v>5170</v>
      </c>
      <c r="AX169" s="1" t="s">
        <v>333</v>
      </c>
      <c r="AY169" s="1">
        <v>5</v>
      </c>
      <c r="AZ169" s="1">
        <v>0</v>
      </c>
      <c r="BA169" s="1" t="s">
        <v>330</v>
      </c>
      <c r="BB169" s="1" t="s">
        <v>5181</v>
      </c>
      <c r="BC169" s="1" t="s">
        <v>4843</v>
      </c>
      <c r="BD169" s="1">
        <v>10402</v>
      </c>
      <c r="BE169" s="1"/>
    </row>
    <row r="170" spans="1:57" x14ac:dyDescent="0.25">
      <c r="A170" s="1">
        <v>174</v>
      </c>
      <c r="B170" s="1" t="s">
        <v>3447</v>
      </c>
      <c r="C170" s="9" t="s">
        <v>1655</v>
      </c>
      <c r="D170" s="1" t="s">
        <v>3448</v>
      </c>
      <c r="E170" s="1"/>
      <c r="F170" s="1"/>
      <c r="G170" s="1" t="s">
        <v>3449</v>
      </c>
      <c r="H170" s="1" t="s">
        <v>3450</v>
      </c>
      <c r="I170" s="1" t="s">
        <v>3451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1177</v>
      </c>
      <c r="AK170" s="1" t="s">
        <v>330</v>
      </c>
      <c r="AL170" s="1">
        <v>13</v>
      </c>
      <c r="AM170" s="1" t="s">
        <v>4848</v>
      </c>
      <c r="AN170" s="1" t="s">
        <v>4917</v>
      </c>
      <c r="AO170" s="1" t="s">
        <v>4912</v>
      </c>
      <c r="AP170" s="1">
        <v>0</v>
      </c>
      <c r="AQ170" s="1" t="s">
        <v>1192</v>
      </c>
      <c r="AR170" s="1" t="s">
        <v>1193</v>
      </c>
      <c r="AS170" s="1" t="s">
        <v>1194</v>
      </c>
      <c r="AT170" s="1" t="s">
        <v>330</v>
      </c>
      <c r="AU170" s="1">
        <v>174</v>
      </c>
      <c r="AV170" s="1">
        <v>0</v>
      </c>
      <c r="AW170" s="1" t="s">
        <v>5182</v>
      </c>
      <c r="AX170" s="1" t="s">
        <v>487</v>
      </c>
      <c r="AY170" s="1">
        <v>3</v>
      </c>
      <c r="AZ170" s="1">
        <v>0</v>
      </c>
      <c r="BA170" s="1" t="s">
        <v>330</v>
      </c>
      <c r="BB170" s="1" t="s">
        <v>5038</v>
      </c>
      <c r="BC170" s="1" t="s">
        <v>4869</v>
      </c>
      <c r="BD170" s="1">
        <v>10701</v>
      </c>
      <c r="BE170" s="1"/>
    </row>
    <row r="171" spans="1:57" x14ac:dyDescent="0.25">
      <c r="A171" s="1">
        <v>175</v>
      </c>
      <c r="B171" s="1" t="s">
        <v>3452</v>
      </c>
      <c r="C171" s="9" t="s">
        <v>155</v>
      </c>
      <c r="D171" s="1" t="s">
        <v>155</v>
      </c>
      <c r="E171" s="1"/>
      <c r="F171" s="1"/>
      <c r="G171" s="1" t="s">
        <v>3453</v>
      </c>
      <c r="H171" s="1" t="s">
        <v>3454</v>
      </c>
      <c r="I171" s="1" t="s">
        <v>3455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330</v>
      </c>
      <c r="AK171" s="1" t="s">
        <v>330</v>
      </c>
      <c r="AL171" s="1">
        <v>13</v>
      </c>
      <c r="AM171" s="1" t="s">
        <v>4805</v>
      </c>
      <c r="AN171" s="1" t="s">
        <v>4920</v>
      </c>
      <c r="AO171" s="1" t="s">
        <v>4966</v>
      </c>
      <c r="AP171" s="1">
        <v>0</v>
      </c>
      <c r="AQ171" s="1" t="s">
        <v>1182</v>
      </c>
      <c r="AR171" s="1" t="s">
        <v>1206</v>
      </c>
      <c r="AS171" s="1" t="s">
        <v>1181</v>
      </c>
      <c r="AT171" s="1" t="s">
        <v>330</v>
      </c>
      <c r="AU171" s="1">
        <v>175</v>
      </c>
      <c r="AV171" s="1">
        <v>0</v>
      </c>
      <c r="AW171" s="1" t="s">
        <v>5183</v>
      </c>
      <c r="AX171" s="1" t="s">
        <v>5130</v>
      </c>
      <c r="AY171" s="1">
        <v>5</v>
      </c>
      <c r="AZ171" s="1">
        <v>0</v>
      </c>
      <c r="BA171" s="1" t="s">
        <v>330</v>
      </c>
      <c r="BB171" s="1" t="s">
        <v>5184</v>
      </c>
      <c r="BC171" s="1" t="s">
        <v>330</v>
      </c>
      <c r="BD171" s="1">
        <v>10203</v>
      </c>
      <c r="BE171" s="1"/>
    </row>
    <row r="172" spans="1:57" x14ac:dyDescent="0.25">
      <c r="A172" s="1">
        <v>176</v>
      </c>
      <c r="B172" s="1" t="s">
        <v>3456</v>
      </c>
      <c r="C172" s="9" t="s">
        <v>156</v>
      </c>
      <c r="D172" s="1" t="s">
        <v>156</v>
      </c>
      <c r="E172" s="1"/>
      <c r="F172" s="1"/>
      <c r="G172" s="1" t="s">
        <v>3457</v>
      </c>
      <c r="H172" s="1" t="s">
        <v>3458</v>
      </c>
      <c r="I172" s="1" t="s">
        <v>3459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5185</v>
      </c>
      <c r="AK172" s="1" t="s">
        <v>330</v>
      </c>
      <c r="AL172" s="1">
        <v>12</v>
      </c>
      <c r="AM172" s="1" t="s">
        <v>4876</v>
      </c>
      <c r="AN172" s="1" t="s">
        <v>360</v>
      </c>
      <c r="AO172" s="1" t="s">
        <v>5149</v>
      </c>
      <c r="AP172" s="1">
        <v>0</v>
      </c>
      <c r="AQ172" s="1" t="s">
        <v>1181</v>
      </c>
      <c r="AR172" s="1" t="s">
        <v>1171</v>
      </c>
      <c r="AS172" s="1" t="s">
        <v>1182</v>
      </c>
      <c r="AT172" s="1" t="s">
        <v>330</v>
      </c>
      <c r="AU172" s="1">
        <v>176</v>
      </c>
      <c r="AV172" s="1">
        <v>0</v>
      </c>
      <c r="AW172" s="1" t="s">
        <v>5186</v>
      </c>
      <c r="AX172" s="1" t="s">
        <v>5187</v>
      </c>
      <c r="AY172" s="1">
        <v>3</v>
      </c>
      <c r="AZ172" s="1">
        <v>0</v>
      </c>
      <c r="BA172" s="1" t="s">
        <v>330</v>
      </c>
      <c r="BB172" s="1" t="s">
        <v>330</v>
      </c>
      <c r="BC172" s="1" t="s">
        <v>330</v>
      </c>
      <c r="BD172" s="1">
        <v>10202</v>
      </c>
      <c r="BE172" s="1"/>
    </row>
    <row r="173" spans="1:57" x14ac:dyDescent="0.25">
      <c r="A173" s="1">
        <v>177</v>
      </c>
      <c r="B173" s="1" t="s">
        <v>3460</v>
      </c>
      <c r="C173" s="9" t="s">
        <v>157</v>
      </c>
      <c r="D173" s="1" t="s">
        <v>157</v>
      </c>
      <c r="E173" s="1"/>
      <c r="F173" s="1"/>
      <c r="G173" s="1" t="s">
        <v>3461</v>
      </c>
      <c r="H173" s="1" t="s">
        <v>3462</v>
      </c>
      <c r="I173" s="1" t="s">
        <v>3463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1216</v>
      </c>
      <c r="AK173" s="1" t="s">
        <v>330</v>
      </c>
      <c r="AL173" s="1">
        <v>13</v>
      </c>
      <c r="AM173" s="1" t="s">
        <v>4876</v>
      </c>
      <c r="AN173" s="1" t="s">
        <v>4879</v>
      </c>
      <c r="AO173" s="1" t="s">
        <v>4888</v>
      </c>
      <c r="AP173" s="1">
        <v>0</v>
      </c>
      <c r="AQ173" s="1" t="s">
        <v>1181</v>
      </c>
      <c r="AR173" s="1" t="s">
        <v>1171</v>
      </c>
      <c r="AS173" s="1" t="s">
        <v>1182</v>
      </c>
      <c r="AT173" s="1" t="s">
        <v>330</v>
      </c>
      <c r="AU173" s="1">
        <v>177</v>
      </c>
      <c r="AV173" s="1">
        <v>0</v>
      </c>
      <c r="AW173" s="1" t="s">
        <v>5053</v>
      </c>
      <c r="AX173" s="1" t="s">
        <v>1891</v>
      </c>
      <c r="AY173" s="1">
        <v>4</v>
      </c>
      <c r="AZ173" s="1">
        <v>0</v>
      </c>
      <c r="BA173" s="1" t="s">
        <v>330</v>
      </c>
      <c r="BB173" s="1" t="s">
        <v>474</v>
      </c>
      <c r="BC173" s="1" t="s">
        <v>4843</v>
      </c>
      <c r="BD173" s="1">
        <v>10704</v>
      </c>
      <c r="BE173" s="1"/>
    </row>
    <row r="174" spans="1:57" x14ac:dyDescent="0.25">
      <c r="A174" s="1">
        <v>178</v>
      </c>
      <c r="B174" s="1" t="s">
        <v>3464</v>
      </c>
      <c r="C174" s="9" t="s">
        <v>158</v>
      </c>
      <c r="D174" s="1" t="s">
        <v>158</v>
      </c>
      <c r="E174" s="1"/>
      <c r="F174" s="1"/>
      <c r="G174" s="1" t="s">
        <v>3465</v>
      </c>
      <c r="H174" s="1" t="s">
        <v>3466</v>
      </c>
      <c r="I174" s="1" t="s">
        <v>3467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1177</v>
      </c>
      <c r="AK174" s="1" t="s">
        <v>330</v>
      </c>
      <c r="AL174" s="1">
        <v>13</v>
      </c>
      <c r="AM174" s="1" t="s">
        <v>4876</v>
      </c>
      <c r="AN174" s="1" t="s">
        <v>390</v>
      </c>
      <c r="AO174" s="1" t="s">
        <v>5188</v>
      </c>
      <c r="AP174" s="1">
        <v>0</v>
      </c>
      <c r="AQ174" s="1" t="s">
        <v>1797</v>
      </c>
      <c r="AR174" s="1" t="s">
        <v>1171</v>
      </c>
      <c r="AS174" s="1" t="s">
        <v>1182</v>
      </c>
      <c r="AT174" s="1" t="s">
        <v>330</v>
      </c>
      <c r="AU174" s="1">
        <v>178</v>
      </c>
      <c r="AV174" s="1">
        <v>0</v>
      </c>
      <c r="AW174" s="1" t="s">
        <v>5053</v>
      </c>
      <c r="AX174" s="1" t="s">
        <v>5189</v>
      </c>
      <c r="AY174" s="1">
        <v>3</v>
      </c>
      <c r="AZ174" s="1">
        <v>0</v>
      </c>
      <c r="BA174" s="1" t="s">
        <v>4851</v>
      </c>
      <c r="BB174" s="1" t="s">
        <v>5190</v>
      </c>
      <c r="BC174" s="1" t="s">
        <v>330</v>
      </c>
      <c r="BD174" s="1">
        <v>10802</v>
      </c>
      <c r="BE174" s="1"/>
    </row>
    <row r="175" spans="1:57" x14ac:dyDescent="0.25">
      <c r="A175" s="1">
        <v>179</v>
      </c>
      <c r="B175" s="1" t="s">
        <v>3468</v>
      </c>
      <c r="C175" s="9" t="s">
        <v>1690</v>
      </c>
      <c r="D175" s="1" t="s">
        <v>1690</v>
      </c>
      <c r="E175" s="1"/>
      <c r="F175" s="1"/>
      <c r="G175" s="1" t="s">
        <v>3469</v>
      </c>
      <c r="H175" s="1" t="s">
        <v>3470</v>
      </c>
      <c r="I175" s="1" t="s">
        <v>3471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1198</v>
      </c>
      <c r="AK175" s="1" t="s">
        <v>330</v>
      </c>
      <c r="AL175" s="1">
        <v>18</v>
      </c>
      <c r="AM175" s="1" t="s">
        <v>4848</v>
      </c>
      <c r="AN175" s="1" t="s">
        <v>5191</v>
      </c>
      <c r="AO175" s="1" t="s">
        <v>4931</v>
      </c>
      <c r="AP175" s="1">
        <v>0</v>
      </c>
      <c r="AQ175" s="1" t="s">
        <v>1192</v>
      </c>
      <c r="AR175" s="1" t="s">
        <v>1193</v>
      </c>
      <c r="AS175" s="1" t="s">
        <v>1194</v>
      </c>
      <c r="AT175" s="1" t="s">
        <v>330</v>
      </c>
      <c r="AU175" s="1">
        <v>179</v>
      </c>
      <c r="AV175" s="1">
        <v>0</v>
      </c>
      <c r="AW175" s="1" t="s">
        <v>5053</v>
      </c>
      <c r="AX175" s="1" t="s">
        <v>1891</v>
      </c>
      <c r="AY175" s="1">
        <v>5</v>
      </c>
      <c r="AZ175" s="1">
        <v>0</v>
      </c>
      <c r="BA175" s="1" t="s">
        <v>330</v>
      </c>
      <c r="BB175" s="1" t="s">
        <v>5192</v>
      </c>
      <c r="BC175" s="1" t="s">
        <v>4855</v>
      </c>
      <c r="BD175" s="1">
        <v>10701</v>
      </c>
      <c r="BE175" s="1"/>
    </row>
    <row r="176" spans="1:57" x14ac:dyDescent="0.25">
      <c r="A176" s="1">
        <v>180</v>
      </c>
      <c r="B176" s="1" t="s">
        <v>3472</v>
      </c>
      <c r="C176" s="9" t="s">
        <v>159</v>
      </c>
      <c r="D176" s="1" t="s">
        <v>159</v>
      </c>
      <c r="E176" s="1"/>
      <c r="F176" s="1"/>
      <c r="G176" s="1" t="s">
        <v>3473</v>
      </c>
      <c r="H176" s="1" t="s">
        <v>3474</v>
      </c>
      <c r="I176" s="1" t="s">
        <v>3475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1264</v>
      </c>
      <c r="AK176" s="1" t="s">
        <v>330</v>
      </c>
      <c r="AL176" s="1">
        <v>13</v>
      </c>
      <c r="AM176" s="1" t="s">
        <v>4848</v>
      </c>
      <c r="AN176" s="1" t="s">
        <v>466</v>
      </c>
      <c r="AO176" s="1" t="s">
        <v>4918</v>
      </c>
      <c r="AP176" s="1">
        <v>0</v>
      </c>
      <c r="AQ176" s="1" t="s">
        <v>1799</v>
      </c>
      <c r="AR176" s="1" t="s">
        <v>1193</v>
      </c>
      <c r="AS176" s="1" t="s">
        <v>1194</v>
      </c>
      <c r="AT176" s="1" t="s">
        <v>330</v>
      </c>
      <c r="AU176" s="1">
        <v>180</v>
      </c>
      <c r="AV176" s="1">
        <v>0</v>
      </c>
      <c r="AW176" s="1" t="s">
        <v>5053</v>
      </c>
      <c r="AX176" s="1" t="s">
        <v>5189</v>
      </c>
      <c r="AY176" s="1">
        <v>4</v>
      </c>
      <c r="AZ176" s="1">
        <v>0</v>
      </c>
      <c r="BA176" s="1" t="s">
        <v>330</v>
      </c>
      <c r="BB176" s="1" t="s">
        <v>5193</v>
      </c>
      <c r="BC176" s="1" t="s">
        <v>4855</v>
      </c>
      <c r="BD176" s="1">
        <v>10402</v>
      </c>
      <c r="BE176" s="1"/>
    </row>
    <row r="177" spans="1:57" x14ac:dyDescent="0.25">
      <c r="A177" s="1">
        <v>181</v>
      </c>
      <c r="B177" s="1" t="s">
        <v>3476</v>
      </c>
      <c r="C177" s="9" t="s">
        <v>160</v>
      </c>
      <c r="D177" s="1" t="s">
        <v>160</v>
      </c>
      <c r="E177" s="1"/>
      <c r="F177" s="1"/>
      <c r="G177" s="1" t="s">
        <v>3477</v>
      </c>
      <c r="H177" s="1" t="s">
        <v>3478</v>
      </c>
      <c r="I177" s="1" t="s">
        <v>3479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330</v>
      </c>
      <c r="AK177" s="1" t="s">
        <v>330</v>
      </c>
      <c r="AL177" s="1">
        <v>12</v>
      </c>
      <c r="AM177" s="1" t="s">
        <v>4805</v>
      </c>
      <c r="AN177" s="1" t="s">
        <v>5194</v>
      </c>
      <c r="AO177" s="1" t="s">
        <v>5195</v>
      </c>
      <c r="AP177" s="1">
        <v>0</v>
      </c>
      <c r="AQ177" s="1" t="s">
        <v>1182</v>
      </c>
      <c r="AR177" s="1" t="s">
        <v>1206</v>
      </c>
      <c r="AS177" s="1" t="s">
        <v>1181</v>
      </c>
      <c r="AT177" s="1" t="s">
        <v>330</v>
      </c>
      <c r="AU177" s="1">
        <v>181</v>
      </c>
      <c r="AV177" s="1">
        <v>0</v>
      </c>
      <c r="AW177" s="1" t="s">
        <v>5196</v>
      </c>
      <c r="AX177" s="1" t="s">
        <v>333</v>
      </c>
      <c r="AY177" s="1">
        <v>5</v>
      </c>
      <c r="AZ177" s="1">
        <v>0</v>
      </c>
      <c r="BA177" s="1" t="s">
        <v>330</v>
      </c>
      <c r="BB177" s="1" t="s">
        <v>5197</v>
      </c>
      <c r="BC177" s="1" t="s">
        <v>4869</v>
      </c>
      <c r="BD177" s="1">
        <v>10203</v>
      </c>
      <c r="BE177" s="1"/>
    </row>
    <row r="178" spans="1:57" x14ac:dyDescent="0.25">
      <c r="A178" s="1">
        <v>182</v>
      </c>
      <c r="B178" s="1" t="s">
        <v>3480</v>
      </c>
      <c r="C178" s="9" t="s">
        <v>3481</v>
      </c>
      <c r="D178" s="1" t="s">
        <v>3481</v>
      </c>
      <c r="E178" s="1"/>
      <c r="F178" s="1"/>
      <c r="G178" s="1" t="s">
        <v>3482</v>
      </c>
      <c r="H178" s="1" t="s">
        <v>3483</v>
      </c>
      <c r="I178" s="1" t="s">
        <v>3484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1177</v>
      </c>
      <c r="AK178" s="1" t="s">
        <v>330</v>
      </c>
      <c r="AL178" s="1">
        <v>13</v>
      </c>
      <c r="AM178" s="1" t="s">
        <v>4848</v>
      </c>
      <c r="AN178" s="1" t="s">
        <v>467</v>
      </c>
      <c r="AO178" s="1" t="s">
        <v>4912</v>
      </c>
      <c r="AP178" s="1">
        <v>0</v>
      </c>
      <c r="AQ178" s="1" t="s">
        <v>1192</v>
      </c>
      <c r="AR178" s="1" t="s">
        <v>1193</v>
      </c>
      <c r="AS178" s="1" t="s">
        <v>1194</v>
      </c>
      <c r="AT178" s="1" t="s">
        <v>330</v>
      </c>
      <c r="AU178" s="1">
        <v>182</v>
      </c>
      <c r="AV178" s="1">
        <v>0</v>
      </c>
      <c r="AW178" s="1" t="s">
        <v>5198</v>
      </c>
      <c r="AX178" s="1" t="s">
        <v>5187</v>
      </c>
      <c r="AY178" s="1">
        <v>3</v>
      </c>
      <c r="AZ178" s="1">
        <v>0</v>
      </c>
      <c r="BA178" s="1" t="s">
        <v>330</v>
      </c>
      <c r="BB178" s="1" t="s">
        <v>477</v>
      </c>
      <c r="BC178" s="1" t="s">
        <v>330</v>
      </c>
      <c r="BD178" s="1">
        <v>10704</v>
      </c>
      <c r="BE178" s="1"/>
    </row>
    <row r="179" spans="1:57" x14ac:dyDescent="0.25">
      <c r="A179" s="1">
        <v>183</v>
      </c>
      <c r="B179" s="1" t="s">
        <v>3485</v>
      </c>
      <c r="C179" s="9" t="s">
        <v>161</v>
      </c>
      <c r="D179" s="1" t="s">
        <v>161</v>
      </c>
      <c r="E179" s="1"/>
      <c r="F179" s="1"/>
      <c r="G179" s="1" t="s">
        <v>3486</v>
      </c>
      <c r="H179" s="1" t="s">
        <v>3487</v>
      </c>
      <c r="I179" s="1" t="s">
        <v>3488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1265</v>
      </c>
      <c r="AK179" s="1" t="s">
        <v>1266</v>
      </c>
      <c r="AL179" s="1">
        <v>13</v>
      </c>
      <c r="AM179" s="1" t="s">
        <v>1891</v>
      </c>
      <c r="AN179" s="1" t="s">
        <v>4866</v>
      </c>
      <c r="AO179" s="1" t="s">
        <v>4837</v>
      </c>
      <c r="AP179" s="1">
        <v>0</v>
      </c>
      <c r="AQ179" s="1" t="s">
        <v>1170</v>
      </c>
      <c r="AR179" s="1" t="s">
        <v>1267</v>
      </c>
      <c r="AS179" s="1" t="s">
        <v>1172</v>
      </c>
      <c r="AT179" s="1" t="s">
        <v>330</v>
      </c>
      <c r="AU179" s="1">
        <v>183</v>
      </c>
      <c r="AV179" s="1">
        <v>0</v>
      </c>
      <c r="AW179" s="1" t="s">
        <v>5196</v>
      </c>
      <c r="AX179" s="1" t="s">
        <v>4848</v>
      </c>
      <c r="AY179" s="1">
        <v>5</v>
      </c>
      <c r="AZ179" s="1">
        <v>0</v>
      </c>
      <c r="BA179" s="1" t="s">
        <v>330</v>
      </c>
      <c r="BB179" s="1" t="s">
        <v>330</v>
      </c>
      <c r="BC179" s="1" t="s">
        <v>4806</v>
      </c>
      <c r="BD179" s="1">
        <v>10203</v>
      </c>
      <c r="BE179" s="1"/>
    </row>
    <row r="180" spans="1:57" x14ac:dyDescent="0.25">
      <c r="A180" s="1">
        <v>184</v>
      </c>
      <c r="B180" s="1" t="s">
        <v>3489</v>
      </c>
      <c r="C180" s="9" t="s">
        <v>1691</v>
      </c>
      <c r="D180" s="1" t="s">
        <v>1691</v>
      </c>
      <c r="E180" s="1"/>
      <c r="F180" s="1"/>
      <c r="G180" s="1" t="s">
        <v>3490</v>
      </c>
      <c r="H180" s="1" t="s">
        <v>3491</v>
      </c>
      <c r="I180" s="1" t="s">
        <v>3492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330</v>
      </c>
      <c r="AK180" s="1" t="s">
        <v>330</v>
      </c>
      <c r="AL180" s="1">
        <v>13</v>
      </c>
      <c r="AM180" s="1" t="s">
        <v>4848</v>
      </c>
      <c r="AN180" s="1" t="s">
        <v>5199</v>
      </c>
      <c r="AO180" s="1" t="s">
        <v>4918</v>
      </c>
      <c r="AP180" s="1">
        <v>0</v>
      </c>
      <c r="AQ180" s="1" t="s">
        <v>1192</v>
      </c>
      <c r="AR180" s="1" t="s">
        <v>1193</v>
      </c>
      <c r="AS180" s="1" t="s">
        <v>1194</v>
      </c>
      <c r="AT180" s="1" t="s">
        <v>330</v>
      </c>
      <c r="AU180" s="1">
        <v>184</v>
      </c>
      <c r="AV180" s="1">
        <v>0</v>
      </c>
      <c r="AW180" s="1" t="s">
        <v>5196</v>
      </c>
      <c r="AX180" s="1" t="s">
        <v>333</v>
      </c>
      <c r="AY180" s="1">
        <v>4</v>
      </c>
      <c r="AZ180" s="1">
        <v>0</v>
      </c>
      <c r="BA180" s="1" t="s">
        <v>330</v>
      </c>
      <c r="BB180" s="1" t="s">
        <v>1778</v>
      </c>
      <c r="BC180" s="1" t="s">
        <v>4843</v>
      </c>
      <c r="BD180" s="1">
        <v>10302</v>
      </c>
      <c r="BE180" s="1"/>
    </row>
    <row r="181" spans="1:57" x14ac:dyDescent="0.25">
      <c r="A181" s="1">
        <v>185</v>
      </c>
      <c r="B181" s="1" t="s">
        <v>3493</v>
      </c>
      <c r="C181" s="9" t="s">
        <v>162</v>
      </c>
      <c r="D181" s="1" t="s">
        <v>162</v>
      </c>
      <c r="E181" s="1"/>
      <c r="F181" s="1"/>
      <c r="G181" s="1" t="s">
        <v>3494</v>
      </c>
      <c r="H181" s="1" t="s">
        <v>3495</v>
      </c>
      <c r="I181" s="1" t="s">
        <v>3496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1268</v>
      </c>
      <c r="AK181" s="1" t="s">
        <v>330</v>
      </c>
      <c r="AL181" s="1">
        <v>18</v>
      </c>
      <c r="AM181" s="1" t="s">
        <v>4944</v>
      </c>
      <c r="AN181" s="1" t="s">
        <v>5070</v>
      </c>
      <c r="AO181" s="1" t="s">
        <v>5200</v>
      </c>
      <c r="AP181" s="1">
        <v>0</v>
      </c>
      <c r="AQ181" s="1" t="s">
        <v>1219</v>
      </c>
      <c r="AR181" s="1" t="s">
        <v>1220</v>
      </c>
      <c r="AS181" s="1" t="s">
        <v>4998</v>
      </c>
      <c r="AT181" s="1" t="s">
        <v>330</v>
      </c>
      <c r="AU181" s="1">
        <v>185</v>
      </c>
      <c r="AV181" s="1">
        <v>0</v>
      </c>
      <c r="AW181" s="1" t="s">
        <v>5196</v>
      </c>
      <c r="AX181" s="1" t="s">
        <v>333</v>
      </c>
      <c r="AY181" s="1">
        <v>4</v>
      </c>
      <c r="AZ181" s="1">
        <v>0</v>
      </c>
      <c r="BA181" s="1" t="s">
        <v>330</v>
      </c>
      <c r="BB181" s="1" t="s">
        <v>5009</v>
      </c>
      <c r="BC181" s="1" t="s">
        <v>330</v>
      </c>
      <c r="BD181" s="1">
        <v>10704</v>
      </c>
      <c r="BE181" s="1"/>
    </row>
    <row r="182" spans="1:57" x14ac:dyDescent="0.25">
      <c r="A182" s="1">
        <v>186</v>
      </c>
      <c r="B182" s="1" t="s">
        <v>3497</v>
      </c>
      <c r="C182" s="9" t="s">
        <v>163</v>
      </c>
      <c r="D182" s="1" t="s">
        <v>163</v>
      </c>
      <c r="E182" s="1"/>
      <c r="F182" s="1"/>
      <c r="G182" s="1" t="s">
        <v>3498</v>
      </c>
      <c r="H182" s="1" t="s">
        <v>3499</v>
      </c>
      <c r="I182" s="1" t="s">
        <v>3500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1177</v>
      </c>
      <c r="AK182" s="1" t="s">
        <v>330</v>
      </c>
      <c r="AL182" s="1">
        <v>13</v>
      </c>
      <c r="AM182" s="1" t="s">
        <v>1891</v>
      </c>
      <c r="AN182" s="1" t="s">
        <v>4859</v>
      </c>
      <c r="AO182" s="1" t="s">
        <v>4895</v>
      </c>
      <c r="AP182" s="1">
        <v>0</v>
      </c>
      <c r="AQ182" s="1" t="s">
        <v>1170</v>
      </c>
      <c r="AR182" s="1" t="s">
        <v>1171</v>
      </c>
      <c r="AS182" s="1" t="s">
        <v>1172</v>
      </c>
      <c r="AT182" s="1" t="s">
        <v>330</v>
      </c>
      <c r="AU182" s="1">
        <v>186</v>
      </c>
      <c r="AV182" s="1">
        <v>0</v>
      </c>
      <c r="AW182" s="1" t="s">
        <v>5201</v>
      </c>
      <c r="AX182" s="1" t="s">
        <v>5202</v>
      </c>
      <c r="AY182" s="1">
        <v>3</v>
      </c>
      <c r="AZ182" s="1">
        <v>0</v>
      </c>
      <c r="BA182" s="1" t="s">
        <v>330</v>
      </c>
      <c r="BB182" s="1" t="s">
        <v>330</v>
      </c>
      <c r="BC182" s="1" t="s">
        <v>4855</v>
      </c>
      <c r="BD182" s="1">
        <v>10703</v>
      </c>
      <c r="BE182" s="1"/>
    </row>
    <row r="183" spans="1:57" x14ac:dyDescent="0.25">
      <c r="A183" s="1">
        <v>187</v>
      </c>
      <c r="B183" s="1" t="s">
        <v>3501</v>
      </c>
      <c r="C183" s="9" t="s">
        <v>231</v>
      </c>
      <c r="D183" s="1" t="s">
        <v>231</v>
      </c>
      <c r="E183" s="1"/>
      <c r="F183" s="1"/>
      <c r="G183" s="1" t="s">
        <v>3502</v>
      </c>
      <c r="H183" s="1" t="s">
        <v>3503</v>
      </c>
      <c r="I183" s="1" t="s">
        <v>3504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5203</v>
      </c>
      <c r="AK183" s="1" t="s">
        <v>330</v>
      </c>
      <c r="AL183" s="1">
        <v>13</v>
      </c>
      <c r="AM183" s="1" t="s">
        <v>4805</v>
      </c>
      <c r="AN183" s="1" t="s">
        <v>4920</v>
      </c>
      <c r="AO183" s="1" t="s">
        <v>5204</v>
      </c>
      <c r="AP183" s="1">
        <v>0</v>
      </c>
      <c r="AQ183" s="1" t="s">
        <v>1182</v>
      </c>
      <c r="AR183" s="1" t="s">
        <v>1206</v>
      </c>
      <c r="AS183" s="1" t="s">
        <v>1181</v>
      </c>
      <c r="AT183" s="1" t="s">
        <v>330</v>
      </c>
      <c r="AU183" s="1">
        <v>187</v>
      </c>
      <c r="AV183" s="1">
        <v>0</v>
      </c>
      <c r="AW183" s="1" t="s">
        <v>5201</v>
      </c>
      <c r="AX183" s="1" t="s">
        <v>5205</v>
      </c>
      <c r="AY183" s="1">
        <v>4</v>
      </c>
      <c r="AZ183" s="1">
        <v>0</v>
      </c>
      <c r="BA183" s="1" t="s">
        <v>330</v>
      </c>
      <c r="BB183" s="1" t="s">
        <v>330</v>
      </c>
      <c r="BC183" s="1" t="s">
        <v>330</v>
      </c>
      <c r="BD183" s="1">
        <v>10303</v>
      </c>
      <c r="BE183" s="1"/>
    </row>
    <row r="184" spans="1:57" x14ac:dyDescent="0.25">
      <c r="A184" s="1">
        <v>188</v>
      </c>
      <c r="B184" s="1" t="s">
        <v>3505</v>
      </c>
      <c r="C184" s="9" t="s">
        <v>3506</v>
      </c>
      <c r="D184" s="1" t="s">
        <v>3506</v>
      </c>
      <c r="E184" s="1"/>
      <c r="F184" s="1"/>
      <c r="G184" s="1" t="s">
        <v>3507</v>
      </c>
      <c r="H184" s="1" t="s">
        <v>3508</v>
      </c>
      <c r="I184" s="1" t="s">
        <v>3509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1251</v>
      </c>
      <c r="AK184" s="1" t="s">
        <v>330</v>
      </c>
      <c r="AL184" s="1">
        <v>8</v>
      </c>
      <c r="AM184" s="1" t="s">
        <v>4802</v>
      </c>
      <c r="AN184" s="1" t="s">
        <v>4814</v>
      </c>
      <c r="AO184" s="1" t="s">
        <v>5028</v>
      </c>
      <c r="AP184" s="1">
        <v>0</v>
      </c>
      <c r="AQ184" s="1" t="s">
        <v>1252</v>
      </c>
      <c r="AR184" s="1" t="s">
        <v>1253</v>
      </c>
      <c r="AS184" s="1" t="s">
        <v>1254</v>
      </c>
      <c r="AT184" s="1" t="s">
        <v>330</v>
      </c>
      <c r="AU184" s="1">
        <v>188</v>
      </c>
      <c r="AV184" s="1">
        <v>0</v>
      </c>
      <c r="AW184" s="1" t="s">
        <v>5201</v>
      </c>
      <c r="AX184" s="1" t="s">
        <v>4805</v>
      </c>
      <c r="AY184" s="1">
        <v>5</v>
      </c>
      <c r="AZ184" s="1">
        <v>0</v>
      </c>
      <c r="BA184" s="1" t="s">
        <v>330</v>
      </c>
      <c r="BB184" s="1" t="s">
        <v>5206</v>
      </c>
      <c r="BC184" s="1" t="s">
        <v>4825</v>
      </c>
      <c r="BD184" s="1">
        <v>10705</v>
      </c>
      <c r="BE184" s="1"/>
    </row>
    <row r="185" spans="1:57" x14ac:dyDescent="0.25">
      <c r="A185" s="1">
        <v>189</v>
      </c>
      <c r="B185" s="1" t="s">
        <v>3510</v>
      </c>
      <c r="C185" s="9" t="s">
        <v>1692</v>
      </c>
      <c r="D185" s="1" t="s">
        <v>1692</v>
      </c>
      <c r="E185" s="1"/>
      <c r="F185" s="1"/>
      <c r="G185" s="1" t="s">
        <v>3511</v>
      </c>
      <c r="H185" s="1" t="s">
        <v>3512</v>
      </c>
      <c r="I185" s="1" t="s">
        <v>3513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1269</v>
      </c>
      <c r="AK185" s="1" t="s">
        <v>330</v>
      </c>
      <c r="AL185" s="1">
        <v>8</v>
      </c>
      <c r="AM185" s="1" t="s">
        <v>4802</v>
      </c>
      <c r="AN185" s="1" t="s">
        <v>4876</v>
      </c>
      <c r="AO185" s="1" t="s">
        <v>5149</v>
      </c>
      <c r="AP185" s="1">
        <v>0</v>
      </c>
      <c r="AQ185" s="1" t="s">
        <v>1252</v>
      </c>
      <c r="AR185" s="1" t="s">
        <v>1253</v>
      </c>
      <c r="AS185" s="1" t="s">
        <v>1254</v>
      </c>
      <c r="AT185" s="1" t="s">
        <v>330</v>
      </c>
      <c r="AU185" s="1">
        <v>189</v>
      </c>
      <c r="AV185" s="1">
        <v>0</v>
      </c>
      <c r="AW185" s="1" t="s">
        <v>5201</v>
      </c>
      <c r="AX185" s="1" t="s">
        <v>4805</v>
      </c>
      <c r="AY185" s="1">
        <v>4</v>
      </c>
      <c r="AZ185" s="1">
        <v>0</v>
      </c>
      <c r="BA185" s="1" t="s">
        <v>330</v>
      </c>
      <c r="BB185" s="1" t="s">
        <v>330</v>
      </c>
      <c r="BC185" s="1" t="s">
        <v>330</v>
      </c>
      <c r="BD185" s="1">
        <v>10704</v>
      </c>
      <c r="BE185" s="1"/>
    </row>
    <row r="186" spans="1:57" x14ac:dyDescent="0.25">
      <c r="A186" s="1">
        <v>190</v>
      </c>
      <c r="B186" s="1" t="s">
        <v>3514</v>
      </c>
      <c r="C186" s="9" t="s">
        <v>164</v>
      </c>
      <c r="D186" s="1" t="s">
        <v>164</v>
      </c>
      <c r="E186" s="1"/>
      <c r="F186" s="1"/>
      <c r="G186" s="1" t="s">
        <v>3515</v>
      </c>
      <c r="H186" s="1" t="s">
        <v>3516</v>
      </c>
      <c r="I186" s="1" t="s">
        <v>3517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5207</v>
      </c>
      <c r="AK186" s="1" t="s">
        <v>330</v>
      </c>
      <c r="AL186" s="1">
        <v>7</v>
      </c>
      <c r="AM186" s="1" t="s">
        <v>4802</v>
      </c>
      <c r="AN186" s="1" t="s">
        <v>472</v>
      </c>
      <c r="AO186" s="1" t="s">
        <v>5154</v>
      </c>
      <c r="AP186" s="1">
        <v>0</v>
      </c>
      <c r="AQ186" s="1" t="s">
        <v>1252</v>
      </c>
      <c r="AR186" s="1" t="s">
        <v>1253</v>
      </c>
      <c r="AS186" s="1" t="s">
        <v>1254</v>
      </c>
      <c r="AT186" s="1" t="s">
        <v>330</v>
      </c>
      <c r="AU186" s="1">
        <v>190</v>
      </c>
      <c r="AV186" s="1">
        <v>0</v>
      </c>
      <c r="AW186" s="1" t="s">
        <v>5201</v>
      </c>
      <c r="AX186" s="1" t="s">
        <v>4805</v>
      </c>
      <c r="AY186" s="1">
        <v>3</v>
      </c>
      <c r="AZ186" s="1">
        <v>0</v>
      </c>
      <c r="BA186" s="1" t="s">
        <v>330</v>
      </c>
      <c r="BB186" s="1" t="s">
        <v>330</v>
      </c>
      <c r="BC186" s="1" t="s">
        <v>330</v>
      </c>
      <c r="BD186" s="1">
        <v>10704</v>
      </c>
      <c r="BE186" s="1"/>
    </row>
    <row r="187" spans="1:57" x14ac:dyDescent="0.25">
      <c r="A187" s="1">
        <v>191</v>
      </c>
      <c r="B187" s="1" t="s">
        <v>3518</v>
      </c>
      <c r="C187" s="9" t="s">
        <v>165</v>
      </c>
      <c r="D187" s="1" t="s">
        <v>165</v>
      </c>
      <c r="E187" s="1"/>
      <c r="F187" s="1"/>
      <c r="G187" s="1" t="s">
        <v>3519</v>
      </c>
      <c r="H187" s="1" t="s">
        <v>3520</v>
      </c>
      <c r="I187" s="1" t="s">
        <v>3521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1173</v>
      </c>
      <c r="AK187" s="1" t="s">
        <v>330</v>
      </c>
      <c r="AL187" s="1">
        <v>13</v>
      </c>
      <c r="AM187" s="1" t="s">
        <v>4876</v>
      </c>
      <c r="AN187" s="1" t="s">
        <v>4881</v>
      </c>
      <c r="AO187" s="1" t="s">
        <v>5208</v>
      </c>
      <c r="AP187" s="1">
        <v>0</v>
      </c>
      <c r="AQ187" s="1" t="s">
        <v>1181</v>
      </c>
      <c r="AR187" s="1" t="s">
        <v>1171</v>
      </c>
      <c r="AS187" s="1" t="s">
        <v>1182</v>
      </c>
      <c r="AT187" s="1" t="s">
        <v>330</v>
      </c>
      <c r="AU187" s="1">
        <v>191</v>
      </c>
      <c r="AV187" s="1">
        <v>0</v>
      </c>
      <c r="AW187" s="1" t="s">
        <v>5209</v>
      </c>
      <c r="AX187" s="1" t="s">
        <v>5210</v>
      </c>
      <c r="AY187" s="1">
        <v>3</v>
      </c>
      <c r="AZ187" s="1">
        <v>0</v>
      </c>
      <c r="BA187" s="1" t="s">
        <v>330</v>
      </c>
      <c r="BB187" s="1" t="s">
        <v>372</v>
      </c>
      <c r="BC187" s="1" t="s">
        <v>4825</v>
      </c>
      <c r="BD187" s="1">
        <v>10704</v>
      </c>
      <c r="BE187" s="1"/>
    </row>
    <row r="188" spans="1:57" x14ac:dyDescent="0.25">
      <c r="A188" s="1">
        <v>192</v>
      </c>
      <c r="B188" s="1" t="s">
        <v>3522</v>
      </c>
      <c r="C188" s="9" t="s">
        <v>166</v>
      </c>
      <c r="D188" s="1" t="s">
        <v>3523</v>
      </c>
      <c r="E188" s="1"/>
      <c r="F188" s="1"/>
      <c r="G188" s="1" t="s">
        <v>3524</v>
      </c>
      <c r="H188" s="1" t="s">
        <v>3525</v>
      </c>
      <c r="I188" s="1" t="s">
        <v>3526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1264</v>
      </c>
      <c r="AK188" s="1" t="s">
        <v>330</v>
      </c>
      <c r="AL188" s="1">
        <v>13</v>
      </c>
      <c r="AM188" s="1" t="s">
        <v>4848</v>
      </c>
      <c r="AN188" s="1" t="s">
        <v>4920</v>
      </c>
      <c r="AO188" s="1" t="s">
        <v>4931</v>
      </c>
      <c r="AP188" s="1">
        <v>0</v>
      </c>
      <c r="AQ188" s="1" t="s">
        <v>1192</v>
      </c>
      <c r="AR188" s="1" t="s">
        <v>1193</v>
      </c>
      <c r="AS188" s="1" t="s">
        <v>1194</v>
      </c>
      <c r="AT188" s="1" t="s">
        <v>330</v>
      </c>
      <c r="AU188" s="1">
        <v>192</v>
      </c>
      <c r="AV188" s="1">
        <v>0</v>
      </c>
      <c r="AW188" s="1" t="s">
        <v>5209</v>
      </c>
      <c r="AX188" s="1" t="s">
        <v>5211</v>
      </c>
      <c r="AY188" s="1">
        <v>5</v>
      </c>
      <c r="AZ188" s="1">
        <v>0</v>
      </c>
      <c r="BA188" s="1" t="s">
        <v>330</v>
      </c>
      <c r="BB188" s="1" t="s">
        <v>5212</v>
      </c>
      <c r="BC188" s="1" t="s">
        <v>4869</v>
      </c>
      <c r="BD188" s="1">
        <v>10403</v>
      </c>
      <c r="BE188" s="1"/>
    </row>
    <row r="189" spans="1:57" x14ac:dyDescent="0.25">
      <c r="A189" s="1">
        <v>193</v>
      </c>
      <c r="B189" s="1" t="s">
        <v>3527</v>
      </c>
      <c r="C189" s="9" t="s">
        <v>167</v>
      </c>
      <c r="D189" s="1" t="s">
        <v>167</v>
      </c>
      <c r="E189" s="1"/>
      <c r="F189" s="1"/>
      <c r="G189" s="1" t="s">
        <v>3528</v>
      </c>
      <c r="H189" s="1" t="s">
        <v>3529</v>
      </c>
      <c r="I189" s="1" t="s">
        <v>3530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1177</v>
      </c>
      <c r="AK189" s="1" t="s">
        <v>330</v>
      </c>
      <c r="AL189" s="1">
        <v>13</v>
      </c>
      <c r="AM189" s="1" t="s">
        <v>4805</v>
      </c>
      <c r="AN189" s="1" t="s">
        <v>4915</v>
      </c>
      <c r="AO189" s="1" t="s">
        <v>4961</v>
      </c>
      <c r="AP189" s="1">
        <v>0</v>
      </c>
      <c r="AQ189" s="1" t="s">
        <v>1182</v>
      </c>
      <c r="AR189" s="1" t="s">
        <v>1206</v>
      </c>
      <c r="AS189" s="1" t="s">
        <v>1181</v>
      </c>
      <c r="AT189" s="1" t="s">
        <v>330</v>
      </c>
      <c r="AU189" s="1">
        <v>193</v>
      </c>
      <c r="AV189" s="1">
        <v>0</v>
      </c>
      <c r="AW189" s="1" t="s">
        <v>5213</v>
      </c>
      <c r="AX189" s="1" t="s">
        <v>5214</v>
      </c>
      <c r="AY189" s="1">
        <v>3</v>
      </c>
      <c r="AZ189" s="1">
        <v>0</v>
      </c>
      <c r="BA189" s="1" t="s">
        <v>330</v>
      </c>
      <c r="BB189" s="1" t="s">
        <v>5038</v>
      </c>
      <c r="BC189" s="1" t="s">
        <v>4869</v>
      </c>
      <c r="BD189" s="1">
        <v>10704</v>
      </c>
      <c r="BE189" s="1"/>
    </row>
    <row r="190" spans="1:57" x14ac:dyDescent="0.25">
      <c r="A190" s="1">
        <v>194</v>
      </c>
      <c r="B190" s="1" t="s">
        <v>3531</v>
      </c>
      <c r="C190" s="9" t="s">
        <v>168</v>
      </c>
      <c r="D190" s="1" t="s">
        <v>168</v>
      </c>
      <c r="E190" s="1"/>
      <c r="F190" s="1"/>
      <c r="G190" s="1" t="s">
        <v>3532</v>
      </c>
      <c r="H190" s="1" t="s">
        <v>3533</v>
      </c>
      <c r="I190" s="1" t="s">
        <v>3534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1270</v>
      </c>
      <c r="AK190" s="1" t="s">
        <v>1271</v>
      </c>
      <c r="AL190" s="1">
        <v>13</v>
      </c>
      <c r="AM190" s="1" t="s">
        <v>4805</v>
      </c>
      <c r="AN190" s="1" t="s">
        <v>4920</v>
      </c>
      <c r="AO190" s="1" t="s">
        <v>5088</v>
      </c>
      <c r="AP190" s="1">
        <v>0</v>
      </c>
      <c r="AQ190" s="1" t="s">
        <v>1182</v>
      </c>
      <c r="AR190" s="1" t="s">
        <v>1206</v>
      </c>
      <c r="AS190" s="1" t="s">
        <v>1181</v>
      </c>
      <c r="AT190" s="1" t="s">
        <v>330</v>
      </c>
      <c r="AU190" s="1">
        <v>194</v>
      </c>
      <c r="AV190" s="1">
        <v>0</v>
      </c>
      <c r="AW190" s="1" t="s">
        <v>5215</v>
      </c>
      <c r="AX190" s="1" t="s">
        <v>333</v>
      </c>
      <c r="AY190" s="1">
        <v>5</v>
      </c>
      <c r="AZ190" s="1">
        <v>0</v>
      </c>
      <c r="BA190" s="1" t="s">
        <v>330</v>
      </c>
      <c r="BB190" s="1" t="s">
        <v>330</v>
      </c>
      <c r="BC190" s="1" t="s">
        <v>330</v>
      </c>
      <c r="BD190" s="1">
        <v>10202</v>
      </c>
      <c r="BE190" s="1"/>
    </row>
    <row r="191" spans="1:57" x14ac:dyDescent="0.25">
      <c r="A191" s="1">
        <v>195</v>
      </c>
      <c r="B191" s="1" t="s">
        <v>3535</v>
      </c>
      <c r="C191" s="9" t="s">
        <v>232</v>
      </c>
      <c r="D191" s="1" t="s">
        <v>232</v>
      </c>
      <c r="E191" s="1"/>
      <c r="F191" s="1"/>
      <c r="G191" s="1" t="s">
        <v>3536</v>
      </c>
      <c r="H191" s="1" t="s">
        <v>3537</v>
      </c>
      <c r="I191" s="1" t="s">
        <v>3538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1222</v>
      </c>
      <c r="AK191" s="1" t="s">
        <v>330</v>
      </c>
      <c r="AL191" s="1">
        <v>18</v>
      </c>
      <c r="AM191" s="1" t="s">
        <v>4944</v>
      </c>
      <c r="AN191" s="1" t="s">
        <v>5023</v>
      </c>
      <c r="AO191" s="1" t="s">
        <v>5216</v>
      </c>
      <c r="AP191" s="1">
        <v>0</v>
      </c>
      <c r="AQ191" s="1" t="s">
        <v>1219</v>
      </c>
      <c r="AR191" s="1" t="s">
        <v>1220</v>
      </c>
      <c r="AS191" s="1" t="s">
        <v>1221</v>
      </c>
      <c r="AT191" s="1" t="s">
        <v>330</v>
      </c>
      <c r="AU191" s="1">
        <v>195</v>
      </c>
      <c r="AV191" s="1">
        <v>0</v>
      </c>
      <c r="AW191" s="1" t="s">
        <v>5217</v>
      </c>
      <c r="AX191" s="1" t="s">
        <v>5218</v>
      </c>
      <c r="AY191" s="1">
        <v>3</v>
      </c>
      <c r="AZ191" s="1">
        <v>0</v>
      </c>
      <c r="BA191" s="1" t="s">
        <v>330</v>
      </c>
      <c r="BB191" s="1" t="s">
        <v>4879</v>
      </c>
      <c r="BC191" s="1" t="s">
        <v>4855</v>
      </c>
      <c r="BD191" s="1">
        <v>10704</v>
      </c>
      <c r="BE191" s="1"/>
    </row>
    <row r="192" spans="1:57" x14ac:dyDescent="0.25">
      <c r="A192" s="1">
        <v>196</v>
      </c>
      <c r="B192" s="1" t="s">
        <v>3539</v>
      </c>
      <c r="C192" s="9" t="s">
        <v>169</v>
      </c>
      <c r="D192" s="1" t="s">
        <v>3540</v>
      </c>
      <c r="E192" s="1"/>
      <c r="F192" s="1"/>
      <c r="G192" s="1" t="s">
        <v>3541</v>
      </c>
      <c r="H192" s="1" t="s">
        <v>3542</v>
      </c>
      <c r="I192" s="1" t="s">
        <v>3543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1272</v>
      </c>
      <c r="AK192" s="1" t="s">
        <v>1273</v>
      </c>
      <c r="AL192" s="1">
        <v>13</v>
      </c>
      <c r="AM192" s="1" t="s">
        <v>4805</v>
      </c>
      <c r="AN192" s="1" t="s">
        <v>4920</v>
      </c>
      <c r="AO192" s="1" t="s">
        <v>5219</v>
      </c>
      <c r="AP192" s="1">
        <v>0</v>
      </c>
      <c r="AQ192" s="1" t="s">
        <v>1182</v>
      </c>
      <c r="AR192" s="1" t="s">
        <v>1206</v>
      </c>
      <c r="AS192" s="1" t="s">
        <v>1181</v>
      </c>
      <c r="AT192" s="1" t="s">
        <v>330</v>
      </c>
      <c r="AU192" s="1">
        <v>196</v>
      </c>
      <c r="AV192" s="1">
        <v>0</v>
      </c>
      <c r="AW192" s="1" t="s">
        <v>5119</v>
      </c>
      <c r="AX192" s="1" t="s">
        <v>333</v>
      </c>
      <c r="AY192" s="1">
        <v>5</v>
      </c>
      <c r="AZ192" s="1">
        <v>0</v>
      </c>
      <c r="BA192" s="1" t="s">
        <v>330</v>
      </c>
      <c r="BB192" s="1" t="s">
        <v>4967</v>
      </c>
      <c r="BC192" s="1" t="s">
        <v>330</v>
      </c>
      <c r="BD192" s="1">
        <v>10802</v>
      </c>
      <c r="BE192" s="1"/>
    </row>
    <row r="193" spans="1:57" x14ac:dyDescent="0.25">
      <c r="A193" s="1">
        <v>197</v>
      </c>
      <c r="B193" s="1" t="s">
        <v>3544</v>
      </c>
      <c r="C193" s="9" t="s">
        <v>170</v>
      </c>
      <c r="D193" s="1" t="s">
        <v>3545</v>
      </c>
      <c r="E193" s="1"/>
      <c r="F193" s="1"/>
      <c r="G193" s="1" t="s">
        <v>3546</v>
      </c>
      <c r="H193" s="1" t="s">
        <v>3547</v>
      </c>
      <c r="I193" s="1" t="s">
        <v>3548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1274</v>
      </c>
      <c r="AK193" s="1" t="s">
        <v>1275</v>
      </c>
      <c r="AL193" s="1">
        <v>17</v>
      </c>
      <c r="AM193" s="1" t="s">
        <v>478</v>
      </c>
      <c r="AN193" s="1" t="s">
        <v>5220</v>
      </c>
      <c r="AO193" s="1" t="s">
        <v>340</v>
      </c>
      <c r="AP193" s="1">
        <v>0</v>
      </c>
      <c r="AQ193" s="1" t="s">
        <v>1192</v>
      </c>
      <c r="AR193" s="1" t="s">
        <v>1193</v>
      </c>
      <c r="AS193" s="1" t="s">
        <v>1194</v>
      </c>
      <c r="AT193" s="1" t="s">
        <v>330</v>
      </c>
      <c r="AU193" s="1">
        <v>197</v>
      </c>
      <c r="AV193" s="1">
        <v>0</v>
      </c>
      <c r="AW193" s="1" t="s">
        <v>5119</v>
      </c>
      <c r="AX193" s="1" t="s">
        <v>333</v>
      </c>
      <c r="AY193" s="1">
        <v>5</v>
      </c>
      <c r="AZ193" s="1">
        <v>0</v>
      </c>
      <c r="BA193" s="1" t="s">
        <v>330</v>
      </c>
      <c r="BB193" s="1" t="s">
        <v>330</v>
      </c>
      <c r="BC193" s="1" t="s">
        <v>4825</v>
      </c>
      <c r="BD193" s="1">
        <v>10203</v>
      </c>
      <c r="BE193" s="1"/>
    </row>
    <row r="194" spans="1:57" x14ac:dyDescent="0.25">
      <c r="A194" s="1">
        <v>198</v>
      </c>
      <c r="B194" s="1" t="s">
        <v>3549</v>
      </c>
      <c r="C194" s="9" t="s">
        <v>171</v>
      </c>
      <c r="D194" s="1" t="s">
        <v>3550</v>
      </c>
      <c r="E194" s="1"/>
      <c r="F194" s="1"/>
      <c r="G194" s="1" t="s">
        <v>3551</v>
      </c>
      <c r="H194" s="1" t="s">
        <v>3552</v>
      </c>
      <c r="I194" s="1" t="s">
        <v>3553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1276</v>
      </c>
      <c r="AK194" s="1" t="s">
        <v>1277</v>
      </c>
      <c r="AL194" s="1">
        <v>19</v>
      </c>
      <c r="AM194" s="1" t="s">
        <v>478</v>
      </c>
      <c r="AN194" s="1" t="s">
        <v>4923</v>
      </c>
      <c r="AO194" s="1" t="s">
        <v>340</v>
      </c>
      <c r="AP194" s="1">
        <v>0</v>
      </c>
      <c r="AQ194" s="1" t="s">
        <v>1192</v>
      </c>
      <c r="AR194" s="1" t="s">
        <v>1193</v>
      </c>
      <c r="AS194" s="1" t="s">
        <v>1194</v>
      </c>
      <c r="AT194" s="1" t="s">
        <v>330</v>
      </c>
      <c r="AU194" s="1">
        <v>198</v>
      </c>
      <c r="AV194" s="1">
        <v>0</v>
      </c>
      <c r="AW194" s="1" t="s">
        <v>5119</v>
      </c>
      <c r="AX194" s="1" t="s">
        <v>333</v>
      </c>
      <c r="AY194" s="1">
        <v>5</v>
      </c>
      <c r="AZ194" s="1">
        <v>0</v>
      </c>
      <c r="BA194" s="1" t="s">
        <v>330</v>
      </c>
      <c r="BB194" s="1" t="s">
        <v>5221</v>
      </c>
      <c r="BC194" s="1" t="s">
        <v>4825</v>
      </c>
      <c r="BD194" s="1">
        <v>10203</v>
      </c>
      <c r="BE194" s="1"/>
    </row>
    <row r="195" spans="1:57" x14ac:dyDescent="0.25">
      <c r="A195" s="1">
        <v>199</v>
      </c>
      <c r="B195" s="1" t="s">
        <v>3554</v>
      </c>
      <c r="C195" s="9" t="s">
        <v>795</v>
      </c>
      <c r="D195" s="1" t="s">
        <v>3555</v>
      </c>
      <c r="E195" s="1"/>
      <c r="F195" s="1"/>
      <c r="G195" s="1" t="s">
        <v>3556</v>
      </c>
      <c r="H195" s="1" t="s">
        <v>3557</v>
      </c>
      <c r="I195" s="1" t="s">
        <v>3558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1218</v>
      </c>
      <c r="AK195" s="1" t="s">
        <v>1278</v>
      </c>
      <c r="AL195" s="1">
        <v>19</v>
      </c>
      <c r="AM195" s="1" t="s">
        <v>4944</v>
      </c>
      <c r="AN195" s="1" t="s">
        <v>5222</v>
      </c>
      <c r="AO195" s="1" t="s">
        <v>5028</v>
      </c>
      <c r="AP195" s="1">
        <v>0</v>
      </c>
      <c r="AQ195" s="1" t="s">
        <v>5098</v>
      </c>
      <c r="AR195" s="1" t="s">
        <v>1220</v>
      </c>
      <c r="AS195" s="1" t="s">
        <v>1221</v>
      </c>
      <c r="AT195" s="1" t="s">
        <v>330</v>
      </c>
      <c r="AU195" s="1">
        <v>199</v>
      </c>
      <c r="AV195" s="1">
        <v>0</v>
      </c>
      <c r="AW195" s="1" t="s">
        <v>5119</v>
      </c>
      <c r="AX195" s="1" t="s">
        <v>333</v>
      </c>
      <c r="AY195" s="1">
        <v>4</v>
      </c>
      <c r="AZ195" s="1">
        <v>0</v>
      </c>
      <c r="BA195" s="1" t="s">
        <v>4829</v>
      </c>
      <c r="BB195" s="1" t="s">
        <v>5223</v>
      </c>
      <c r="BC195" s="1" t="s">
        <v>4869</v>
      </c>
      <c r="BD195" s="1">
        <v>10704</v>
      </c>
      <c r="BE195" s="1"/>
    </row>
    <row r="196" spans="1:57" x14ac:dyDescent="0.25">
      <c r="A196" s="1">
        <v>200</v>
      </c>
      <c r="B196" s="1" t="s">
        <v>3559</v>
      </c>
      <c r="C196" s="9" t="s">
        <v>172</v>
      </c>
      <c r="D196" s="1" t="s">
        <v>3560</v>
      </c>
      <c r="E196" s="1"/>
      <c r="F196" s="1"/>
      <c r="G196" s="1" t="s">
        <v>3561</v>
      </c>
      <c r="H196" s="1" t="s">
        <v>3562</v>
      </c>
      <c r="I196" s="1" t="s">
        <v>3563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1279</v>
      </c>
      <c r="AK196" s="1" t="s">
        <v>330</v>
      </c>
      <c r="AL196" s="1">
        <v>13</v>
      </c>
      <c r="AM196" s="1" t="s">
        <v>4848</v>
      </c>
      <c r="AN196" s="1" t="s">
        <v>4915</v>
      </c>
      <c r="AO196" s="1" t="s">
        <v>4918</v>
      </c>
      <c r="AP196" s="1">
        <v>0</v>
      </c>
      <c r="AQ196" s="1" t="s">
        <v>1799</v>
      </c>
      <c r="AR196" s="1" t="s">
        <v>1193</v>
      </c>
      <c r="AS196" s="1" t="s">
        <v>1194</v>
      </c>
      <c r="AT196" s="1" t="s">
        <v>330</v>
      </c>
      <c r="AU196" s="1">
        <v>200</v>
      </c>
      <c r="AV196" s="1">
        <v>0</v>
      </c>
      <c r="AW196" s="1" t="s">
        <v>5217</v>
      </c>
      <c r="AX196" s="1" t="s">
        <v>5224</v>
      </c>
      <c r="AY196" s="1">
        <v>4</v>
      </c>
      <c r="AZ196" s="1">
        <v>0</v>
      </c>
      <c r="BA196" s="1" t="s">
        <v>4829</v>
      </c>
      <c r="BB196" s="1" t="s">
        <v>330</v>
      </c>
      <c r="BC196" s="1" t="s">
        <v>4806</v>
      </c>
      <c r="BD196" s="1">
        <v>10302</v>
      </c>
      <c r="BE196" s="1"/>
    </row>
    <row r="197" spans="1:57" x14ac:dyDescent="0.25">
      <c r="A197" s="1">
        <v>201</v>
      </c>
      <c r="B197" s="1" t="s">
        <v>3564</v>
      </c>
      <c r="C197" s="9" t="s">
        <v>173</v>
      </c>
      <c r="D197" s="1" t="s">
        <v>3565</v>
      </c>
      <c r="E197" s="1"/>
      <c r="F197" s="1"/>
      <c r="G197" s="1" t="s">
        <v>3566</v>
      </c>
      <c r="H197" s="1" t="s">
        <v>3567</v>
      </c>
      <c r="I197" s="1" t="s">
        <v>3568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1247</v>
      </c>
      <c r="AK197" s="1" t="s">
        <v>330</v>
      </c>
      <c r="AL197" s="1">
        <v>13</v>
      </c>
      <c r="AM197" s="1" t="s">
        <v>4848</v>
      </c>
      <c r="AN197" s="1" t="s">
        <v>4970</v>
      </c>
      <c r="AO197" s="1" t="s">
        <v>4912</v>
      </c>
      <c r="AP197" s="1">
        <v>0</v>
      </c>
      <c r="AQ197" s="1" t="s">
        <v>1799</v>
      </c>
      <c r="AR197" s="1" t="s">
        <v>1193</v>
      </c>
      <c r="AS197" s="1" t="s">
        <v>1194</v>
      </c>
      <c r="AT197" s="1" t="s">
        <v>330</v>
      </c>
      <c r="AU197" s="1">
        <v>201</v>
      </c>
      <c r="AV197" s="1">
        <v>0</v>
      </c>
      <c r="AW197" s="1" t="s">
        <v>5225</v>
      </c>
      <c r="AX197" s="1" t="s">
        <v>4839</v>
      </c>
      <c r="AY197" s="1">
        <v>3</v>
      </c>
      <c r="AZ197" s="1">
        <v>0</v>
      </c>
      <c r="BA197" s="1" t="s">
        <v>4851</v>
      </c>
      <c r="BB197" s="1" t="s">
        <v>355</v>
      </c>
      <c r="BC197" s="1" t="s">
        <v>330</v>
      </c>
      <c r="BD197" s="1">
        <v>10701</v>
      </c>
      <c r="BE197" s="1"/>
    </row>
    <row r="198" spans="1:57" x14ac:dyDescent="0.25">
      <c r="A198" s="1">
        <v>202</v>
      </c>
      <c r="B198" s="1" t="s">
        <v>3569</v>
      </c>
      <c r="C198" s="9" t="s">
        <v>5578</v>
      </c>
      <c r="D198" s="1" t="s">
        <v>3570</v>
      </c>
      <c r="E198" s="1"/>
      <c r="F198" s="1"/>
      <c r="G198" s="1" t="s">
        <v>3571</v>
      </c>
      <c r="H198" s="1" t="s">
        <v>3572</v>
      </c>
      <c r="I198" s="1" t="s">
        <v>3573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5226</v>
      </c>
      <c r="AK198" s="1" t="s">
        <v>330</v>
      </c>
      <c r="AL198" s="1">
        <v>13</v>
      </c>
      <c r="AM198" s="1" t="s">
        <v>1891</v>
      </c>
      <c r="AN198" s="1" t="s">
        <v>4862</v>
      </c>
      <c r="AO198" s="1" t="s">
        <v>4910</v>
      </c>
      <c r="AP198" s="1">
        <v>0</v>
      </c>
      <c r="AQ198" s="1" t="s">
        <v>1170</v>
      </c>
      <c r="AR198" s="1" t="s">
        <v>1171</v>
      </c>
      <c r="AS198" s="1" t="s">
        <v>1172</v>
      </c>
      <c r="AT198" s="1" t="s">
        <v>330</v>
      </c>
      <c r="AU198" s="1">
        <v>202</v>
      </c>
      <c r="AV198" s="1">
        <v>0</v>
      </c>
      <c r="AW198" s="1" t="s">
        <v>4904</v>
      </c>
      <c r="AX198" s="1" t="s">
        <v>5187</v>
      </c>
      <c r="AY198" s="1">
        <v>4</v>
      </c>
      <c r="AZ198" s="1">
        <v>0</v>
      </c>
      <c r="BA198" s="1" t="s">
        <v>330</v>
      </c>
      <c r="BB198" s="1" t="s">
        <v>5227</v>
      </c>
      <c r="BC198" s="1" t="s">
        <v>4806</v>
      </c>
      <c r="BD198" s="1">
        <v>10202</v>
      </c>
      <c r="BE198" s="1"/>
    </row>
    <row r="199" spans="1:57" x14ac:dyDescent="0.25">
      <c r="A199" s="1">
        <v>203</v>
      </c>
      <c r="B199" s="1" t="s">
        <v>3574</v>
      </c>
      <c r="C199" s="9" t="s">
        <v>1772</v>
      </c>
      <c r="D199" s="1" t="s">
        <v>3575</v>
      </c>
      <c r="E199" s="1"/>
      <c r="F199" s="1"/>
      <c r="G199" s="1" t="s">
        <v>3576</v>
      </c>
      <c r="H199" s="1" t="s">
        <v>3577</v>
      </c>
      <c r="I199" s="1" t="s">
        <v>3578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5228</v>
      </c>
      <c r="AK199" s="1" t="s">
        <v>5229</v>
      </c>
      <c r="AL199" s="1">
        <v>12</v>
      </c>
      <c r="AM199" s="1" t="s">
        <v>4876</v>
      </c>
      <c r="AN199" s="1" t="s">
        <v>360</v>
      </c>
      <c r="AO199" s="1" t="s">
        <v>5230</v>
      </c>
      <c r="AP199" s="1">
        <v>0</v>
      </c>
      <c r="AQ199" s="1" t="s">
        <v>1797</v>
      </c>
      <c r="AR199" s="1" t="s">
        <v>1171</v>
      </c>
      <c r="AS199" s="1" t="s">
        <v>1182</v>
      </c>
      <c r="AT199" s="1" t="s">
        <v>330</v>
      </c>
      <c r="AU199" s="1">
        <v>203</v>
      </c>
      <c r="AV199" s="1">
        <v>0</v>
      </c>
      <c r="AW199" s="1" t="s">
        <v>4904</v>
      </c>
      <c r="AX199" s="1" t="s">
        <v>5231</v>
      </c>
      <c r="AY199" s="1">
        <v>4</v>
      </c>
      <c r="AZ199" s="1">
        <v>0</v>
      </c>
      <c r="BA199" s="1" t="s">
        <v>330</v>
      </c>
      <c r="BB199" s="1" t="s">
        <v>330</v>
      </c>
      <c r="BC199" s="1" t="s">
        <v>4806</v>
      </c>
      <c r="BD199" s="1">
        <v>10703</v>
      </c>
      <c r="BE199" s="1"/>
    </row>
    <row r="200" spans="1:57" x14ac:dyDescent="0.25">
      <c r="A200" s="1">
        <v>204</v>
      </c>
      <c r="B200" s="1" t="s">
        <v>3579</v>
      </c>
      <c r="C200" s="9" t="s">
        <v>174</v>
      </c>
      <c r="D200" s="1" t="s">
        <v>174</v>
      </c>
      <c r="E200" s="1"/>
      <c r="F200" s="1"/>
      <c r="G200" s="1" t="s">
        <v>3580</v>
      </c>
      <c r="H200" s="1" t="s">
        <v>3581</v>
      </c>
      <c r="I200" s="1" t="s">
        <v>3582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1280</v>
      </c>
      <c r="AK200" s="1" t="s">
        <v>1281</v>
      </c>
      <c r="AL200" s="1">
        <v>13</v>
      </c>
      <c r="AM200" s="1" t="s">
        <v>4848</v>
      </c>
      <c r="AN200" s="1" t="s">
        <v>4920</v>
      </c>
      <c r="AO200" s="1" t="s">
        <v>4931</v>
      </c>
      <c r="AP200" s="1">
        <v>0</v>
      </c>
      <c r="AQ200" s="1" t="s">
        <v>1192</v>
      </c>
      <c r="AR200" s="1" t="s">
        <v>1193</v>
      </c>
      <c r="AS200" s="1" t="s">
        <v>1194</v>
      </c>
      <c r="AT200" s="1" t="s">
        <v>330</v>
      </c>
      <c r="AU200" s="1">
        <v>204</v>
      </c>
      <c r="AV200" s="1">
        <v>0</v>
      </c>
      <c r="AW200" s="1" t="s">
        <v>4904</v>
      </c>
      <c r="AX200" s="1" t="s">
        <v>5232</v>
      </c>
      <c r="AY200" s="1">
        <v>5</v>
      </c>
      <c r="AZ200" s="1">
        <v>0</v>
      </c>
      <c r="BA200" s="1" t="s">
        <v>330</v>
      </c>
      <c r="BB200" s="1" t="s">
        <v>330</v>
      </c>
      <c r="BC200" s="1" t="s">
        <v>4939</v>
      </c>
      <c r="BD200" s="1">
        <v>10202</v>
      </c>
      <c r="BE200" s="1"/>
    </row>
    <row r="201" spans="1:57" x14ac:dyDescent="0.25">
      <c r="A201" s="1">
        <v>205</v>
      </c>
      <c r="B201" s="1" t="s">
        <v>3583</v>
      </c>
      <c r="C201" s="9" t="s">
        <v>233</v>
      </c>
      <c r="D201" s="1" t="s">
        <v>233</v>
      </c>
      <c r="E201" s="1"/>
      <c r="F201" s="1"/>
      <c r="G201" s="1" t="s">
        <v>3584</v>
      </c>
      <c r="H201" s="1" t="s">
        <v>3585</v>
      </c>
      <c r="I201" s="1" t="s">
        <v>3586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1282</v>
      </c>
      <c r="AK201" s="1" t="s">
        <v>330</v>
      </c>
      <c r="AL201" s="1">
        <v>12</v>
      </c>
      <c r="AM201" s="1" t="s">
        <v>4805</v>
      </c>
      <c r="AN201" s="1" t="s">
        <v>5233</v>
      </c>
      <c r="AO201" s="1" t="s">
        <v>5234</v>
      </c>
      <c r="AP201" s="1">
        <v>0</v>
      </c>
      <c r="AQ201" s="1" t="s">
        <v>1182</v>
      </c>
      <c r="AR201" s="1" t="s">
        <v>1206</v>
      </c>
      <c r="AS201" s="1" t="s">
        <v>1181</v>
      </c>
      <c r="AT201" s="1" t="s">
        <v>330</v>
      </c>
      <c r="AU201" s="1">
        <v>205</v>
      </c>
      <c r="AV201" s="1">
        <v>0</v>
      </c>
      <c r="AW201" s="1" t="s">
        <v>4904</v>
      </c>
      <c r="AX201" s="1" t="s">
        <v>333</v>
      </c>
      <c r="AY201" s="1">
        <v>5</v>
      </c>
      <c r="AZ201" s="1">
        <v>0</v>
      </c>
      <c r="BA201" s="1" t="s">
        <v>330</v>
      </c>
      <c r="BB201" s="1" t="s">
        <v>355</v>
      </c>
      <c r="BC201" s="1" t="s">
        <v>5235</v>
      </c>
      <c r="BD201" s="1">
        <v>10104</v>
      </c>
      <c r="BE201" s="1"/>
    </row>
    <row r="202" spans="1:57" x14ac:dyDescent="0.25">
      <c r="A202" s="1">
        <v>206</v>
      </c>
      <c r="B202" s="1" t="s">
        <v>3587</v>
      </c>
      <c r="C202" s="9" t="s">
        <v>234</v>
      </c>
      <c r="D202" s="1" t="s">
        <v>234</v>
      </c>
      <c r="E202" s="1"/>
      <c r="F202" s="1"/>
      <c r="G202" s="1" t="s">
        <v>3588</v>
      </c>
      <c r="H202" s="1" t="s">
        <v>3589</v>
      </c>
      <c r="I202" s="1" t="s">
        <v>3590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5236</v>
      </c>
      <c r="AK202" s="1" t="s">
        <v>330</v>
      </c>
      <c r="AL202" s="1">
        <v>14</v>
      </c>
      <c r="AM202" s="1" t="s">
        <v>4805</v>
      </c>
      <c r="AN202" s="1" t="s">
        <v>5237</v>
      </c>
      <c r="AO202" s="1" t="s">
        <v>5238</v>
      </c>
      <c r="AP202" s="1">
        <v>0</v>
      </c>
      <c r="AQ202" s="1" t="s">
        <v>1182</v>
      </c>
      <c r="AR202" s="1" t="s">
        <v>1206</v>
      </c>
      <c r="AS202" s="1" t="s">
        <v>1181</v>
      </c>
      <c r="AT202" s="1" t="s">
        <v>330</v>
      </c>
      <c r="AU202" s="1">
        <v>206</v>
      </c>
      <c r="AV202" s="1">
        <v>0</v>
      </c>
      <c r="AW202" s="1" t="s">
        <v>4904</v>
      </c>
      <c r="AX202" s="1" t="s">
        <v>333</v>
      </c>
      <c r="AY202" s="1">
        <v>5</v>
      </c>
      <c r="AZ202" s="1">
        <v>0</v>
      </c>
      <c r="BA202" s="1" t="s">
        <v>330</v>
      </c>
      <c r="BB202" s="1" t="s">
        <v>5239</v>
      </c>
      <c r="BC202" s="1" t="s">
        <v>5235</v>
      </c>
      <c r="BD202" s="1">
        <v>10104</v>
      </c>
      <c r="BE202" s="1"/>
    </row>
    <row r="203" spans="1:57" x14ac:dyDescent="0.25">
      <c r="A203" s="1">
        <v>207</v>
      </c>
      <c r="B203" s="1" t="s">
        <v>3591</v>
      </c>
      <c r="C203" s="9" t="s">
        <v>175</v>
      </c>
      <c r="D203" s="1" t="s">
        <v>175</v>
      </c>
      <c r="E203" s="1"/>
      <c r="F203" s="1"/>
      <c r="G203" s="1" t="s">
        <v>3592</v>
      </c>
      <c r="H203" s="1" t="s">
        <v>3593</v>
      </c>
      <c r="I203" s="1" t="s">
        <v>3594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330</v>
      </c>
      <c r="AK203" s="1" t="s">
        <v>330</v>
      </c>
      <c r="AL203" s="1">
        <v>13</v>
      </c>
      <c r="AM203" s="1" t="s">
        <v>4805</v>
      </c>
      <c r="AN203" s="1" t="s">
        <v>477</v>
      </c>
      <c r="AO203" s="1" t="s">
        <v>5084</v>
      </c>
      <c r="AP203" s="1">
        <v>0</v>
      </c>
      <c r="AQ203" s="1" t="s">
        <v>1182</v>
      </c>
      <c r="AR203" s="1" t="s">
        <v>1206</v>
      </c>
      <c r="AS203" s="1" t="s">
        <v>1181</v>
      </c>
      <c r="AT203" s="1" t="s">
        <v>330</v>
      </c>
      <c r="AU203" s="1">
        <v>207</v>
      </c>
      <c r="AV203" s="1">
        <v>0</v>
      </c>
      <c r="AW203" s="1" t="s">
        <v>4904</v>
      </c>
      <c r="AX203" s="1" t="s">
        <v>5240</v>
      </c>
      <c r="AY203" s="1">
        <v>4</v>
      </c>
      <c r="AZ203" s="1">
        <v>0</v>
      </c>
      <c r="BA203" s="1" t="s">
        <v>330</v>
      </c>
      <c r="BB203" s="1" t="s">
        <v>330</v>
      </c>
      <c r="BC203" s="1" t="s">
        <v>330</v>
      </c>
      <c r="BD203" s="1">
        <v>10703</v>
      </c>
      <c r="BE203" s="1"/>
    </row>
    <row r="204" spans="1:57" x14ac:dyDescent="0.25">
      <c r="A204" s="1">
        <v>208</v>
      </c>
      <c r="B204" s="1" t="s">
        <v>3595</v>
      </c>
      <c r="C204" s="9" t="s">
        <v>176</v>
      </c>
      <c r="D204" s="1" t="s">
        <v>176</v>
      </c>
      <c r="E204" s="1"/>
      <c r="F204" s="1"/>
      <c r="G204" s="1" t="s">
        <v>3596</v>
      </c>
      <c r="H204" s="1" t="s">
        <v>3597</v>
      </c>
      <c r="I204" s="1" t="s">
        <v>3598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1283</v>
      </c>
      <c r="AK204" s="1" t="s">
        <v>330</v>
      </c>
      <c r="AL204" s="1">
        <v>18</v>
      </c>
      <c r="AM204" s="1" t="s">
        <v>4944</v>
      </c>
      <c r="AN204" s="1" t="s">
        <v>5005</v>
      </c>
      <c r="AO204" s="1" t="s">
        <v>5241</v>
      </c>
      <c r="AP204" s="1">
        <v>0</v>
      </c>
      <c r="AQ204" s="1" t="s">
        <v>1219</v>
      </c>
      <c r="AR204" s="1" t="s">
        <v>1220</v>
      </c>
      <c r="AS204" s="1" t="s">
        <v>1221</v>
      </c>
      <c r="AT204" s="1" t="s">
        <v>330</v>
      </c>
      <c r="AU204" s="1">
        <v>208</v>
      </c>
      <c r="AV204" s="1">
        <v>0</v>
      </c>
      <c r="AW204" s="1" t="s">
        <v>4904</v>
      </c>
      <c r="AX204" s="1" t="s">
        <v>5240</v>
      </c>
      <c r="AY204" s="1">
        <v>5</v>
      </c>
      <c r="AZ204" s="1">
        <v>0</v>
      </c>
      <c r="BA204" s="1" t="s">
        <v>330</v>
      </c>
      <c r="BB204" s="1" t="s">
        <v>330</v>
      </c>
      <c r="BC204" s="1" t="s">
        <v>4855</v>
      </c>
      <c r="BD204" s="1">
        <v>10501</v>
      </c>
      <c r="BE204" s="1"/>
    </row>
    <row r="205" spans="1:57" x14ac:dyDescent="0.25">
      <c r="A205" s="1">
        <v>209</v>
      </c>
      <c r="B205" s="1" t="s">
        <v>3599</v>
      </c>
      <c r="C205" s="9" t="s">
        <v>1693</v>
      </c>
      <c r="D205" s="1" t="s">
        <v>1693</v>
      </c>
      <c r="E205" s="1"/>
      <c r="F205" s="1"/>
      <c r="G205" s="1" t="s">
        <v>3600</v>
      </c>
      <c r="H205" s="1" t="s">
        <v>3601</v>
      </c>
      <c r="I205" s="1" t="s">
        <v>3602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5242</v>
      </c>
      <c r="AK205" s="1" t="s">
        <v>330</v>
      </c>
      <c r="AL205" s="1">
        <v>13</v>
      </c>
      <c r="AM205" s="1" t="s">
        <v>4876</v>
      </c>
      <c r="AN205" s="1" t="s">
        <v>4874</v>
      </c>
      <c r="AO205" s="1" t="s">
        <v>5166</v>
      </c>
      <c r="AP205" s="1">
        <v>0</v>
      </c>
      <c r="AQ205" s="1" t="s">
        <v>1181</v>
      </c>
      <c r="AR205" s="1" t="s">
        <v>1171</v>
      </c>
      <c r="AS205" s="1" t="s">
        <v>1182</v>
      </c>
      <c r="AT205" s="1" t="s">
        <v>330</v>
      </c>
      <c r="AU205" s="1">
        <v>209</v>
      </c>
      <c r="AV205" s="1">
        <v>0</v>
      </c>
      <c r="AW205" s="1" t="s">
        <v>5243</v>
      </c>
      <c r="AX205" s="1" t="s">
        <v>4839</v>
      </c>
      <c r="AY205" s="1">
        <v>3</v>
      </c>
      <c r="AZ205" s="1">
        <v>0</v>
      </c>
      <c r="BA205" s="1" t="s">
        <v>330</v>
      </c>
      <c r="BB205" s="1" t="s">
        <v>330</v>
      </c>
      <c r="BC205" s="1" t="s">
        <v>4843</v>
      </c>
      <c r="BD205" s="1">
        <v>10704</v>
      </c>
      <c r="BE205" s="1"/>
    </row>
    <row r="206" spans="1:57" x14ac:dyDescent="0.25">
      <c r="A206" s="1">
        <v>210</v>
      </c>
      <c r="B206" s="1" t="s">
        <v>3603</v>
      </c>
      <c r="C206" s="9" t="s">
        <v>177</v>
      </c>
      <c r="D206" s="1" t="s">
        <v>177</v>
      </c>
      <c r="E206" s="1"/>
      <c r="F206" s="1"/>
      <c r="G206" s="1" t="s">
        <v>3604</v>
      </c>
      <c r="H206" s="1" t="s">
        <v>3605</v>
      </c>
      <c r="I206" s="1" t="s">
        <v>3606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1177</v>
      </c>
      <c r="AK206" s="1" t="s">
        <v>330</v>
      </c>
      <c r="AL206" s="1">
        <v>13</v>
      </c>
      <c r="AM206" s="1" t="s">
        <v>1891</v>
      </c>
      <c r="AN206" s="1" t="s">
        <v>4833</v>
      </c>
      <c r="AO206" s="1" t="s">
        <v>4834</v>
      </c>
      <c r="AP206" s="1">
        <v>0</v>
      </c>
      <c r="AQ206" s="1" t="s">
        <v>1170</v>
      </c>
      <c r="AR206" s="1" t="s">
        <v>1171</v>
      </c>
      <c r="AS206" s="1" t="s">
        <v>1172</v>
      </c>
      <c r="AT206" s="1" t="s">
        <v>330</v>
      </c>
      <c r="AU206" s="1">
        <v>210</v>
      </c>
      <c r="AV206" s="1">
        <v>0</v>
      </c>
      <c r="AW206" s="1" t="s">
        <v>5244</v>
      </c>
      <c r="AX206" s="1" t="s">
        <v>4839</v>
      </c>
      <c r="AY206" s="1">
        <v>3</v>
      </c>
      <c r="AZ206" s="1">
        <v>0</v>
      </c>
      <c r="BA206" s="1" t="s">
        <v>330</v>
      </c>
      <c r="BB206" s="1" t="s">
        <v>477</v>
      </c>
      <c r="BC206" s="1" t="s">
        <v>330</v>
      </c>
      <c r="BD206" s="1">
        <v>10402</v>
      </c>
      <c r="BE206" s="1"/>
    </row>
    <row r="207" spans="1:57" x14ac:dyDescent="0.25">
      <c r="A207" s="1">
        <v>211</v>
      </c>
      <c r="B207" s="1" t="s">
        <v>3607</v>
      </c>
      <c r="C207" s="9" t="s">
        <v>235</v>
      </c>
      <c r="D207" s="1" t="s">
        <v>235</v>
      </c>
      <c r="E207" s="1"/>
      <c r="F207" s="1"/>
      <c r="G207" s="1" t="s">
        <v>3608</v>
      </c>
      <c r="H207" s="1" t="s">
        <v>3609</v>
      </c>
      <c r="I207" s="1" t="s">
        <v>3610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330</v>
      </c>
      <c r="AK207" s="1" t="s">
        <v>330</v>
      </c>
      <c r="AL207" s="1">
        <v>13</v>
      </c>
      <c r="AM207" s="1" t="s">
        <v>4848</v>
      </c>
      <c r="AN207" s="1" t="s">
        <v>4970</v>
      </c>
      <c r="AO207" s="1" t="s">
        <v>4931</v>
      </c>
      <c r="AP207" s="1">
        <v>0</v>
      </c>
      <c r="AQ207" s="1" t="s">
        <v>1192</v>
      </c>
      <c r="AR207" s="1" t="s">
        <v>1193</v>
      </c>
      <c r="AS207" s="1" t="s">
        <v>1194</v>
      </c>
      <c r="AT207" s="1" t="s">
        <v>330</v>
      </c>
      <c r="AU207" s="1">
        <v>211</v>
      </c>
      <c r="AV207" s="1">
        <v>0</v>
      </c>
      <c r="AW207" s="1" t="s">
        <v>5245</v>
      </c>
      <c r="AX207" s="1" t="s">
        <v>5246</v>
      </c>
      <c r="AY207" s="1">
        <v>5</v>
      </c>
      <c r="AZ207" s="1">
        <v>0</v>
      </c>
      <c r="BA207" s="1" t="s">
        <v>330</v>
      </c>
      <c r="BB207" s="1" t="s">
        <v>4930</v>
      </c>
      <c r="BC207" s="1" t="s">
        <v>4806</v>
      </c>
      <c r="BD207" s="1">
        <v>10303</v>
      </c>
      <c r="BE207" s="1"/>
    </row>
    <row r="208" spans="1:57" x14ac:dyDescent="0.25">
      <c r="A208" s="1">
        <v>212</v>
      </c>
      <c r="B208" s="1" t="s">
        <v>3611</v>
      </c>
      <c r="C208" s="9" t="s">
        <v>178</v>
      </c>
      <c r="D208" s="1" t="s">
        <v>178</v>
      </c>
      <c r="E208" s="1"/>
      <c r="F208" s="1"/>
      <c r="G208" s="1" t="s">
        <v>3612</v>
      </c>
      <c r="H208" s="1" t="s">
        <v>3613</v>
      </c>
      <c r="I208" s="1" t="s">
        <v>3614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330</v>
      </c>
      <c r="AK208" s="1" t="s">
        <v>330</v>
      </c>
      <c r="AL208" s="1">
        <v>13</v>
      </c>
      <c r="AM208" s="1" t="s">
        <v>1891</v>
      </c>
      <c r="AN208" s="1" t="s">
        <v>5247</v>
      </c>
      <c r="AO208" s="1" t="s">
        <v>5149</v>
      </c>
      <c r="AP208" s="1">
        <v>0</v>
      </c>
      <c r="AQ208" s="1" t="s">
        <v>1170</v>
      </c>
      <c r="AR208" s="1" t="s">
        <v>1171</v>
      </c>
      <c r="AS208" s="1" t="s">
        <v>1172</v>
      </c>
      <c r="AT208" s="1" t="s">
        <v>330</v>
      </c>
      <c r="AU208" s="1">
        <v>212</v>
      </c>
      <c r="AV208" s="1">
        <v>0</v>
      </c>
      <c r="AW208" s="1" t="s">
        <v>5248</v>
      </c>
      <c r="AX208" s="1" t="s">
        <v>4848</v>
      </c>
      <c r="AY208" s="1">
        <v>4</v>
      </c>
      <c r="AZ208" s="1">
        <v>0</v>
      </c>
      <c r="BA208" s="1" t="s">
        <v>330</v>
      </c>
      <c r="BB208" s="1" t="s">
        <v>5249</v>
      </c>
      <c r="BC208" s="1" t="s">
        <v>330</v>
      </c>
      <c r="BD208" s="1">
        <v>10802</v>
      </c>
      <c r="BE208" s="1"/>
    </row>
    <row r="209" spans="1:57" x14ac:dyDescent="0.25">
      <c r="A209" s="1">
        <v>213</v>
      </c>
      <c r="B209" s="1" t="s">
        <v>3615</v>
      </c>
      <c r="C209" s="9" t="s">
        <v>1694</v>
      </c>
      <c r="D209" s="1" t="s">
        <v>3616</v>
      </c>
      <c r="E209" s="1"/>
      <c r="F209" s="1"/>
      <c r="G209" s="1" t="s">
        <v>3617</v>
      </c>
      <c r="H209" s="1" t="s">
        <v>3618</v>
      </c>
      <c r="I209" s="1" t="s">
        <v>3619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330</v>
      </c>
      <c r="AK209" s="1" t="s">
        <v>1284</v>
      </c>
      <c r="AL209" s="1">
        <v>13</v>
      </c>
      <c r="AM209" s="1" t="s">
        <v>4876</v>
      </c>
      <c r="AN209" s="1" t="s">
        <v>4881</v>
      </c>
      <c r="AO209" s="1" t="s">
        <v>5250</v>
      </c>
      <c r="AP209" s="1">
        <v>0</v>
      </c>
      <c r="AQ209" s="1" t="s">
        <v>1181</v>
      </c>
      <c r="AR209" s="1" t="s">
        <v>1267</v>
      </c>
      <c r="AS209" s="1" t="s">
        <v>1182</v>
      </c>
      <c r="AT209" s="1" t="s">
        <v>330</v>
      </c>
      <c r="AU209" s="1">
        <v>213</v>
      </c>
      <c r="AV209" s="1">
        <v>0</v>
      </c>
      <c r="AW209" s="1" t="s">
        <v>5248</v>
      </c>
      <c r="AX209" s="1" t="s">
        <v>5251</v>
      </c>
      <c r="AY209" s="1">
        <v>5</v>
      </c>
      <c r="AZ209" s="1">
        <v>0</v>
      </c>
      <c r="BA209" s="1" t="s">
        <v>330</v>
      </c>
      <c r="BB209" s="1" t="s">
        <v>5252</v>
      </c>
      <c r="BC209" s="1" t="s">
        <v>330</v>
      </c>
      <c r="BD209" s="1">
        <v>10203</v>
      </c>
      <c r="BE209" s="1"/>
    </row>
    <row r="210" spans="1:57" x14ac:dyDescent="0.25">
      <c r="A210" s="1">
        <v>214</v>
      </c>
      <c r="B210" s="1" t="s">
        <v>3620</v>
      </c>
      <c r="C210" s="9" t="s">
        <v>210</v>
      </c>
      <c r="D210" s="1" t="s">
        <v>210</v>
      </c>
      <c r="E210" s="1"/>
      <c r="F210" s="1"/>
      <c r="G210" s="1" t="s">
        <v>3621</v>
      </c>
      <c r="H210" s="1" t="s">
        <v>3622</v>
      </c>
      <c r="I210" s="1" t="s">
        <v>3623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1285</v>
      </c>
      <c r="AK210" s="1" t="s">
        <v>1286</v>
      </c>
      <c r="AL210" s="1">
        <v>13</v>
      </c>
      <c r="AM210" s="1" t="s">
        <v>4805</v>
      </c>
      <c r="AN210" s="1" t="s">
        <v>4950</v>
      </c>
      <c r="AO210" s="1" t="s">
        <v>5176</v>
      </c>
      <c r="AP210" s="1">
        <v>0</v>
      </c>
      <c r="AQ210" s="1" t="s">
        <v>1182</v>
      </c>
      <c r="AR210" s="1" t="s">
        <v>1206</v>
      </c>
      <c r="AS210" s="1" t="s">
        <v>1181</v>
      </c>
      <c r="AT210" s="1" t="s">
        <v>330</v>
      </c>
      <c r="AU210" s="1">
        <v>215</v>
      </c>
      <c r="AV210" s="1">
        <v>0</v>
      </c>
      <c r="AW210" s="1" t="s">
        <v>5253</v>
      </c>
      <c r="AX210" s="1" t="s">
        <v>333</v>
      </c>
      <c r="AY210" s="1">
        <v>5</v>
      </c>
      <c r="AZ210" s="1">
        <v>0</v>
      </c>
      <c r="BA210" s="1" t="s">
        <v>330</v>
      </c>
      <c r="BB210" s="1" t="s">
        <v>330</v>
      </c>
      <c r="BC210" s="1" t="s">
        <v>4843</v>
      </c>
      <c r="BD210" s="1">
        <v>10802</v>
      </c>
      <c r="BE210" s="1"/>
    </row>
    <row r="211" spans="1:57" x14ac:dyDescent="0.25">
      <c r="A211" s="1">
        <v>215</v>
      </c>
      <c r="B211" s="1" t="s">
        <v>3624</v>
      </c>
      <c r="C211" s="9" t="s">
        <v>179</v>
      </c>
      <c r="D211" s="1" t="s">
        <v>179</v>
      </c>
      <c r="E211" s="1"/>
      <c r="F211" s="1"/>
      <c r="G211" s="1" t="s">
        <v>3625</v>
      </c>
      <c r="H211" s="1" t="s">
        <v>3626</v>
      </c>
      <c r="I211" s="1" t="s">
        <v>3627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330</v>
      </c>
      <c r="AK211" s="1" t="s">
        <v>1287</v>
      </c>
      <c r="AL211" s="1">
        <v>13</v>
      </c>
      <c r="AM211" s="1" t="s">
        <v>4805</v>
      </c>
      <c r="AN211" s="1" t="s">
        <v>4970</v>
      </c>
      <c r="AO211" s="1" t="s">
        <v>5254</v>
      </c>
      <c r="AP211" s="1">
        <v>0</v>
      </c>
      <c r="AQ211" s="1" t="s">
        <v>1798</v>
      </c>
      <c r="AR211" s="1" t="s">
        <v>1206</v>
      </c>
      <c r="AS211" s="1" t="s">
        <v>1181</v>
      </c>
      <c r="AT211" s="1" t="s">
        <v>330</v>
      </c>
      <c r="AU211" s="1">
        <v>215</v>
      </c>
      <c r="AV211" s="1">
        <v>0</v>
      </c>
      <c r="AW211" s="1" t="s">
        <v>5248</v>
      </c>
      <c r="AX211" s="1" t="s">
        <v>333</v>
      </c>
      <c r="AY211" s="1">
        <v>5</v>
      </c>
      <c r="AZ211" s="1">
        <v>0</v>
      </c>
      <c r="BA211" s="1" t="s">
        <v>330</v>
      </c>
      <c r="BB211" s="1" t="s">
        <v>5001</v>
      </c>
      <c r="BC211" s="1" t="s">
        <v>4806</v>
      </c>
      <c r="BD211" s="1">
        <v>10802</v>
      </c>
      <c r="BE211" s="1"/>
    </row>
    <row r="212" spans="1:57" x14ac:dyDescent="0.25">
      <c r="A212" s="1">
        <v>216</v>
      </c>
      <c r="B212" s="1" t="s">
        <v>3628</v>
      </c>
      <c r="C212" s="9" t="s">
        <v>180</v>
      </c>
      <c r="D212" s="1" t="s">
        <v>180</v>
      </c>
      <c r="E212" s="1"/>
      <c r="F212" s="1"/>
      <c r="G212" s="1" t="s">
        <v>3629</v>
      </c>
      <c r="H212" s="1" t="s">
        <v>3630</v>
      </c>
      <c r="I212" s="1" t="s">
        <v>3631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1216</v>
      </c>
      <c r="AK212" s="1" t="s">
        <v>330</v>
      </c>
      <c r="AL212" s="1">
        <v>13</v>
      </c>
      <c r="AM212" s="1" t="s">
        <v>4805</v>
      </c>
      <c r="AN212" s="1" t="s">
        <v>4917</v>
      </c>
      <c r="AO212" s="1" t="s">
        <v>5255</v>
      </c>
      <c r="AP212" s="1">
        <v>0</v>
      </c>
      <c r="AQ212" s="1" t="s">
        <v>1182</v>
      </c>
      <c r="AR212" s="1" t="s">
        <v>1206</v>
      </c>
      <c r="AS212" s="1" t="s">
        <v>1181</v>
      </c>
      <c r="AT212" s="1" t="s">
        <v>330</v>
      </c>
      <c r="AU212" s="1">
        <v>216</v>
      </c>
      <c r="AV212" s="1">
        <v>0</v>
      </c>
      <c r="AW212" s="1" t="s">
        <v>5248</v>
      </c>
      <c r="AX212" s="1" t="s">
        <v>333</v>
      </c>
      <c r="AY212" s="1">
        <v>4</v>
      </c>
      <c r="AZ212" s="1">
        <v>0</v>
      </c>
      <c r="BA212" s="1" t="s">
        <v>330</v>
      </c>
      <c r="BB212" s="1" t="s">
        <v>5256</v>
      </c>
      <c r="BC212" s="1" t="s">
        <v>4855</v>
      </c>
      <c r="BD212" s="1">
        <v>10802</v>
      </c>
      <c r="BE212" s="1"/>
    </row>
    <row r="213" spans="1:57" x14ac:dyDescent="0.25">
      <c r="A213" s="1">
        <v>217</v>
      </c>
      <c r="B213" s="1" t="s">
        <v>3632</v>
      </c>
      <c r="C213" s="9" t="s">
        <v>1695</v>
      </c>
      <c r="D213" s="1" t="s">
        <v>3633</v>
      </c>
      <c r="E213" s="1"/>
      <c r="F213" s="1"/>
      <c r="G213" s="1" t="s">
        <v>3634</v>
      </c>
      <c r="H213" s="1" t="s">
        <v>3635</v>
      </c>
      <c r="I213" s="1" t="s">
        <v>3636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1177</v>
      </c>
      <c r="AK213" s="1" t="s">
        <v>330</v>
      </c>
      <c r="AL213" s="1">
        <v>13</v>
      </c>
      <c r="AM213" s="1" t="s">
        <v>4848</v>
      </c>
      <c r="AN213" s="1" t="s">
        <v>466</v>
      </c>
      <c r="AO213" s="1" t="s">
        <v>4912</v>
      </c>
      <c r="AP213" s="1">
        <v>0</v>
      </c>
      <c r="AQ213" s="1" t="s">
        <v>1192</v>
      </c>
      <c r="AR213" s="1" t="s">
        <v>1193</v>
      </c>
      <c r="AS213" s="1" t="s">
        <v>1194</v>
      </c>
      <c r="AT213" s="1" t="s">
        <v>330</v>
      </c>
      <c r="AU213" s="1">
        <v>217</v>
      </c>
      <c r="AV213" s="1">
        <v>0</v>
      </c>
      <c r="AW213" s="1" t="s">
        <v>5248</v>
      </c>
      <c r="AX213" s="1" t="s">
        <v>4839</v>
      </c>
      <c r="AY213" s="1">
        <v>3</v>
      </c>
      <c r="AZ213" s="1">
        <v>0</v>
      </c>
      <c r="BA213" s="1" t="s">
        <v>330</v>
      </c>
      <c r="BB213" s="1" t="s">
        <v>330</v>
      </c>
      <c r="BC213" s="1" t="s">
        <v>330</v>
      </c>
      <c r="BD213" s="1">
        <v>10303</v>
      </c>
      <c r="BE213" s="1"/>
    </row>
    <row r="214" spans="1:57" x14ac:dyDescent="0.25">
      <c r="A214" s="1">
        <v>218</v>
      </c>
      <c r="B214" s="1" t="s">
        <v>3637</v>
      </c>
      <c r="C214" s="9" t="s">
        <v>181</v>
      </c>
      <c r="D214" s="1" t="s">
        <v>181</v>
      </c>
      <c r="E214" s="1"/>
      <c r="F214" s="1"/>
      <c r="G214" s="1" t="s">
        <v>3638</v>
      </c>
      <c r="H214" s="1" t="s">
        <v>3639</v>
      </c>
      <c r="I214" s="1" t="s">
        <v>3640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1177</v>
      </c>
      <c r="AK214" s="1" t="s">
        <v>330</v>
      </c>
      <c r="AL214" s="1">
        <v>13</v>
      </c>
      <c r="AM214" s="1" t="s">
        <v>4876</v>
      </c>
      <c r="AN214" s="1" t="s">
        <v>4881</v>
      </c>
      <c r="AO214" s="1" t="s">
        <v>5257</v>
      </c>
      <c r="AP214" s="1">
        <v>0</v>
      </c>
      <c r="AQ214" s="1" t="s">
        <v>1181</v>
      </c>
      <c r="AR214" s="1" t="s">
        <v>1171</v>
      </c>
      <c r="AS214" s="1" t="s">
        <v>1182</v>
      </c>
      <c r="AT214" s="1" t="s">
        <v>330</v>
      </c>
      <c r="AU214" s="1">
        <v>218</v>
      </c>
      <c r="AV214" s="1">
        <v>0</v>
      </c>
      <c r="AW214" s="1" t="s">
        <v>5258</v>
      </c>
      <c r="AX214" s="1" t="s">
        <v>4839</v>
      </c>
      <c r="AY214" s="1">
        <v>3</v>
      </c>
      <c r="AZ214" s="1">
        <v>0</v>
      </c>
      <c r="BA214" s="1" t="s">
        <v>330</v>
      </c>
      <c r="BB214" s="1" t="s">
        <v>5259</v>
      </c>
      <c r="BC214" s="1" t="s">
        <v>4869</v>
      </c>
      <c r="BD214" s="1">
        <v>10703</v>
      </c>
      <c r="BE214" s="1"/>
    </row>
    <row r="215" spans="1:57" x14ac:dyDescent="0.25">
      <c r="A215" s="1">
        <v>220</v>
      </c>
      <c r="B215" s="1" t="s">
        <v>3641</v>
      </c>
      <c r="C215" s="9" t="s">
        <v>1696</v>
      </c>
      <c r="D215" s="1" t="s">
        <v>1696</v>
      </c>
      <c r="E215" s="1"/>
      <c r="F215" s="1"/>
      <c r="G215" s="1" t="s">
        <v>3642</v>
      </c>
      <c r="H215" s="1" t="s">
        <v>3643</v>
      </c>
      <c r="I215" s="1" t="s">
        <v>3644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1177</v>
      </c>
      <c r="AK215" s="1" t="s">
        <v>330</v>
      </c>
      <c r="AL215" s="1">
        <v>13</v>
      </c>
      <c r="AM215" s="1" t="s">
        <v>1891</v>
      </c>
      <c r="AN215" s="1" t="s">
        <v>4947</v>
      </c>
      <c r="AO215" s="1" t="s">
        <v>4834</v>
      </c>
      <c r="AP215" s="1">
        <v>0</v>
      </c>
      <c r="AQ215" s="1" t="s">
        <v>1170</v>
      </c>
      <c r="AR215" s="1" t="s">
        <v>1796</v>
      </c>
      <c r="AS215" s="1" t="s">
        <v>1172</v>
      </c>
      <c r="AT215" s="1" t="s">
        <v>330</v>
      </c>
      <c r="AU215" s="1">
        <v>220</v>
      </c>
      <c r="AV215" s="1">
        <v>0</v>
      </c>
      <c r="AW215" s="1" t="s">
        <v>5260</v>
      </c>
      <c r="AX215" s="1" t="s">
        <v>4839</v>
      </c>
      <c r="AY215" s="1">
        <v>3</v>
      </c>
      <c r="AZ215" s="1">
        <v>0</v>
      </c>
      <c r="BA215" s="1" t="s">
        <v>4851</v>
      </c>
      <c r="BB215" s="1" t="s">
        <v>469</v>
      </c>
      <c r="BC215" s="1" t="s">
        <v>4843</v>
      </c>
      <c r="BD215" s="1">
        <v>10802</v>
      </c>
      <c r="BE215" s="1"/>
    </row>
    <row r="216" spans="1:57" x14ac:dyDescent="0.25">
      <c r="A216" s="1">
        <v>221</v>
      </c>
      <c r="B216" s="1" t="s">
        <v>3645</v>
      </c>
      <c r="C216" s="9" t="s">
        <v>1697</v>
      </c>
      <c r="D216" s="1" t="s">
        <v>3646</v>
      </c>
      <c r="E216" s="1"/>
      <c r="F216" s="1"/>
      <c r="G216" s="1" t="s">
        <v>3647</v>
      </c>
      <c r="H216" s="1" t="s">
        <v>3648</v>
      </c>
      <c r="I216" s="1" t="s">
        <v>3649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1288</v>
      </c>
      <c r="AK216" s="1" t="s">
        <v>330</v>
      </c>
      <c r="AL216" s="1">
        <v>13</v>
      </c>
      <c r="AM216" s="1" t="s">
        <v>1891</v>
      </c>
      <c r="AN216" s="1" t="s">
        <v>5261</v>
      </c>
      <c r="AO216" s="1" t="s">
        <v>4989</v>
      </c>
      <c r="AP216" s="1">
        <v>0</v>
      </c>
      <c r="AQ216" s="1" t="s">
        <v>1170</v>
      </c>
      <c r="AR216" s="1" t="s">
        <v>1796</v>
      </c>
      <c r="AS216" s="1" t="s">
        <v>1172</v>
      </c>
      <c r="AT216" s="1" t="s">
        <v>330</v>
      </c>
      <c r="AU216" s="1">
        <v>221</v>
      </c>
      <c r="AV216" s="1">
        <v>0</v>
      </c>
      <c r="AW216" s="1" t="s">
        <v>5262</v>
      </c>
      <c r="AX216" s="1" t="s">
        <v>2322</v>
      </c>
      <c r="AY216" s="1">
        <v>3</v>
      </c>
      <c r="AZ216" s="1">
        <v>0</v>
      </c>
      <c r="BA216" s="1" t="s">
        <v>4851</v>
      </c>
      <c r="BB216" s="1" t="s">
        <v>5263</v>
      </c>
      <c r="BC216" s="1" t="s">
        <v>4843</v>
      </c>
      <c r="BD216" s="1">
        <v>10802</v>
      </c>
      <c r="BE216" s="1"/>
    </row>
    <row r="217" spans="1:57" x14ac:dyDescent="0.25">
      <c r="A217" s="1">
        <v>222</v>
      </c>
      <c r="B217" s="1" t="s">
        <v>3650</v>
      </c>
      <c r="C217" s="9" t="s">
        <v>1289</v>
      </c>
      <c r="D217" s="1" t="s">
        <v>1289</v>
      </c>
      <c r="E217" s="1"/>
      <c r="F217" s="1"/>
      <c r="G217" s="1" t="s">
        <v>3651</v>
      </c>
      <c r="H217" s="1" t="s">
        <v>3652</v>
      </c>
      <c r="I217" s="1" t="s">
        <v>3653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1290</v>
      </c>
      <c r="AK217" s="1" t="s">
        <v>330</v>
      </c>
      <c r="AL217" s="1">
        <v>13</v>
      </c>
      <c r="AM217" s="1" t="s">
        <v>4848</v>
      </c>
      <c r="AN217" s="1" t="s">
        <v>4970</v>
      </c>
      <c r="AO217" s="1" t="s">
        <v>4931</v>
      </c>
      <c r="AP217" s="1">
        <v>0</v>
      </c>
      <c r="AQ217" s="1" t="s">
        <v>1192</v>
      </c>
      <c r="AR217" s="1" t="s">
        <v>4921</v>
      </c>
      <c r="AS217" s="1" t="s">
        <v>1194</v>
      </c>
      <c r="AT217" s="1" t="s">
        <v>330</v>
      </c>
      <c r="AU217" s="1">
        <v>222</v>
      </c>
      <c r="AV217" s="1">
        <v>0</v>
      </c>
      <c r="AW217" s="1" t="s">
        <v>5264</v>
      </c>
      <c r="AX217" s="1" t="s">
        <v>5265</v>
      </c>
      <c r="AY217" s="1">
        <v>5</v>
      </c>
      <c r="AZ217" s="1">
        <v>0</v>
      </c>
      <c r="BA217" s="1" t="s">
        <v>330</v>
      </c>
      <c r="BB217" s="1" t="s">
        <v>5266</v>
      </c>
      <c r="BC217" s="1" t="s">
        <v>4806</v>
      </c>
      <c r="BD217" s="1">
        <v>10802</v>
      </c>
      <c r="BE217" s="1"/>
    </row>
    <row r="218" spans="1:57" x14ac:dyDescent="0.25">
      <c r="A218" s="1">
        <v>223</v>
      </c>
      <c r="B218" s="1" t="s">
        <v>3654</v>
      </c>
      <c r="C218" s="9" t="s">
        <v>182</v>
      </c>
      <c r="D218" s="1" t="s">
        <v>3655</v>
      </c>
      <c r="E218" s="1"/>
      <c r="F218" s="1"/>
      <c r="G218" s="1" t="s">
        <v>3656</v>
      </c>
      <c r="H218" s="1" t="s">
        <v>3657</v>
      </c>
      <c r="I218" s="1" t="s">
        <v>3658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5267</v>
      </c>
      <c r="AK218" s="1" t="s">
        <v>330</v>
      </c>
      <c r="AL218" s="1">
        <v>13</v>
      </c>
      <c r="AM218" s="1" t="s">
        <v>4805</v>
      </c>
      <c r="AN218" s="1" t="s">
        <v>4970</v>
      </c>
      <c r="AO218" s="1" t="s">
        <v>4961</v>
      </c>
      <c r="AP218" s="1">
        <v>0</v>
      </c>
      <c r="AQ218" s="1" t="s">
        <v>1182</v>
      </c>
      <c r="AR218" s="1" t="s">
        <v>1206</v>
      </c>
      <c r="AS218" s="1" t="s">
        <v>1181</v>
      </c>
      <c r="AT218" s="1" t="s">
        <v>330</v>
      </c>
      <c r="AU218" s="1">
        <v>223</v>
      </c>
      <c r="AV218" s="1">
        <v>0</v>
      </c>
      <c r="AW218" s="1" t="s">
        <v>5268</v>
      </c>
      <c r="AX218" s="1" t="s">
        <v>5269</v>
      </c>
      <c r="AY218" s="1">
        <v>3</v>
      </c>
      <c r="AZ218" s="1">
        <v>0</v>
      </c>
      <c r="BA218" s="1" t="s">
        <v>330</v>
      </c>
      <c r="BB218" s="1" t="s">
        <v>330</v>
      </c>
      <c r="BC218" s="1" t="s">
        <v>330</v>
      </c>
      <c r="BD218" s="1">
        <v>10301</v>
      </c>
      <c r="BE218" s="1"/>
    </row>
    <row r="219" spans="1:57" x14ac:dyDescent="0.25">
      <c r="A219" s="1">
        <v>224</v>
      </c>
      <c r="B219" s="1" t="s">
        <v>3659</v>
      </c>
      <c r="C219" s="9" t="s">
        <v>1698</v>
      </c>
      <c r="D219" s="1" t="s">
        <v>1698</v>
      </c>
      <c r="E219" s="1"/>
      <c r="F219" s="1"/>
      <c r="G219" s="1" t="s">
        <v>3660</v>
      </c>
      <c r="H219" s="1" t="s">
        <v>3661</v>
      </c>
      <c r="I219" s="1" t="s">
        <v>3662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330</v>
      </c>
      <c r="AK219" s="1" t="s">
        <v>330</v>
      </c>
      <c r="AL219" s="1">
        <v>13</v>
      </c>
      <c r="AM219" s="1" t="s">
        <v>4876</v>
      </c>
      <c r="AN219" s="1" t="s">
        <v>390</v>
      </c>
      <c r="AO219" s="1" t="s">
        <v>5270</v>
      </c>
      <c r="AP219" s="1">
        <v>0</v>
      </c>
      <c r="AQ219" s="1" t="s">
        <v>1181</v>
      </c>
      <c r="AR219" s="1" t="s">
        <v>1171</v>
      </c>
      <c r="AS219" s="1" t="s">
        <v>1182</v>
      </c>
      <c r="AT219" s="1" t="s">
        <v>330</v>
      </c>
      <c r="AU219" s="1">
        <v>224</v>
      </c>
      <c r="AV219" s="1">
        <v>0</v>
      </c>
      <c r="AW219" s="1" t="s">
        <v>5271</v>
      </c>
      <c r="AX219" s="1" t="s">
        <v>5272</v>
      </c>
      <c r="AY219" s="1">
        <v>5</v>
      </c>
      <c r="AZ219" s="1">
        <v>0</v>
      </c>
      <c r="BA219" s="1" t="s">
        <v>330</v>
      </c>
      <c r="BB219" s="1" t="s">
        <v>372</v>
      </c>
      <c r="BC219" s="1" t="s">
        <v>330</v>
      </c>
      <c r="BD219" s="1">
        <v>10403</v>
      </c>
      <c r="BE219" s="1"/>
    </row>
    <row r="220" spans="1:57" x14ac:dyDescent="0.25">
      <c r="A220" s="1">
        <v>225</v>
      </c>
      <c r="B220" s="1" t="s">
        <v>3663</v>
      </c>
      <c r="C220" s="9" t="s">
        <v>183</v>
      </c>
      <c r="D220" s="1" t="s">
        <v>3664</v>
      </c>
      <c r="E220" s="1"/>
      <c r="F220" s="1"/>
      <c r="G220" s="1" t="s">
        <v>3665</v>
      </c>
      <c r="H220" s="1" t="s">
        <v>3666</v>
      </c>
      <c r="I220" s="1" t="s">
        <v>3667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1291</v>
      </c>
      <c r="AK220" s="1" t="s">
        <v>330</v>
      </c>
      <c r="AL220" s="1">
        <v>13</v>
      </c>
      <c r="AM220" s="1" t="s">
        <v>4876</v>
      </c>
      <c r="AN220" s="1" t="s">
        <v>390</v>
      </c>
      <c r="AO220" s="1" t="s">
        <v>5142</v>
      </c>
      <c r="AP220" s="1">
        <v>0</v>
      </c>
      <c r="AQ220" s="1" t="s">
        <v>1181</v>
      </c>
      <c r="AR220" s="1" t="s">
        <v>1171</v>
      </c>
      <c r="AS220" s="1" t="s">
        <v>1182</v>
      </c>
      <c r="AT220" s="1" t="s">
        <v>330</v>
      </c>
      <c r="AU220" s="1">
        <v>225</v>
      </c>
      <c r="AV220" s="1">
        <v>0</v>
      </c>
      <c r="AW220" s="1" t="s">
        <v>5119</v>
      </c>
      <c r="AX220" s="1" t="s">
        <v>5273</v>
      </c>
      <c r="AY220" s="1">
        <v>4</v>
      </c>
      <c r="AZ220" s="1">
        <v>0</v>
      </c>
      <c r="BA220" s="1" t="s">
        <v>330</v>
      </c>
      <c r="BB220" s="1" t="s">
        <v>330</v>
      </c>
      <c r="BC220" s="1" t="s">
        <v>4825</v>
      </c>
      <c r="BD220" s="1">
        <v>10301</v>
      </c>
      <c r="BE220" s="1"/>
    </row>
    <row r="221" spans="1:57" x14ac:dyDescent="0.25">
      <c r="A221" s="1">
        <v>226</v>
      </c>
      <c r="B221" s="1" t="s">
        <v>3668</v>
      </c>
      <c r="C221" s="9" t="s">
        <v>796</v>
      </c>
      <c r="D221" s="1" t="s">
        <v>796</v>
      </c>
      <c r="E221" s="1"/>
      <c r="F221" s="1"/>
      <c r="G221" s="1" t="s">
        <v>3669</v>
      </c>
      <c r="H221" s="1" t="s">
        <v>3670</v>
      </c>
      <c r="I221" s="1" t="s">
        <v>3671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1292</v>
      </c>
      <c r="AK221" s="1" t="s">
        <v>330</v>
      </c>
      <c r="AL221" s="1">
        <v>13</v>
      </c>
      <c r="AM221" s="1" t="s">
        <v>4848</v>
      </c>
      <c r="AN221" s="1" t="s">
        <v>4970</v>
      </c>
      <c r="AO221" s="1" t="s">
        <v>4918</v>
      </c>
      <c r="AP221" s="1">
        <v>0</v>
      </c>
      <c r="AQ221" s="1" t="s">
        <v>1192</v>
      </c>
      <c r="AR221" s="1" t="s">
        <v>1193</v>
      </c>
      <c r="AS221" s="1" t="s">
        <v>1194</v>
      </c>
      <c r="AT221" s="1" t="s">
        <v>330</v>
      </c>
      <c r="AU221" s="1">
        <v>226</v>
      </c>
      <c r="AV221" s="1">
        <v>0</v>
      </c>
      <c r="AW221" s="1" t="s">
        <v>5217</v>
      </c>
      <c r="AX221" s="1" t="s">
        <v>4839</v>
      </c>
      <c r="AY221" s="1">
        <v>4</v>
      </c>
      <c r="AZ221" s="1">
        <v>0</v>
      </c>
      <c r="BA221" s="1" t="s">
        <v>330</v>
      </c>
      <c r="BB221" s="1" t="s">
        <v>330</v>
      </c>
      <c r="BC221" s="1" t="s">
        <v>4806</v>
      </c>
      <c r="BD221" s="1">
        <v>10301</v>
      </c>
      <c r="BE221" s="1"/>
    </row>
    <row r="222" spans="1:57" x14ac:dyDescent="0.25">
      <c r="A222" s="1">
        <v>227</v>
      </c>
      <c r="B222" s="1" t="s">
        <v>3672</v>
      </c>
      <c r="C222" s="9" t="s">
        <v>1699</v>
      </c>
      <c r="D222" s="1" t="s">
        <v>1699</v>
      </c>
      <c r="E222" s="1"/>
      <c r="F222" s="1"/>
      <c r="G222" s="1" t="s">
        <v>3673</v>
      </c>
      <c r="H222" s="1" t="s">
        <v>3674</v>
      </c>
      <c r="I222" s="1" t="s">
        <v>3675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1292</v>
      </c>
      <c r="AK222" s="1" t="s">
        <v>330</v>
      </c>
      <c r="AL222" s="1">
        <v>12</v>
      </c>
      <c r="AM222" s="1" t="s">
        <v>4805</v>
      </c>
      <c r="AN222" s="1" t="s">
        <v>5274</v>
      </c>
      <c r="AO222" s="1" t="s">
        <v>5100</v>
      </c>
      <c r="AP222" s="1">
        <v>0</v>
      </c>
      <c r="AQ222" s="1" t="s">
        <v>1182</v>
      </c>
      <c r="AR222" s="1" t="s">
        <v>1206</v>
      </c>
      <c r="AS222" s="1" t="s">
        <v>1181</v>
      </c>
      <c r="AT222" s="1" t="s">
        <v>330</v>
      </c>
      <c r="AU222" s="1">
        <v>227</v>
      </c>
      <c r="AV222" s="1">
        <v>0</v>
      </c>
      <c r="AW222" s="1" t="s">
        <v>5248</v>
      </c>
      <c r="AX222" s="1" t="s">
        <v>4839</v>
      </c>
      <c r="AY222" s="1">
        <v>4</v>
      </c>
      <c r="AZ222" s="1">
        <v>0</v>
      </c>
      <c r="BA222" s="1" t="s">
        <v>330</v>
      </c>
      <c r="BB222" s="1" t="s">
        <v>474</v>
      </c>
      <c r="BC222" s="1" t="s">
        <v>4843</v>
      </c>
      <c r="BD222" s="1">
        <v>10802</v>
      </c>
      <c r="BE222" s="1"/>
    </row>
    <row r="223" spans="1:57" x14ac:dyDescent="0.25">
      <c r="A223" s="1">
        <v>228</v>
      </c>
      <c r="B223" s="1" t="s">
        <v>3676</v>
      </c>
      <c r="C223" s="9" t="s">
        <v>758</v>
      </c>
      <c r="D223" s="1" t="s">
        <v>3677</v>
      </c>
      <c r="E223" s="1"/>
      <c r="F223" s="1"/>
      <c r="G223" s="1" t="s">
        <v>3678</v>
      </c>
      <c r="H223" s="1" t="s">
        <v>3679</v>
      </c>
      <c r="I223" s="1" t="s">
        <v>3680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1293</v>
      </c>
      <c r="AK223" s="1" t="s">
        <v>1294</v>
      </c>
      <c r="AL223" s="1">
        <v>13</v>
      </c>
      <c r="AM223" s="1" t="s">
        <v>4876</v>
      </c>
      <c r="AN223" s="1" t="s">
        <v>390</v>
      </c>
      <c r="AO223" s="1" t="s">
        <v>5270</v>
      </c>
      <c r="AP223" s="1">
        <v>0</v>
      </c>
      <c r="AQ223" s="1" t="s">
        <v>1181</v>
      </c>
      <c r="AR223" s="1" t="s">
        <v>1171</v>
      </c>
      <c r="AS223" s="1" t="s">
        <v>1798</v>
      </c>
      <c r="AT223" s="1" t="s">
        <v>330</v>
      </c>
      <c r="AU223" s="1">
        <v>228</v>
      </c>
      <c r="AV223" s="1">
        <v>0</v>
      </c>
      <c r="AW223" s="1" t="s">
        <v>5275</v>
      </c>
      <c r="AX223" s="1" t="s">
        <v>333</v>
      </c>
      <c r="AY223" s="1">
        <v>5</v>
      </c>
      <c r="AZ223" s="1">
        <v>0</v>
      </c>
      <c r="BA223" s="1" t="s">
        <v>330</v>
      </c>
      <c r="BB223" s="1" t="s">
        <v>330</v>
      </c>
      <c r="BC223" s="1" t="s">
        <v>330</v>
      </c>
      <c r="BD223" s="1">
        <v>10203</v>
      </c>
      <c r="BE223" s="1"/>
    </row>
    <row r="224" spans="1:57" x14ac:dyDescent="0.25">
      <c r="A224" s="1">
        <v>229</v>
      </c>
      <c r="B224" s="1" t="s">
        <v>3681</v>
      </c>
      <c r="C224" s="9" t="s">
        <v>5720</v>
      </c>
      <c r="D224" s="1" t="s">
        <v>237</v>
      </c>
      <c r="E224" s="1"/>
      <c r="F224" s="1"/>
      <c r="G224" s="1" t="s">
        <v>3682</v>
      </c>
      <c r="H224" s="1" t="s">
        <v>3683</v>
      </c>
      <c r="I224" s="1" t="s">
        <v>3684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1295</v>
      </c>
      <c r="AK224" s="1" t="s">
        <v>1296</v>
      </c>
      <c r="AL224" s="1">
        <v>9</v>
      </c>
      <c r="AM224" s="1" t="s">
        <v>4802</v>
      </c>
      <c r="AN224" s="1" t="s">
        <v>356</v>
      </c>
      <c r="AO224" s="1" t="s">
        <v>5276</v>
      </c>
      <c r="AP224" s="1">
        <v>0</v>
      </c>
      <c r="AQ224" s="1" t="s">
        <v>1252</v>
      </c>
      <c r="AR224" s="1" t="s">
        <v>1253</v>
      </c>
      <c r="AS224" s="1" t="s">
        <v>1254</v>
      </c>
      <c r="AT224" s="1" t="s">
        <v>330</v>
      </c>
      <c r="AU224" s="1">
        <v>229</v>
      </c>
      <c r="AV224" s="1">
        <v>0</v>
      </c>
      <c r="AW224" s="1" t="s">
        <v>5157</v>
      </c>
      <c r="AX224" s="1" t="s">
        <v>4839</v>
      </c>
      <c r="AY224" s="1">
        <v>5</v>
      </c>
      <c r="AZ224" s="1">
        <v>0</v>
      </c>
      <c r="BA224" s="1" t="s">
        <v>330</v>
      </c>
      <c r="BB224" s="1" t="s">
        <v>330</v>
      </c>
      <c r="BC224" s="1" t="s">
        <v>4806</v>
      </c>
      <c r="BD224" s="1">
        <v>10402</v>
      </c>
      <c r="BE224" s="1"/>
    </row>
    <row r="225" spans="1:57" x14ac:dyDescent="0.25">
      <c r="A225" s="1">
        <v>230</v>
      </c>
      <c r="B225" s="1" t="s">
        <v>3685</v>
      </c>
      <c r="C225" s="9" t="s">
        <v>184</v>
      </c>
      <c r="D225" s="1" t="s">
        <v>184</v>
      </c>
      <c r="E225" s="1"/>
      <c r="F225" s="1"/>
      <c r="G225" s="1" t="s">
        <v>3686</v>
      </c>
      <c r="H225" s="1" t="s">
        <v>3687</v>
      </c>
      <c r="I225" s="1" t="s">
        <v>3688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1177</v>
      </c>
      <c r="AK225" s="1" t="s">
        <v>330</v>
      </c>
      <c r="AL225" s="1">
        <v>13</v>
      </c>
      <c r="AM225" s="1" t="s">
        <v>4848</v>
      </c>
      <c r="AN225" s="1" t="s">
        <v>4920</v>
      </c>
      <c r="AO225" s="1" t="s">
        <v>4912</v>
      </c>
      <c r="AP225" s="1">
        <v>0</v>
      </c>
      <c r="AQ225" s="1" t="s">
        <v>1192</v>
      </c>
      <c r="AR225" s="1" t="s">
        <v>1193</v>
      </c>
      <c r="AS225" s="1" t="s">
        <v>1194</v>
      </c>
      <c r="AT225" s="1" t="s">
        <v>330</v>
      </c>
      <c r="AU225" s="1">
        <v>230</v>
      </c>
      <c r="AV225" s="1">
        <v>0</v>
      </c>
      <c r="AW225" s="1" t="s">
        <v>5277</v>
      </c>
      <c r="AX225" s="1" t="s">
        <v>5269</v>
      </c>
      <c r="AY225" s="1">
        <v>3</v>
      </c>
      <c r="AZ225" s="1">
        <v>0</v>
      </c>
      <c r="BA225" s="1" t="s">
        <v>330</v>
      </c>
      <c r="BB225" s="1" t="s">
        <v>5278</v>
      </c>
      <c r="BC225" s="1" t="s">
        <v>4806</v>
      </c>
      <c r="BD225" s="1">
        <v>10704</v>
      </c>
      <c r="BE225" s="1"/>
    </row>
    <row r="226" spans="1:57" x14ac:dyDescent="0.25">
      <c r="A226" s="1">
        <v>231</v>
      </c>
      <c r="B226" s="1" t="s">
        <v>3689</v>
      </c>
      <c r="C226" s="9" t="s">
        <v>185</v>
      </c>
      <c r="D226" s="1" t="s">
        <v>185</v>
      </c>
      <c r="E226" s="1"/>
      <c r="F226" s="1"/>
      <c r="G226" s="1" t="s">
        <v>3690</v>
      </c>
      <c r="H226" s="1" t="s">
        <v>3691</v>
      </c>
      <c r="I226" s="1" t="s">
        <v>3692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1297</v>
      </c>
      <c r="AK226" s="1" t="s">
        <v>1298</v>
      </c>
      <c r="AL226" s="1">
        <v>13</v>
      </c>
      <c r="AM226" s="1" t="s">
        <v>4848</v>
      </c>
      <c r="AN226" s="1" t="s">
        <v>4970</v>
      </c>
      <c r="AO226" s="1" t="s">
        <v>4931</v>
      </c>
      <c r="AP226" s="1">
        <v>0</v>
      </c>
      <c r="AQ226" s="1" t="s">
        <v>1192</v>
      </c>
      <c r="AR226" s="1" t="s">
        <v>1193</v>
      </c>
      <c r="AS226" s="1" t="s">
        <v>1194</v>
      </c>
      <c r="AT226" s="1" t="s">
        <v>330</v>
      </c>
      <c r="AU226" s="1">
        <v>231</v>
      </c>
      <c r="AV226" s="1">
        <v>0</v>
      </c>
      <c r="AW226" s="1" t="s">
        <v>5264</v>
      </c>
      <c r="AX226" s="1" t="s">
        <v>5279</v>
      </c>
      <c r="AY226" s="1">
        <v>5</v>
      </c>
      <c r="AZ226" s="1">
        <v>0</v>
      </c>
      <c r="BA226" s="1" t="s">
        <v>330</v>
      </c>
      <c r="BB226" s="1" t="s">
        <v>330</v>
      </c>
      <c r="BC226" s="1" t="s">
        <v>4806</v>
      </c>
      <c r="BD226" s="1">
        <v>10402</v>
      </c>
      <c r="BE226" s="1"/>
    </row>
    <row r="227" spans="1:57" x14ac:dyDescent="0.25">
      <c r="A227" s="1">
        <v>232</v>
      </c>
      <c r="B227" s="1" t="s">
        <v>3693</v>
      </c>
      <c r="C227" s="9" t="s">
        <v>1700</v>
      </c>
      <c r="D227" s="1" t="s">
        <v>1700</v>
      </c>
      <c r="E227" s="1"/>
      <c r="F227" s="1"/>
      <c r="G227" s="1" t="s">
        <v>3694</v>
      </c>
      <c r="H227" s="1" t="s">
        <v>3695</v>
      </c>
      <c r="I227" s="1" t="s">
        <v>3696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5280</v>
      </c>
      <c r="AK227" s="1" t="s">
        <v>330</v>
      </c>
      <c r="AL227" s="1">
        <v>13</v>
      </c>
      <c r="AM227" s="1" t="s">
        <v>1891</v>
      </c>
      <c r="AN227" s="1" t="s">
        <v>5261</v>
      </c>
      <c r="AO227" s="1" t="s">
        <v>5172</v>
      </c>
      <c r="AP227" s="1">
        <v>0</v>
      </c>
      <c r="AQ227" s="1" t="s">
        <v>1170</v>
      </c>
      <c r="AR227" s="1" t="s">
        <v>1171</v>
      </c>
      <c r="AS227" s="1" t="s">
        <v>1172</v>
      </c>
      <c r="AT227" s="1" t="s">
        <v>330</v>
      </c>
      <c r="AU227" s="1">
        <v>232</v>
      </c>
      <c r="AV227" s="1">
        <v>0</v>
      </c>
      <c r="AW227" s="1" t="s">
        <v>5281</v>
      </c>
      <c r="AX227" s="1" t="s">
        <v>5269</v>
      </c>
      <c r="AY227" s="1">
        <v>3</v>
      </c>
      <c r="AZ227" s="1">
        <v>0</v>
      </c>
      <c r="BA227" s="1" t="s">
        <v>330</v>
      </c>
      <c r="BB227" s="1" t="s">
        <v>4930</v>
      </c>
      <c r="BC227" s="1" t="s">
        <v>4843</v>
      </c>
      <c r="BD227" s="1">
        <v>10301</v>
      </c>
      <c r="BE227" s="1"/>
    </row>
    <row r="228" spans="1:57" x14ac:dyDescent="0.25">
      <c r="A228" s="1">
        <v>233</v>
      </c>
      <c r="B228" s="1" t="s">
        <v>3697</v>
      </c>
      <c r="C228" s="9" t="s">
        <v>186</v>
      </c>
      <c r="D228" s="1" t="s">
        <v>3698</v>
      </c>
      <c r="E228" s="1"/>
      <c r="F228" s="1"/>
      <c r="G228" s="1" t="s">
        <v>3699</v>
      </c>
      <c r="H228" s="1" t="s">
        <v>3700</v>
      </c>
      <c r="I228" s="1" t="s">
        <v>3701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330</v>
      </c>
      <c r="AK228" s="1" t="s">
        <v>330</v>
      </c>
      <c r="AL228" s="1">
        <v>12</v>
      </c>
      <c r="AM228" s="1" t="s">
        <v>1891</v>
      </c>
      <c r="AN228" s="1" t="s">
        <v>5282</v>
      </c>
      <c r="AO228" s="1" t="s">
        <v>5152</v>
      </c>
      <c r="AP228" s="1">
        <v>0</v>
      </c>
      <c r="AQ228" s="1" t="s">
        <v>1170</v>
      </c>
      <c r="AR228" s="1" t="s">
        <v>1171</v>
      </c>
      <c r="AS228" s="1" t="s">
        <v>1172</v>
      </c>
      <c r="AT228" s="1" t="s">
        <v>330</v>
      </c>
      <c r="AU228" s="1">
        <v>233</v>
      </c>
      <c r="AV228" s="1">
        <v>0</v>
      </c>
      <c r="AW228" s="1" t="s">
        <v>5283</v>
      </c>
      <c r="AX228" s="1" t="s">
        <v>4848</v>
      </c>
      <c r="AY228" s="1">
        <v>5</v>
      </c>
      <c r="AZ228" s="1">
        <v>0</v>
      </c>
      <c r="BA228" s="1" t="s">
        <v>330</v>
      </c>
      <c r="BB228" s="1" t="s">
        <v>330</v>
      </c>
      <c r="BC228" s="1" t="s">
        <v>4825</v>
      </c>
      <c r="BD228" s="1">
        <v>10203</v>
      </c>
      <c r="BE228" s="1"/>
    </row>
    <row r="229" spans="1:57" x14ac:dyDescent="0.25">
      <c r="A229" s="1">
        <v>234</v>
      </c>
      <c r="B229" s="1" t="s">
        <v>3702</v>
      </c>
      <c r="C229" s="9" t="s">
        <v>238</v>
      </c>
      <c r="D229" s="1" t="s">
        <v>3703</v>
      </c>
      <c r="E229" s="1"/>
      <c r="F229" s="1"/>
      <c r="G229" s="1" t="s">
        <v>3704</v>
      </c>
      <c r="H229" s="1" t="s">
        <v>3705</v>
      </c>
      <c r="I229" s="1" t="s">
        <v>3706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1299</v>
      </c>
      <c r="AK229" s="1" t="s">
        <v>1300</v>
      </c>
      <c r="AL229" s="1">
        <v>12</v>
      </c>
      <c r="AM229" s="1" t="s">
        <v>4876</v>
      </c>
      <c r="AN229" s="1" t="s">
        <v>5284</v>
      </c>
      <c r="AO229" s="1" t="s">
        <v>5116</v>
      </c>
      <c r="AP229" s="1">
        <v>0</v>
      </c>
      <c r="AQ229" s="1" t="s">
        <v>1181</v>
      </c>
      <c r="AR229" s="1" t="s">
        <v>1171</v>
      </c>
      <c r="AS229" s="1" t="s">
        <v>1182</v>
      </c>
      <c r="AT229" s="1" t="s">
        <v>330</v>
      </c>
      <c r="AU229" s="1">
        <v>234</v>
      </c>
      <c r="AV229" s="1">
        <v>0</v>
      </c>
      <c r="AW229" s="1" t="s">
        <v>5285</v>
      </c>
      <c r="AX229" s="1" t="s">
        <v>5286</v>
      </c>
      <c r="AY229" s="1">
        <v>5</v>
      </c>
      <c r="AZ229" s="1">
        <v>0</v>
      </c>
      <c r="BA229" s="1" t="s">
        <v>330</v>
      </c>
      <c r="BB229" s="1" t="s">
        <v>5287</v>
      </c>
      <c r="BC229" s="1" t="s">
        <v>4869</v>
      </c>
      <c r="BD229" s="1">
        <v>10203</v>
      </c>
      <c r="BE229" s="1"/>
    </row>
    <row r="230" spans="1:57" x14ac:dyDescent="0.25">
      <c r="A230" s="1">
        <v>235</v>
      </c>
      <c r="B230" s="1" t="s">
        <v>3707</v>
      </c>
      <c r="C230" s="9" t="s">
        <v>187</v>
      </c>
      <c r="D230" s="1" t="s">
        <v>3708</v>
      </c>
      <c r="E230" s="1"/>
      <c r="F230" s="1"/>
      <c r="G230" s="1" t="s">
        <v>3709</v>
      </c>
      <c r="H230" s="1" t="s">
        <v>3710</v>
      </c>
      <c r="I230" s="1" t="s">
        <v>3711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1301</v>
      </c>
      <c r="AK230" s="1" t="s">
        <v>1302</v>
      </c>
      <c r="AL230" s="1">
        <v>13</v>
      </c>
      <c r="AM230" s="1" t="s">
        <v>4848</v>
      </c>
      <c r="AN230" s="1" t="s">
        <v>4920</v>
      </c>
      <c r="AO230" s="1" t="s">
        <v>4918</v>
      </c>
      <c r="AP230" s="1">
        <v>0</v>
      </c>
      <c r="AQ230" s="1" t="s">
        <v>1192</v>
      </c>
      <c r="AR230" s="1" t="s">
        <v>1193</v>
      </c>
      <c r="AS230" s="1" t="s">
        <v>1194</v>
      </c>
      <c r="AT230" s="1" t="s">
        <v>330</v>
      </c>
      <c r="AU230" s="1">
        <v>235</v>
      </c>
      <c r="AV230" s="1">
        <v>0</v>
      </c>
      <c r="AW230" s="1" t="s">
        <v>5283</v>
      </c>
      <c r="AX230" s="1" t="s">
        <v>333</v>
      </c>
      <c r="AY230" s="1">
        <v>4</v>
      </c>
      <c r="AZ230" s="1">
        <v>0</v>
      </c>
      <c r="BA230" s="1" t="s">
        <v>330</v>
      </c>
      <c r="BB230" s="1" t="s">
        <v>330</v>
      </c>
      <c r="BC230" s="1" t="s">
        <v>4939</v>
      </c>
      <c r="BD230" s="1">
        <v>10704</v>
      </c>
      <c r="BE230" s="1"/>
    </row>
    <row r="231" spans="1:57" x14ac:dyDescent="0.25">
      <c r="A231" s="1">
        <v>236</v>
      </c>
      <c r="B231" s="1" t="s">
        <v>3712</v>
      </c>
      <c r="C231" s="9" t="s">
        <v>188</v>
      </c>
      <c r="D231" s="1" t="s">
        <v>188</v>
      </c>
      <c r="E231" s="1"/>
      <c r="F231" s="1"/>
      <c r="G231" s="1" t="s">
        <v>3713</v>
      </c>
      <c r="H231" s="1" t="s">
        <v>3714</v>
      </c>
      <c r="I231" s="1" t="s">
        <v>3715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1303</v>
      </c>
      <c r="AK231" s="1" t="s">
        <v>1304</v>
      </c>
      <c r="AL231" s="1">
        <v>13</v>
      </c>
      <c r="AM231" s="1" t="s">
        <v>4805</v>
      </c>
      <c r="AN231" s="1" t="s">
        <v>4950</v>
      </c>
      <c r="AO231" s="1" t="s">
        <v>5255</v>
      </c>
      <c r="AP231" s="1">
        <v>0</v>
      </c>
      <c r="AQ231" s="1" t="s">
        <v>1182</v>
      </c>
      <c r="AR231" s="1" t="s">
        <v>1206</v>
      </c>
      <c r="AS231" s="1" t="s">
        <v>1181</v>
      </c>
      <c r="AT231" s="1" t="s">
        <v>330</v>
      </c>
      <c r="AU231" s="1">
        <v>236</v>
      </c>
      <c r="AV231" s="1">
        <v>0</v>
      </c>
      <c r="AW231" s="1" t="s">
        <v>5283</v>
      </c>
      <c r="AX231" s="1" t="s">
        <v>333</v>
      </c>
      <c r="AY231" s="1">
        <v>5</v>
      </c>
      <c r="AZ231" s="1">
        <v>0</v>
      </c>
      <c r="BA231" s="1" t="s">
        <v>330</v>
      </c>
      <c r="BB231" s="1" t="s">
        <v>330</v>
      </c>
      <c r="BC231" s="1" t="s">
        <v>330</v>
      </c>
      <c r="BD231" s="1">
        <v>10402</v>
      </c>
      <c r="BE231" s="1"/>
    </row>
    <row r="232" spans="1:57" x14ac:dyDescent="0.25">
      <c r="A232" s="1">
        <v>237</v>
      </c>
      <c r="B232" s="1" t="s">
        <v>3716</v>
      </c>
      <c r="C232" s="9" t="s">
        <v>1701</v>
      </c>
      <c r="D232" s="1" t="s">
        <v>1701</v>
      </c>
      <c r="E232" s="1"/>
      <c r="F232" s="1"/>
      <c r="G232" s="1" t="s">
        <v>3717</v>
      </c>
      <c r="H232" s="1" t="s">
        <v>3718</v>
      </c>
      <c r="I232" s="1" t="s">
        <v>3719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1305</v>
      </c>
      <c r="AK232" s="1" t="s">
        <v>330</v>
      </c>
      <c r="AL232" s="1">
        <v>13</v>
      </c>
      <c r="AM232" s="1" t="s">
        <v>4805</v>
      </c>
      <c r="AN232" s="1" t="s">
        <v>4950</v>
      </c>
      <c r="AO232" s="1" t="s">
        <v>5288</v>
      </c>
      <c r="AP232" s="1">
        <v>0</v>
      </c>
      <c r="AQ232" s="1" t="s">
        <v>1182</v>
      </c>
      <c r="AR232" s="1" t="s">
        <v>1206</v>
      </c>
      <c r="AS232" s="1" t="s">
        <v>1181</v>
      </c>
      <c r="AT232" s="1" t="s">
        <v>330</v>
      </c>
      <c r="AU232" s="1">
        <v>237</v>
      </c>
      <c r="AV232" s="1">
        <v>0</v>
      </c>
      <c r="AW232" s="1" t="s">
        <v>5283</v>
      </c>
      <c r="AX232" s="1" t="s">
        <v>333</v>
      </c>
      <c r="AY232" s="1">
        <v>4</v>
      </c>
      <c r="AZ232" s="1">
        <v>0</v>
      </c>
      <c r="BA232" s="1" t="s">
        <v>330</v>
      </c>
      <c r="BB232" s="1" t="s">
        <v>330</v>
      </c>
      <c r="BC232" s="1" t="s">
        <v>330</v>
      </c>
      <c r="BD232" s="1">
        <v>10802</v>
      </c>
      <c r="BE232" s="1"/>
    </row>
    <row r="233" spans="1:57" x14ac:dyDescent="0.25">
      <c r="A233" s="1">
        <v>238</v>
      </c>
      <c r="B233" s="1" t="s">
        <v>3720</v>
      </c>
      <c r="C233" s="9" t="s">
        <v>794</v>
      </c>
      <c r="D233" s="1" t="s">
        <v>119</v>
      </c>
      <c r="E233" s="1"/>
      <c r="F233" s="1"/>
      <c r="G233" s="1" t="s">
        <v>3721</v>
      </c>
      <c r="H233" s="1" t="s">
        <v>3722</v>
      </c>
      <c r="I233" s="1" t="s">
        <v>3723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5289</v>
      </c>
      <c r="AK233" s="1" t="s">
        <v>1306</v>
      </c>
      <c r="AL233" s="1">
        <v>19</v>
      </c>
      <c r="AM233" s="1" t="s">
        <v>4944</v>
      </c>
      <c r="AN233" s="1" t="s">
        <v>5290</v>
      </c>
      <c r="AO233" s="1" t="s">
        <v>5291</v>
      </c>
      <c r="AP233" s="1">
        <v>0</v>
      </c>
      <c r="AQ233" s="1" t="s">
        <v>1219</v>
      </c>
      <c r="AR233" s="1" t="s">
        <v>1220</v>
      </c>
      <c r="AS233" s="1" t="s">
        <v>1221</v>
      </c>
      <c r="AT233" s="1" t="s">
        <v>330</v>
      </c>
      <c r="AU233" s="1">
        <v>238</v>
      </c>
      <c r="AV233" s="1">
        <v>0</v>
      </c>
      <c r="AW233" s="1" t="s">
        <v>5283</v>
      </c>
      <c r="AX233" s="1" t="s">
        <v>333</v>
      </c>
      <c r="AY233" s="1">
        <v>5</v>
      </c>
      <c r="AZ233" s="1">
        <v>0</v>
      </c>
      <c r="BA233" s="1" t="s">
        <v>330</v>
      </c>
      <c r="BB233" s="1" t="s">
        <v>5292</v>
      </c>
      <c r="BC233" s="1" t="s">
        <v>4869</v>
      </c>
      <c r="BD233" s="1">
        <v>10802</v>
      </c>
      <c r="BE233" s="1"/>
    </row>
    <row r="234" spans="1:57" x14ac:dyDescent="0.25">
      <c r="A234" s="1">
        <v>239</v>
      </c>
      <c r="B234" s="1" t="s">
        <v>3724</v>
      </c>
      <c r="C234" s="9" t="s">
        <v>239</v>
      </c>
      <c r="D234" s="1" t="s">
        <v>239</v>
      </c>
      <c r="E234" s="1"/>
      <c r="F234" s="1"/>
      <c r="G234" s="1" t="s">
        <v>3725</v>
      </c>
      <c r="H234" s="1" t="s">
        <v>3726</v>
      </c>
      <c r="I234" s="1" t="s">
        <v>3727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1177</v>
      </c>
      <c r="AK234" s="1" t="s">
        <v>330</v>
      </c>
      <c r="AL234" s="1">
        <v>13</v>
      </c>
      <c r="AM234" s="1" t="s">
        <v>4805</v>
      </c>
      <c r="AN234" s="1" t="s">
        <v>477</v>
      </c>
      <c r="AO234" s="1" t="s">
        <v>5293</v>
      </c>
      <c r="AP234" s="1">
        <v>0</v>
      </c>
      <c r="AQ234" s="1" t="s">
        <v>1182</v>
      </c>
      <c r="AR234" s="1" t="s">
        <v>1206</v>
      </c>
      <c r="AS234" s="1" t="s">
        <v>1181</v>
      </c>
      <c r="AT234" s="1" t="s">
        <v>330</v>
      </c>
      <c r="AU234" s="1">
        <v>239</v>
      </c>
      <c r="AV234" s="1">
        <v>0</v>
      </c>
      <c r="AW234" s="1" t="s">
        <v>5294</v>
      </c>
      <c r="AX234" s="1" t="s">
        <v>5269</v>
      </c>
      <c r="AY234" s="1">
        <v>3</v>
      </c>
      <c r="AZ234" s="1">
        <v>0</v>
      </c>
      <c r="BA234" s="1" t="s">
        <v>330</v>
      </c>
      <c r="BB234" s="1" t="s">
        <v>5038</v>
      </c>
      <c r="BC234" s="1" t="s">
        <v>4869</v>
      </c>
      <c r="BD234" s="1">
        <v>10704</v>
      </c>
      <c r="BE234" s="1"/>
    </row>
    <row r="235" spans="1:57" x14ac:dyDescent="0.25">
      <c r="A235" s="1">
        <v>240</v>
      </c>
      <c r="B235" s="1" t="s">
        <v>3728</v>
      </c>
      <c r="C235" s="9" t="s">
        <v>189</v>
      </c>
      <c r="D235" s="1" t="s">
        <v>189</v>
      </c>
      <c r="E235" s="1"/>
      <c r="F235" s="1"/>
      <c r="G235" s="1" t="s">
        <v>3729</v>
      </c>
      <c r="H235" s="1" t="s">
        <v>3730</v>
      </c>
      <c r="I235" s="1" t="s">
        <v>3731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1218</v>
      </c>
      <c r="AK235" s="1" t="s">
        <v>330</v>
      </c>
      <c r="AL235" s="1">
        <v>17</v>
      </c>
      <c r="AM235" s="1" t="s">
        <v>4944</v>
      </c>
      <c r="AN235" s="1" t="s">
        <v>5002</v>
      </c>
      <c r="AO235" s="1" t="s">
        <v>5295</v>
      </c>
      <c r="AP235" s="1">
        <v>0</v>
      </c>
      <c r="AQ235" s="1" t="s">
        <v>1219</v>
      </c>
      <c r="AR235" s="1" t="s">
        <v>1220</v>
      </c>
      <c r="AS235" s="1" t="s">
        <v>1221</v>
      </c>
      <c r="AT235" s="1" t="s">
        <v>330</v>
      </c>
      <c r="AU235" s="1">
        <v>240</v>
      </c>
      <c r="AV235" s="1">
        <v>0</v>
      </c>
      <c r="AW235" s="1" t="s">
        <v>5055</v>
      </c>
      <c r="AX235" s="1" t="s">
        <v>5296</v>
      </c>
      <c r="AY235" s="1">
        <v>4</v>
      </c>
      <c r="AZ235" s="1">
        <v>0</v>
      </c>
      <c r="BA235" s="1" t="s">
        <v>330</v>
      </c>
      <c r="BB235" s="1" t="s">
        <v>330</v>
      </c>
      <c r="BC235" s="1" t="s">
        <v>4806</v>
      </c>
      <c r="BD235" s="1">
        <v>10402</v>
      </c>
      <c r="BE235" s="1"/>
    </row>
    <row r="236" spans="1:57" x14ac:dyDescent="0.25">
      <c r="A236" s="1">
        <v>241</v>
      </c>
      <c r="B236" s="1" t="s">
        <v>3732</v>
      </c>
      <c r="C236" s="9" t="s">
        <v>1702</v>
      </c>
      <c r="D236" s="1" t="s">
        <v>1702</v>
      </c>
      <c r="E236" s="1"/>
      <c r="F236" s="1"/>
      <c r="G236" s="1" t="s">
        <v>3733</v>
      </c>
      <c r="H236" s="1" t="s">
        <v>3734</v>
      </c>
      <c r="I236" s="1" t="s">
        <v>3735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1247</v>
      </c>
      <c r="AK236" s="1" t="s">
        <v>330</v>
      </c>
      <c r="AL236" s="1">
        <v>13</v>
      </c>
      <c r="AM236" s="1" t="s">
        <v>4848</v>
      </c>
      <c r="AN236" s="1" t="s">
        <v>4915</v>
      </c>
      <c r="AO236" s="1" t="s">
        <v>4912</v>
      </c>
      <c r="AP236" s="1">
        <v>0</v>
      </c>
      <c r="AQ236" s="1" t="s">
        <v>1192</v>
      </c>
      <c r="AR236" s="1" t="s">
        <v>1193</v>
      </c>
      <c r="AS236" s="1" t="s">
        <v>1194</v>
      </c>
      <c r="AT236" s="1" t="s">
        <v>330</v>
      </c>
      <c r="AU236" s="1">
        <v>241</v>
      </c>
      <c r="AV236" s="1">
        <v>0</v>
      </c>
      <c r="AW236" s="1" t="s">
        <v>5297</v>
      </c>
      <c r="AX236" s="1" t="s">
        <v>5269</v>
      </c>
      <c r="AY236" s="1">
        <v>3</v>
      </c>
      <c r="AZ236" s="1">
        <v>0</v>
      </c>
      <c r="BA236" s="1" t="s">
        <v>330</v>
      </c>
      <c r="BB236" s="1" t="s">
        <v>330</v>
      </c>
      <c r="BC236" s="1" t="s">
        <v>330</v>
      </c>
      <c r="BD236" s="1">
        <v>10802</v>
      </c>
      <c r="BE236" s="1"/>
    </row>
    <row r="237" spans="1:57" x14ac:dyDescent="0.25">
      <c r="A237" s="1">
        <v>242</v>
      </c>
      <c r="B237" s="1" t="s">
        <v>3736</v>
      </c>
      <c r="C237" s="9" t="s">
        <v>197</v>
      </c>
      <c r="D237" s="1" t="s">
        <v>197</v>
      </c>
      <c r="E237" s="1"/>
      <c r="F237" s="1"/>
      <c r="G237" s="1" t="s">
        <v>3737</v>
      </c>
      <c r="H237" s="1" t="s">
        <v>3738</v>
      </c>
      <c r="I237" s="1" t="s">
        <v>3739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330</v>
      </c>
      <c r="AK237" s="1" t="s">
        <v>330</v>
      </c>
      <c r="AL237" s="1">
        <v>14</v>
      </c>
      <c r="AM237" s="1" t="s">
        <v>1891</v>
      </c>
      <c r="AN237" s="1" t="s">
        <v>5298</v>
      </c>
      <c r="AO237" s="1" t="s">
        <v>4961</v>
      </c>
      <c r="AP237" s="1">
        <v>0</v>
      </c>
      <c r="AQ237" s="1" t="s">
        <v>1170</v>
      </c>
      <c r="AR237" s="1" t="s">
        <v>1171</v>
      </c>
      <c r="AS237" s="1" t="s">
        <v>1172</v>
      </c>
      <c r="AT237" s="1" t="s">
        <v>330</v>
      </c>
      <c r="AU237" s="1">
        <v>96</v>
      </c>
      <c r="AV237" s="1">
        <v>0</v>
      </c>
      <c r="AW237" s="1" t="s">
        <v>5275</v>
      </c>
      <c r="AX237" s="1" t="s">
        <v>5269</v>
      </c>
      <c r="AY237" s="1">
        <v>5</v>
      </c>
      <c r="AZ237" s="1">
        <v>0</v>
      </c>
      <c r="BA237" s="1" t="s">
        <v>330</v>
      </c>
      <c r="BB237" s="1" t="s">
        <v>330</v>
      </c>
      <c r="BC237" s="1" t="s">
        <v>4855</v>
      </c>
      <c r="BD237" s="1">
        <v>10203</v>
      </c>
      <c r="BE237" s="1"/>
    </row>
    <row r="238" spans="1:57" x14ac:dyDescent="0.25">
      <c r="A238" s="1">
        <v>243</v>
      </c>
      <c r="B238" s="1" t="s">
        <v>3740</v>
      </c>
      <c r="C238" s="9" t="s">
        <v>846</v>
      </c>
      <c r="D238" s="1" t="s">
        <v>3741</v>
      </c>
      <c r="E238" s="1"/>
      <c r="F238" s="1"/>
      <c r="G238" s="1" t="s">
        <v>3742</v>
      </c>
      <c r="H238" s="1" t="s">
        <v>3743</v>
      </c>
      <c r="I238" s="1" t="s">
        <v>3744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1307</v>
      </c>
      <c r="AK238" s="1" t="s">
        <v>1308</v>
      </c>
      <c r="AL238" s="1">
        <v>13</v>
      </c>
      <c r="AM238" s="1" t="s">
        <v>4805</v>
      </c>
      <c r="AN238" s="1" t="s">
        <v>4970</v>
      </c>
      <c r="AO238" s="1" t="s">
        <v>5299</v>
      </c>
      <c r="AP238" s="1">
        <v>0</v>
      </c>
      <c r="AQ238" s="1" t="s">
        <v>1182</v>
      </c>
      <c r="AR238" s="1" t="s">
        <v>1206</v>
      </c>
      <c r="AS238" s="1" t="s">
        <v>1181</v>
      </c>
      <c r="AT238" s="1" t="s">
        <v>330</v>
      </c>
      <c r="AU238" s="1">
        <v>215</v>
      </c>
      <c r="AV238" s="1">
        <v>0</v>
      </c>
      <c r="AW238" s="1" t="s">
        <v>5275</v>
      </c>
      <c r="AX238" s="1" t="s">
        <v>333</v>
      </c>
      <c r="AY238" s="1">
        <v>5</v>
      </c>
      <c r="AZ238" s="1">
        <v>0</v>
      </c>
      <c r="BA238" s="1" t="s">
        <v>330</v>
      </c>
      <c r="BB238" s="1" t="s">
        <v>330</v>
      </c>
      <c r="BC238" s="1" t="s">
        <v>330</v>
      </c>
      <c r="BD238" s="1">
        <v>10403</v>
      </c>
      <c r="BE238" s="1"/>
    </row>
    <row r="239" spans="1:57" x14ac:dyDescent="0.25">
      <c r="A239" s="1">
        <v>244</v>
      </c>
      <c r="B239" s="1" t="s">
        <v>3745</v>
      </c>
      <c r="C239" s="9" t="s">
        <v>1703</v>
      </c>
      <c r="D239" s="1" t="s">
        <v>1703</v>
      </c>
      <c r="E239" s="1"/>
      <c r="F239" s="1"/>
      <c r="G239" s="1" t="s">
        <v>3746</v>
      </c>
      <c r="H239" s="1" t="s">
        <v>3747</v>
      </c>
      <c r="I239" s="1" t="s">
        <v>3748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1177</v>
      </c>
      <c r="AK239" s="1" t="s">
        <v>330</v>
      </c>
      <c r="AL239" s="1">
        <v>13</v>
      </c>
      <c r="AM239" s="1" t="s">
        <v>1891</v>
      </c>
      <c r="AN239" s="1" t="s">
        <v>5300</v>
      </c>
      <c r="AO239" s="1" t="s">
        <v>5018</v>
      </c>
      <c r="AP239" s="1">
        <v>0</v>
      </c>
      <c r="AQ239" s="1" t="s">
        <v>1170</v>
      </c>
      <c r="AR239" s="1" t="s">
        <v>1171</v>
      </c>
      <c r="AS239" s="1" t="s">
        <v>1172</v>
      </c>
      <c r="AT239" s="1" t="s">
        <v>330</v>
      </c>
      <c r="AU239" s="1">
        <v>220</v>
      </c>
      <c r="AV239" s="1">
        <v>0</v>
      </c>
      <c r="AW239" s="1" t="s">
        <v>5301</v>
      </c>
      <c r="AX239" s="1" t="s">
        <v>5302</v>
      </c>
      <c r="AY239" s="1">
        <v>3</v>
      </c>
      <c r="AZ239" s="1">
        <v>0</v>
      </c>
      <c r="BA239" s="1" t="s">
        <v>330</v>
      </c>
      <c r="BB239" s="1" t="s">
        <v>330</v>
      </c>
      <c r="BC239" s="1" t="s">
        <v>4806</v>
      </c>
      <c r="BD239" s="1">
        <v>10704</v>
      </c>
      <c r="BE239" s="1"/>
    </row>
    <row r="240" spans="1:57" x14ac:dyDescent="0.25">
      <c r="A240" s="1">
        <v>245</v>
      </c>
      <c r="B240" s="1" t="s">
        <v>3749</v>
      </c>
      <c r="C240" s="9" t="s">
        <v>190</v>
      </c>
      <c r="D240" s="1" t="s">
        <v>190</v>
      </c>
      <c r="E240" s="1"/>
      <c r="F240" s="1"/>
      <c r="G240" s="1" t="s">
        <v>3750</v>
      </c>
      <c r="H240" s="1" t="s">
        <v>3751</v>
      </c>
      <c r="I240" s="1" t="s">
        <v>3752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1309</v>
      </c>
      <c r="AK240" s="1" t="s">
        <v>1310</v>
      </c>
      <c r="AL240" s="1">
        <v>13</v>
      </c>
      <c r="AM240" s="1" t="s">
        <v>4876</v>
      </c>
      <c r="AN240" s="1" t="s">
        <v>4881</v>
      </c>
      <c r="AO240" s="1" t="s">
        <v>5152</v>
      </c>
      <c r="AP240" s="1">
        <v>0</v>
      </c>
      <c r="AQ240" s="1" t="s">
        <v>1181</v>
      </c>
      <c r="AR240" s="1" t="s">
        <v>1171</v>
      </c>
      <c r="AS240" s="1" t="s">
        <v>1182</v>
      </c>
      <c r="AT240" s="1" t="s">
        <v>330</v>
      </c>
      <c r="AU240" s="1">
        <v>28</v>
      </c>
      <c r="AV240" s="1">
        <v>0</v>
      </c>
      <c r="AW240" s="1" t="s">
        <v>5275</v>
      </c>
      <c r="AX240" s="1" t="s">
        <v>333</v>
      </c>
      <c r="AY240" s="1">
        <v>5</v>
      </c>
      <c r="AZ240" s="1">
        <v>0</v>
      </c>
      <c r="BA240" s="1" t="s">
        <v>330</v>
      </c>
      <c r="BB240" s="1" t="s">
        <v>5303</v>
      </c>
      <c r="BC240" s="1" t="s">
        <v>4939</v>
      </c>
      <c r="BD240" s="1">
        <v>10802</v>
      </c>
      <c r="BE240" s="1"/>
    </row>
    <row r="241" spans="1:57" x14ac:dyDescent="0.25">
      <c r="A241" s="1">
        <v>247</v>
      </c>
      <c r="B241" s="1" t="s">
        <v>3753</v>
      </c>
      <c r="C241" s="9" t="s">
        <v>191</v>
      </c>
      <c r="D241" s="1" t="s">
        <v>191</v>
      </c>
      <c r="E241" s="1"/>
      <c r="F241" s="1"/>
      <c r="G241" s="1" t="s">
        <v>3754</v>
      </c>
      <c r="H241" s="1" t="s">
        <v>3755</v>
      </c>
      <c r="I241" s="1" t="s">
        <v>3756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1311</v>
      </c>
      <c r="AK241" s="1" t="s">
        <v>330</v>
      </c>
      <c r="AL241" s="1">
        <v>13</v>
      </c>
      <c r="AM241" s="1" t="s">
        <v>4848</v>
      </c>
      <c r="AN241" s="1" t="s">
        <v>4915</v>
      </c>
      <c r="AO241" s="1" t="s">
        <v>4918</v>
      </c>
      <c r="AP241" s="1">
        <v>0</v>
      </c>
      <c r="AQ241" s="1" t="s">
        <v>1192</v>
      </c>
      <c r="AR241" s="1" t="s">
        <v>1193</v>
      </c>
      <c r="AS241" s="1" t="s">
        <v>1194</v>
      </c>
      <c r="AT241" s="1" t="s">
        <v>330</v>
      </c>
      <c r="AU241" s="1">
        <v>200</v>
      </c>
      <c r="AV241" s="1">
        <v>0</v>
      </c>
      <c r="AW241" s="1" t="s">
        <v>5275</v>
      </c>
      <c r="AX241" s="1" t="s">
        <v>333</v>
      </c>
      <c r="AY241" s="1">
        <v>4</v>
      </c>
      <c r="AZ241" s="1">
        <v>0</v>
      </c>
      <c r="BA241" s="1" t="s">
        <v>330</v>
      </c>
      <c r="BB241" s="1" t="s">
        <v>330</v>
      </c>
      <c r="BC241" s="1" t="s">
        <v>330</v>
      </c>
      <c r="BD241" s="1">
        <v>10303</v>
      </c>
      <c r="BE241" s="1"/>
    </row>
    <row r="242" spans="1:57" x14ac:dyDescent="0.25">
      <c r="A242" s="1">
        <v>248</v>
      </c>
      <c r="B242" s="1" t="s">
        <v>3757</v>
      </c>
      <c r="C242" s="9" t="s">
        <v>192</v>
      </c>
      <c r="D242" s="1" t="s">
        <v>192</v>
      </c>
      <c r="E242" s="1"/>
      <c r="F242" s="1"/>
      <c r="G242" s="1" t="s">
        <v>3758</v>
      </c>
      <c r="H242" s="1" t="s">
        <v>3759</v>
      </c>
      <c r="I242" s="1" t="s">
        <v>3760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1312</v>
      </c>
      <c r="AK242" s="1" t="s">
        <v>330</v>
      </c>
      <c r="AL242" s="1">
        <v>13</v>
      </c>
      <c r="AM242" s="1" t="s">
        <v>1891</v>
      </c>
      <c r="AN242" s="1" t="s">
        <v>5304</v>
      </c>
      <c r="AO242" s="1" t="s">
        <v>4827</v>
      </c>
      <c r="AP242" s="1">
        <v>0</v>
      </c>
      <c r="AQ242" s="1" t="s">
        <v>4828</v>
      </c>
      <c r="AR242" s="1" t="s">
        <v>1171</v>
      </c>
      <c r="AS242" s="1" t="s">
        <v>1172</v>
      </c>
      <c r="AT242" s="1" t="s">
        <v>330</v>
      </c>
      <c r="AU242" s="1">
        <v>212</v>
      </c>
      <c r="AV242" s="1">
        <v>0</v>
      </c>
      <c r="AW242" s="1" t="s">
        <v>5275</v>
      </c>
      <c r="AX242" s="1" t="s">
        <v>4848</v>
      </c>
      <c r="AY242" s="1">
        <v>4</v>
      </c>
      <c r="AZ242" s="1">
        <v>0</v>
      </c>
      <c r="BA242" s="1" t="s">
        <v>330</v>
      </c>
      <c r="BB242" s="1" t="s">
        <v>5072</v>
      </c>
      <c r="BC242" s="1" t="s">
        <v>330</v>
      </c>
      <c r="BD242" s="1">
        <v>10202</v>
      </c>
      <c r="BE242" s="1"/>
    </row>
    <row r="243" spans="1:57" x14ac:dyDescent="0.25">
      <c r="A243" s="1">
        <v>249</v>
      </c>
      <c r="B243" s="1" t="s">
        <v>3761</v>
      </c>
      <c r="C243" s="9" t="s">
        <v>240</v>
      </c>
      <c r="D243" s="1" t="s">
        <v>240</v>
      </c>
      <c r="E243" s="1"/>
      <c r="F243" s="1"/>
      <c r="G243" s="1" t="s">
        <v>3762</v>
      </c>
      <c r="H243" s="1" t="s">
        <v>3763</v>
      </c>
      <c r="I243" s="1" t="s">
        <v>3764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1222</v>
      </c>
      <c r="AK243" s="1" t="s">
        <v>330</v>
      </c>
      <c r="AL243" s="1">
        <v>19</v>
      </c>
      <c r="AM243" s="1" t="s">
        <v>4944</v>
      </c>
      <c r="AN243" s="1" t="s">
        <v>5222</v>
      </c>
      <c r="AO243" s="1" t="s">
        <v>5305</v>
      </c>
      <c r="AP243" s="1">
        <v>0</v>
      </c>
      <c r="AQ243" s="1" t="s">
        <v>1219</v>
      </c>
      <c r="AR243" s="1" t="s">
        <v>1220</v>
      </c>
      <c r="AS243" s="1" t="s">
        <v>1221</v>
      </c>
      <c r="AT243" s="1" t="s">
        <v>330</v>
      </c>
      <c r="AU243" s="1">
        <v>195</v>
      </c>
      <c r="AV243" s="1">
        <v>0</v>
      </c>
      <c r="AW243" s="1" t="s">
        <v>5306</v>
      </c>
      <c r="AX243" s="1" t="s">
        <v>5269</v>
      </c>
      <c r="AY243" s="1">
        <v>3</v>
      </c>
      <c r="AZ243" s="1">
        <v>0</v>
      </c>
      <c r="BA243" s="1" t="s">
        <v>330</v>
      </c>
      <c r="BB243" s="1" t="s">
        <v>330</v>
      </c>
      <c r="BC243" s="1" t="s">
        <v>330</v>
      </c>
      <c r="BD243" s="1">
        <v>10802</v>
      </c>
      <c r="BE243" s="1"/>
    </row>
    <row r="244" spans="1:57" x14ac:dyDescent="0.25">
      <c r="A244" s="1">
        <v>250</v>
      </c>
      <c r="B244" s="1" t="s">
        <v>3765</v>
      </c>
      <c r="C244" s="9" t="s">
        <v>200</v>
      </c>
      <c r="D244" s="1" t="s">
        <v>200</v>
      </c>
      <c r="E244" s="1"/>
      <c r="F244" s="1"/>
      <c r="G244" s="1" t="s">
        <v>3766</v>
      </c>
      <c r="H244" s="1" t="s">
        <v>3767</v>
      </c>
      <c r="I244" s="1" t="s">
        <v>3768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330</v>
      </c>
      <c r="AK244" s="1" t="s">
        <v>330</v>
      </c>
      <c r="AL244" s="1">
        <v>14</v>
      </c>
      <c r="AM244" s="1" t="s">
        <v>1891</v>
      </c>
      <c r="AN244" s="1" t="s">
        <v>5307</v>
      </c>
      <c r="AO244" s="1" t="s">
        <v>5142</v>
      </c>
      <c r="AP244" s="1">
        <v>0</v>
      </c>
      <c r="AQ244" s="1" t="s">
        <v>1170</v>
      </c>
      <c r="AR244" s="1" t="s">
        <v>1171</v>
      </c>
      <c r="AS244" s="1" t="s">
        <v>1172</v>
      </c>
      <c r="AT244" s="1" t="s">
        <v>330</v>
      </c>
      <c r="AU244" s="1">
        <v>96</v>
      </c>
      <c r="AV244" s="1">
        <v>0</v>
      </c>
      <c r="AW244" s="1" t="s">
        <v>5275</v>
      </c>
      <c r="AX244" s="1" t="s">
        <v>5308</v>
      </c>
      <c r="AY244" s="1">
        <v>5</v>
      </c>
      <c r="AZ244" s="1">
        <v>0</v>
      </c>
      <c r="BA244" s="1" t="s">
        <v>330</v>
      </c>
      <c r="BB244" s="1" t="s">
        <v>330</v>
      </c>
      <c r="BC244" s="1" t="s">
        <v>330</v>
      </c>
      <c r="BD244" s="1">
        <v>10203</v>
      </c>
      <c r="BE244" s="1"/>
    </row>
    <row r="245" spans="1:57" x14ac:dyDescent="0.25">
      <c r="A245" s="1">
        <v>251</v>
      </c>
      <c r="B245" s="1" t="s">
        <v>3769</v>
      </c>
      <c r="C245" s="9" t="s">
        <v>198</v>
      </c>
      <c r="D245" s="1" t="s">
        <v>198</v>
      </c>
      <c r="E245" s="1"/>
      <c r="F245" s="1"/>
      <c r="G245" s="1" t="s">
        <v>3770</v>
      </c>
      <c r="H245" s="1" t="s">
        <v>3771</v>
      </c>
      <c r="I245" s="1" t="s">
        <v>3772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330</v>
      </c>
      <c r="AK245" s="1" t="s">
        <v>1313</v>
      </c>
      <c r="AL245" s="1">
        <v>12</v>
      </c>
      <c r="AM245" s="1" t="s">
        <v>4876</v>
      </c>
      <c r="AN245" s="1" t="s">
        <v>5284</v>
      </c>
      <c r="AO245" s="1" t="s">
        <v>4903</v>
      </c>
      <c r="AP245" s="1">
        <v>0</v>
      </c>
      <c r="AQ245" s="1" t="s">
        <v>1181</v>
      </c>
      <c r="AR245" s="1" t="s">
        <v>1171</v>
      </c>
      <c r="AS245" s="1" t="s">
        <v>1182</v>
      </c>
      <c r="AT245" s="1" t="s">
        <v>330</v>
      </c>
      <c r="AU245" s="1">
        <v>28</v>
      </c>
      <c r="AV245" s="1">
        <v>0</v>
      </c>
      <c r="AW245" s="1" t="s">
        <v>5275</v>
      </c>
      <c r="AX245" s="1" t="s">
        <v>5269</v>
      </c>
      <c r="AY245" s="1">
        <v>5</v>
      </c>
      <c r="AZ245" s="1">
        <v>0</v>
      </c>
      <c r="BA245" s="1" t="s">
        <v>330</v>
      </c>
      <c r="BB245" s="1" t="s">
        <v>330</v>
      </c>
      <c r="BC245" s="1" t="s">
        <v>330</v>
      </c>
      <c r="BD245" s="1">
        <v>10203</v>
      </c>
      <c r="BE245" s="1"/>
    </row>
    <row r="246" spans="1:57" x14ac:dyDescent="0.25">
      <c r="A246" s="1">
        <v>252</v>
      </c>
      <c r="B246" s="1" t="s">
        <v>3773</v>
      </c>
      <c r="C246" s="9" t="s">
        <v>199</v>
      </c>
      <c r="D246" s="1" t="s">
        <v>199</v>
      </c>
      <c r="E246" s="1"/>
      <c r="F246" s="1"/>
      <c r="G246" s="1" t="s">
        <v>3774</v>
      </c>
      <c r="H246" s="1" t="s">
        <v>3775</v>
      </c>
      <c r="I246" s="1" t="s">
        <v>3776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1314</v>
      </c>
      <c r="AK246" s="1" t="s">
        <v>330</v>
      </c>
      <c r="AL246" s="1">
        <v>13</v>
      </c>
      <c r="AM246" s="1" t="s">
        <v>4848</v>
      </c>
      <c r="AN246" s="1" t="s">
        <v>4970</v>
      </c>
      <c r="AO246" s="1" t="s">
        <v>4918</v>
      </c>
      <c r="AP246" s="1">
        <v>0</v>
      </c>
      <c r="AQ246" s="1" t="s">
        <v>1799</v>
      </c>
      <c r="AR246" s="1" t="s">
        <v>1193</v>
      </c>
      <c r="AS246" s="1" t="s">
        <v>1194</v>
      </c>
      <c r="AT246" s="1" t="s">
        <v>330</v>
      </c>
      <c r="AU246" s="1">
        <v>184</v>
      </c>
      <c r="AV246" s="1">
        <v>0</v>
      </c>
      <c r="AW246" s="1" t="s">
        <v>5275</v>
      </c>
      <c r="AX246" s="1" t="s">
        <v>5309</v>
      </c>
      <c r="AY246" s="1">
        <v>4</v>
      </c>
      <c r="AZ246" s="1">
        <v>0</v>
      </c>
      <c r="BA246" s="1" t="s">
        <v>4829</v>
      </c>
      <c r="BB246" s="1" t="s">
        <v>330</v>
      </c>
      <c r="BC246" s="1" t="s">
        <v>4843</v>
      </c>
      <c r="BD246" s="1">
        <v>10802</v>
      </c>
      <c r="BE246" s="1"/>
    </row>
    <row r="247" spans="1:57" x14ac:dyDescent="0.25">
      <c r="A247" s="1">
        <v>253</v>
      </c>
      <c r="B247" s="1" t="s">
        <v>3777</v>
      </c>
      <c r="C247" s="9" t="s">
        <v>241</v>
      </c>
      <c r="D247" s="1" t="s">
        <v>241</v>
      </c>
      <c r="E247" s="1"/>
      <c r="F247" s="1"/>
      <c r="G247" s="1" t="s">
        <v>3778</v>
      </c>
      <c r="H247" s="1" t="s">
        <v>3779</v>
      </c>
      <c r="I247" s="1" t="s">
        <v>3780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1315</v>
      </c>
      <c r="AK247" s="1" t="s">
        <v>330</v>
      </c>
      <c r="AL247" s="1">
        <v>18</v>
      </c>
      <c r="AM247" s="1" t="s">
        <v>4944</v>
      </c>
      <c r="AN247" s="1" t="s">
        <v>5070</v>
      </c>
      <c r="AO247" s="1" t="s">
        <v>5291</v>
      </c>
      <c r="AP247" s="1">
        <v>0</v>
      </c>
      <c r="AQ247" s="1" t="s">
        <v>1219</v>
      </c>
      <c r="AR247" s="1" t="s">
        <v>1220</v>
      </c>
      <c r="AS247" s="1" t="s">
        <v>1221</v>
      </c>
      <c r="AT247" s="1" t="s">
        <v>330</v>
      </c>
      <c r="AU247" s="1">
        <v>238</v>
      </c>
      <c r="AV247" s="1">
        <v>0</v>
      </c>
      <c r="AW247" s="1" t="s">
        <v>5275</v>
      </c>
      <c r="AX247" s="1" t="s">
        <v>5309</v>
      </c>
      <c r="AY247" s="1">
        <v>5</v>
      </c>
      <c r="AZ247" s="1">
        <v>0</v>
      </c>
      <c r="BA247" s="1" t="s">
        <v>330</v>
      </c>
      <c r="BB247" s="1" t="s">
        <v>4967</v>
      </c>
      <c r="BC247" s="1" t="s">
        <v>4806</v>
      </c>
      <c r="BD247" s="1">
        <v>10801</v>
      </c>
      <c r="BE247" s="1"/>
    </row>
    <row r="248" spans="1:57" x14ac:dyDescent="0.25">
      <c r="A248" s="1">
        <v>254</v>
      </c>
      <c r="B248" s="1" t="s">
        <v>3781</v>
      </c>
      <c r="C248" s="9" t="s">
        <v>1704</v>
      </c>
      <c r="D248" s="1" t="s">
        <v>1704</v>
      </c>
      <c r="E248" s="1"/>
      <c r="F248" s="1"/>
      <c r="G248" s="1" t="s">
        <v>3782</v>
      </c>
      <c r="H248" s="1" t="s">
        <v>3783</v>
      </c>
      <c r="I248" s="1" t="s">
        <v>3784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1316</v>
      </c>
      <c r="AK248" s="1" t="s">
        <v>1317</v>
      </c>
      <c r="AL248" s="1">
        <v>17</v>
      </c>
      <c r="AM248" s="1" t="s">
        <v>4944</v>
      </c>
      <c r="AN248" s="1" t="s">
        <v>5002</v>
      </c>
      <c r="AO248" s="1" t="s">
        <v>5028</v>
      </c>
      <c r="AP248" s="1">
        <v>0</v>
      </c>
      <c r="AQ248" s="1" t="s">
        <v>1219</v>
      </c>
      <c r="AR248" s="1" t="s">
        <v>1220</v>
      </c>
      <c r="AS248" s="1" t="s">
        <v>1221</v>
      </c>
      <c r="AT248" s="1" t="s">
        <v>330</v>
      </c>
      <c r="AU248" s="1">
        <v>199</v>
      </c>
      <c r="AV248" s="1">
        <v>0</v>
      </c>
      <c r="AW248" s="1" t="s">
        <v>5275</v>
      </c>
      <c r="AX248" s="1" t="s">
        <v>5269</v>
      </c>
      <c r="AY248" s="1">
        <v>4</v>
      </c>
      <c r="AZ248" s="1">
        <v>0</v>
      </c>
      <c r="BA248" s="1" t="s">
        <v>330</v>
      </c>
      <c r="BB248" s="1" t="s">
        <v>330</v>
      </c>
      <c r="BC248" s="1" t="s">
        <v>330</v>
      </c>
      <c r="BD248" s="1">
        <v>10802</v>
      </c>
      <c r="BE248" s="1"/>
    </row>
    <row r="249" spans="1:57" x14ac:dyDescent="0.25">
      <c r="A249" s="1">
        <v>255</v>
      </c>
      <c r="B249" s="1" t="s">
        <v>3785</v>
      </c>
      <c r="C249" s="9" t="s">
        <v>242</v>
      </c>
      <c r="D249" s="1" t="s">
        <v>3786</v>
      </c>
      <c r="E249" s="1"/>
      <c r="F249" s="1"/>
      <c r="G249" s="1" t="s">
        <v>3787</v>
      </c>
      <c r="H249" s="1" t="s">
        <v>3788</v>
      </c>
      <c r="I249" s="1" t="s">
        <v>3789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1177</v>
      </c>
      <c r="AK249" s="1" t="s">
        <v>330</v>
      </c>
      <c r="AL249" s="1">
        <v>13</v>
      </c>
      <c r="AM249" s="1" t="s">
        <v>4848</v>
      </c>
      <c r="AN249" s="1" t="s">
        <v>4915</v>
      </c>
      <c r="AO249" s="1" t="s">
        <v>4912</v>
      </c>
      <c r="AP249" s="1">
        <v>0</v>
      </c>
      <c r="AQ249" s="1" t="s">
        <v>1192</v>
      </c>
      <c r="AR249" s="1" t="s">
        <v>1193</v>
      </c>
      <c r="AS249" s="1" t="s">
        <v>1194</v>
      </c>
      <c r="AT249" s="1" t="s">
        <v>330</v>
      </c>
      <c r="AU249" s="1">
        <v>241</v>
      </c>
      <c r="AV249" s="1">
        <v>0</v>
      </c>
      <c r="AW249" s="1" t="s">
        <v>5310</v>
      </c>
      <c r="AX249" s="1" t="s">
        <v>5302</v>
      </c>
      <c r="AY249" s="1">
        <v>3</v>
      </c>
      <c r="AZ249" s="1">
        <v>0</v>
      </c>
      <c r="BA249" s="1" t="s">
        <v>330</v>
      </c>
      <c r="BB249" s="1" t="s">
        <v>330</v>
      </c>
      <c r="BC249" s="1" t="s">
        <v>330</v>
      </c>
      <c r="BD249" s="1">
        <v>10703</v>
      </c>
      <c r="BE249" s="1"/>
    </row>
    <row r="250" spans="1:57" x14ac:dyDescent="0.25">
      <c r="A250" s="1">
        <v>256</v>
      </c>
      <c r="B250" s="1" t="s">
        <v>3790</v>
      </c>
      <c r="C250" s="9" t="s">
        <v>202</v>
      </c>
      <c r="D250" s="1" t="s">
        <v>202</v>
      </c>
      <c r="E250" s="1"/>
      <c r="F250" s="1"/>
      <c r="G250" s="1" t="s">
        <v>3791</v>
      </c>
      <c r="H250" s="1" t="s">
        <v>3792</v>
      </c>
      <c r="I250" s="1" t="s">
        <v>3793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1318</v>
      </c>
      <c r="AK250" s="1" t="s">
        <v>1319</v>
      </c>
      <c r="AL250" s="1">
        <v>13</v>
      </c>
      <c r="AM250" s="1" t="s">
        <v>4848</v>
      </c>
      <c r="AN250" s="1" t="s">
        <v>4970</v>
      </c>
      <c r="AO250" s="1" t="s">
        <v>4912</v>
      </c>
      <c r="AP250" s="1">
        <v>0</v>
      </c>
      <c r="AQ250" s="1" t="s">
        <v>1192</v>
      </c>
      <c r="AR250" s="1" t="s">
        <v>1193</v>
      </c>
      <c r="AS250" s="1" t="s">
        <v>1194</v>
      </c>
      <c r="AT250" s="1" t="s">
        <v>330</v>
      </c>
      <c r="AU250" s="1">
        <v>241</v>
      </c>
      <c r="AV250" s="1">
        <v>0</v>
      </c>
      <c r="AW250" s="1" t="s">
        <v>5311</v>
      </c>
      <c r="AX250" s="1" t="s">
        <v>5302</v>
      </c>
      <c r="AY250" s="1">
        <v>3</v>
      </c>
      <c r="AZ250" s="1">
        <v>0</v>
      </c>
      <c r="BA250" s="1" t="s">
        <v>330</v>
      </c>
      <c r="BB250" s="1" t="s">
        <v>330</v>
      </c>
      <c r="BC250" s="1" t="s">
        <v>330</v>
      </c>
      <c r="BD250" s="1">
        <v>10703</v>
      </c>
      <c r="BE250" s="1"/>
    </row>
    <row r="251" spans="1:57" x14ac:dyDescent="0.25">
      <c r="A251" s="1">
        <v>257</v>
      </c>
      <c r="B251" s="1" t="s">
        <v>3794</v>
      </c>
      <c r="C251" s="9" t="s">
        <v>201</v>
      </c>
      <c r="D251" s="1" t="s">
        <v>201</v>
      </c>
      <c r="E251" s="1"/>
      <c r="F251" s="1"/>
      <c r="G251" s="1" t="s">
        <v>3795</v>
      </c>
      <c r="H251" s="1" t="s">
        <v>3796</v>
      </c>
      <c r="I251" s="1" t="s">
        <v>3797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1320</v>
      </c>
      <c r="AK251" s="1" t="s">
        <v>1321</v>
      </c>
      <c r="AL251" s="1">
        <v>13</v>
      </c>
      <c r="AM251" s="1" t="s">
        <v>4848</v>
      </c>
      <c r="AN251" s="1" t="s">
        <v>4970</v>
      </c>
      <c r="AO251" s="1" t="s">
        <v>4931</v>
      </c>
      <c r="AP251" s="1">
        <v>0</v>
      </c>
      <c r="AQ251" s="1" t="s">
        <v>1192</v>
      </c>
      <c r="AR251" s="1" t="s">
        <v>1193</v>
      </c>
      <c r="AS251" s="1" t="s">
        <v>1194</v>
      </c>
      <c r="AT251" s="1" t="s">
        <v>330</v>
      </c>
      <c r="AU251" s="1">
        <v>222</v>
      </c>
      <c r="AV251" s="1">
        <v>0</v>
      </c>
      <c r="AW251" s="1" t="s">
        <v>5312</v>
      </c>
      <c r="AX251" s="1" t="s">
        <v>333</v>
      </c>
      <c r="AY251" s="1">
        <v>5</v>
      </c>
      <c r="AZ251" s="1">
        <v>0</v>
      </c>
      <c r="BA251" s="1" t="s">
        <v>330</v>
      </c>
      <c r="BB251" s="1" t="s">
        <v>330</v>
      </c>
      <c r="BC251" s="1" t="s">
        <v>4806</v>
      </c>
      <c r="BD251" s="1">
        <v>10203</v>
      </c>
      <c r="BE251" s="1"/>
    </row>
    <row r="252" spans="1:57" x14ac:dyDescent="0.25">
      <c r="A252" s="1">
        <v>258</v>
      </c>
      <c r="B252" s="1" t="s">
        <v>3798</v>
      </c>
      <c r="C252" s="9" t="s">
        <v>203</v>
      </c>
      <c r="D252" s="1" t="s">
        <v>203</v>
      </c>
      <c r="E252" s="1"/>
      <c r="F252" s="1"/>
      <c r="G252" s="1" t="s">
        <v>3799</v>
      </c>
      <c r="H252" s="1" t="s">
        <v>3800</v>
      </c>
      <c r="I252" s="1" t="s">
        <v>3801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1177</v>
      </c>
      <c r="AK252" s="1" t="s">
        <v>330</v>
      </c>
      <c r="AL252" s="1">
        <v>13</v>
      </c>
      <c r="AM252" s="1" t="s">
        <v>4805</v>
      </c>
      <c r="AN252" s="1" t="s">
        <v>467</v>
      </c>
      <c r="AO252" s="1" t="s">
        <v>4951</v>
      </c>
      <c r="AP252" s="1">
        <v>0</v>
      </c>
      <c r="AQ252" s="1" t="s">
        <v>1182</v>
      </c>
      <c r="AR252" s="1" t="s">
        <v>1206</v>
      </c>
      <c r="AS252" s="1" t="s">
        <v>1181</v>
      </c>
      <c r="AT252" s="1" t="s">
        <v>330</v>
      </c>
      <c r="AU252" s="1">
        <v>239</v>
      </c>
      <c r="AV252" s="1">
        <v>0</v>
      </c>
      <c r="AW252" s="1" t="s">
        <v>5313</v>
      </c>
      <c r="AX252" s="1" t="s">
        <v>5302</v>
      </c>
      <c r="AY252" s="1">
        <v>3</v>
      </c>
      <c r="AZ252" s="1">
        <v>0</v>
      </c>
      <c r="BA252" s="1" t="s">
        <v>330</v>
      </c>
      <c r="BB252" s="1" t="s">
        <v>330</v>
      </c>
      <c r="BC252" s="1" t="s">
        <v>330</v>
      </c>
      <c r="BD252" s="1">
        <v>10402</v>
      </c>
      <c r="BE252" s="1"/>
    </row>
    <row r="253" spans="1:57" x14ac:dyDescent="0.25">
      <c r="A253" s="1">
        <v>259</v>
      </c>
      <c r="B253" s="1" t="s">
        <v>3802</v>
      </c>
      <c r="C253" s="9" t="s">
        <v>1705</v>
      </c>
      <c r="D253" s="1" t="s">
        <v>1705</v>
      </c>
      <c r="E253" s="1"/>
      <c r="F253" s="1"/>
      <c r="G253" s="1" t="s">
        <v>3803</v>
      </c>
      <c r="H253" s="1" t="s">
        <v>3804</v>
      </c>
      <c r="I253" s="1" t="s">
        <v>3805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1322</v>
      </c>
      <c r="AK253" s="1" t="s">
        <v>330</v>
      </c>
      <c r="AL253" s="1">
        <v>12</v>
      </c>
      <c r="AM253" s="1" t="s">
        <v>4876</v>
      </c>
      <c r="AN253" s="1" t="s">
        <v>360</v>
      </c>
      <c r="AO253" s="1" t="s">
        <v>5077</v>
      </c>
      <c r="AP253" s="1">
        <v>0</v>
      </c>
      <c r="AQ253" s="1" t="s">
        <v>1181</v>
      </c>
      <c r="AR253" s="1" t="s">
        <v>1171</v>
      </c>
      <c r="AS253" s="1" t="s">
        <v>1182</v>
      </c>
      <c r="AT253" s="1" t="s">
        <v>330</v>
      </c>
      <c r="AU253" s="1">
        <v>224</v>
      </c>
      <c r="AV253" s="1">
        <v>0</v>
      </c>
      <c r="AW253" s="1" t="s">
        <v>5314</v>
      </c>
      <c r="AX253" s="1" t="s">
        <v>5315</v>
      </c>
      <c r="AY253" s="1">
        <v>5</v>
      </c>
      <c r="AZ253" s="1">
        <v>0</v>
      </c>
      <c r="BA253" s="1" t="s">
        <v>330</v>
      </c>
      <c r="BB253" s="1" t="s">
        <v>330</v>
      </c>
      <c r="BC253" s="1" t="s">
        <v>330</v>
      </c>
      <c r="BD253" s="1">
        <v>10203</v>
      </c>
      <c r="BE253" s="1"/>
    </row>
    <row r="254" spans="1:57" x14ac:dyDescent="0.25">
      <c r="A254" s="1">
        <v>260</v>
      </c>
      <c r="B254" s="1" t="s">
        <v>3806</v>
      </c>
      <c r="C254" s="9" t="s">
        <v>1706</v>
      </c>
      <c r="D254" s="1" t="s">
        <v>1706</v>
      </c>
      <c r="E254" s="1"/>
      <c r="F254" s="1"/>
      <c r="G254" s="1" t="s">
        <v>3807</v>
      </c>
      <c r="H254" s="1" t="s">
        <v>3808</v>
      </c>
      <c r="I254" s="1" t="s">
        <v>3809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5316</v>
      </c>
      <c r="AK254" s="1" t="s">
        <v>330</v>
      </c>
      <c r="AL254" s="1">
        <v>12</v>
      </c>
      <c r="AM254" s="1" t="s">
        <v>1891</v>
      </c>
      <c r="AN254" s="1" t="s">
        <v>5317</v>
      </c>
      <c r="AO254" s="1" t="s">
        <v>4903</v>
      </c>
      <c r="AP254" s="1">
        <v>0</v>
      </c>
      <c r="AQ254" s="1" t="s">
        <v>1170</v>
      </c>
      <c r="AR254" s="1" t="s">
        <v>1171</v>
      </c>
      <c r="AS254" s="1" t="s">
        <v>1172</v>
      </c>
      <c r="AT254" s="1" t="s">
        <v>330</v>
      </c>
      <c r="AU254" s="1">
        <v>96</v>
      </c>
      <c r="AV254" s="1">
        <v>0</v>
      </c>
      <c r="AW254" s="1" t="s">
        <v>5312</v>
      </c>
      <c r="AX254" s="1" t="s">
        <v>4848</v>
      </c>
      <c r="AY254" s="1">
        <v>5</v>
      </c>
      <c r="AZ254" s="1">
        <v>0</v>
      </c>
      <c r="BA254" s="1" t="s">
        <v>330</v>
      </c>
      <c r="BB254" s="1" t="s">
        <v>330</v>
      </c>
      <c r="BC254" s="1" t="s">
        <v>330</v>
      </c>
      <c r="BD254" s="1">
        <v>10402</v>
      </c>
      <c r="BE254" s="1"/>
    </row>
    <row r="255" spans="1:57" x14ac:dyDescent="0.25">
      <c r="A255" s="1">
        <v>261</v>
      </c>
      <c r="B255" s="1" t="s">
        <v>3810</v>
      </c>
      <c r="C255" s="9" t="s">
        <v>1707</v>
      </c>
      <c r="D255" s="1" t="s">
        <v>1707</v>
      </c>
      <c r="E255" s="1"/>
      <c r="F255" s="1"/>
      <c r="G255" s="1" t="s">
        <v>3811</v>
      </c>
      <c r="H255" s="1" t="s">
        <v>3812</v>
      </c>
      <c r="I255" s="1" t="s">
        <v>3813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1323</v>
      </c>
      <c r="AK255" s="1" t="s">
        <v>1324</v>
      </c>
      <c r="AL255" s="1">
        <v>19</v>
      </c>
      <c r="AM255" s="1" t="s">
        <v>4848</v>
      </c>
      <c r="AN255" s="1" t="s">
        <v>5318</v>
      </c>
      <c r="AO255" s="1" t="s">
        <v>4931</v>
      </c>
      <c r="AP255" s="1">
        <v>0</v>
      </c>
      <c r="AQ255" s="1" t="s">
        <v>1192</v>
      </c>
      <c r="AR255" s="1" t="s">
        <v>1193</v>
      </c>
      <c r="AS255" s="1" t="s">
        <v>1194</v>
      </c>
      <c r="AT255" s="1" t="s">
        <v>330</v>
      </c>
      <c r="AU255" s="1">
        <v>222</v>
      </c>
      <c r="AV255" s="1">
        <v>0</v>
      </c>
      <c r="AW255" s="1" t="s">
        <v>5312</v>
      </c>
      <c r="AX255" s="1" t="s">
        <v>5251</v>
      </c>
      <c r="AY255" s="1">
        <v>5</v>
      </c>
      <c r="AZ255" s="1">
        <v>0</v>
      </c>
      <c r="BA255" s="1" t="s">
        <v>330</v>
      </c>
      <c r="BB255" s="1" t="s">
        <v>330</v>
      </c>
      <c r="BC255" s="1" t="s">
        <v>4869</v>
      </c>
      <c r="BD255" s="1">
        <v>10203</v>
      </c>
      <c r="BE255" s="1"/>
    </row>
    <row r="256" spans="1:57" x14ac:dyDescent="0.25">
      <c r="A256" s="1">
        <v>262</v>
      </c>
      <c r="B256" s="1" t="s">
        <v>3814</v>
      </c>
      <c r="C256" s="9" t="s">
        <v>1708</v>
      </c>
      <c r="D256" s="1" t="s">
        <v>1708</v>
      </c>
      <c r="E256" s="1"/>
      <c r="F256" s="1"/>
      <c r="G256" s="1" t="s">
        <v>3815</v>
      </c>
      <c r="H256" s="1" t="s">
        <v>3816</v>
      </c>
      <c r="I256" s="1" t="s">
        <v>3817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330</v>
      </c>
      <c r="AK256" s="1" t="s">
        <v>1325</v>
      </c>
      <c r="AL256" s="1">
        <v>13</v>
      </c>
      <c r="AM256" s="1" t="s">
        <v>4805</v>
      </c>
      <c r="AN256" s="1" t="s">
        <v>4920</v>
      </c>
      <c r="AO256" s="1" t="s">
        <v>5288</v>
      </c>
      <c r="AP256" s="1">
        <v>0</v>
      </c>
      <c r="AQ256" s="1" t="s">
        <v>1182</v>
      </c>
      <c r="AR256" s="1" t="s">
        <v>1206</v>
      </c>
      <c r="AS256" s="1" t="s">
        <v>1181</v>
      </c>
      <c r="AT256" s="1" t="s">
        <v>330</v>
      </c>
      <c r="AU256" s="1">
        <v>216</v>
      </c>
      <c r="AV256" s="1">
        <v>0</v>
      </c>
      <c r="AW256" s="1" t="s">
        <v>5312</v>
      </c>
      <c r="AX256" s="1" t="s">
        <v>333</v>
      </c>
      <c r="AY256" s="1">
        <v>4</v>
      </c>
      <c r="AZ256" s="1">
        <v>0</v>
      </c>
      <c r="BA256" s="1" t="s">
        <v>330</v>
      </c>
      <c r="BB256" s="1" t="s">
        <v>330</v>
      </c>
      <c r="BC256" s="1" t="s">
        <v>330</v>
      </c>
      <c r="BD256" s="1">
        <v>10303</v>
      </c>
      <c r="BE256" s="1"/>
    </row>
    <row r="257" spans="1:57" x14ac:dyDescent="0.25">
      <c r="A257" s="1">
        <v>263</v>
      </c>
      <c r="B257" s="1" t="s">
        <v>3818</v>
      </c>
      <c r="C257" s="9" t="s">
        <v>205</v>
      </c>
      <c r="D257" s="1" t="s">
        <v>205</v>
      </c>
      <c r="E257" s="1"/>
      <c r="F257" s="1"/>
      <c r="G257" s="1" t="s">
        <v>3819</v>
      </c>
      <c r="H257" s="1" t="s">
        <v>3820</v>
      </c>
      <c r="I257" s="1" t="s">
        <v>3821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5319</v>
      </c>
      <c r="AK257" s="1" t="s">
        <v>1326</v>
      </c>
      <c r="AL257" s="1">
        <v>18</v>
      </c>
      <c r="AM257" s="1" t="s">
        <v>1012</v>
      </c>
      <c r="AN257" s="1" t="s">
        <v>5320</v>
      </c>
      <c r="AO257" s="1" t="s">
        <v>5028</v>
      </c>
      <c r="AP257" s="1">
        <v>0</v>
      </c>
      <c r="AQ257" s="1" t="s">
        <v>1219</v>
      </c>
      <c r="AR257" s="1" t="s">
        <v>1220</v>
      </c>
      <c r="AS257" s="1" t="s">
        <v>1221</v>
      </c>
      <c r="AT257" s="1" t="s">
        <v>330</v>
      </c>
      <c r="AU257" s="1">
        <v>238</v>
      </c>
      <c r="AV257" s="1">
        <v>0</v>
      </c>
      <c r="AW257" s="1" t="s">
        <v>5312</v>
      </c>
      <c r="AX257" s="1" t="s">
        <v>333</v>
      </c>
      <c r="AY257" s="1">
        <v>5</v>
      </c>
      <c r="AZ257" s="1">
        <v>0</v>
      </c>
      <c r="BA257" s="1" t="s">
        <v>330</v>
      </c>
      <c r="BB257" s="1" t="s">
        <v>5058</v>
      </c>
      <c r="BC257" s="1" t="s">
        <v>4855</v>
      </c>
      <c r="BD257" s="1">
        <v>10802</v>
      </c>
      <c r="BE257" s="1"/>
    </row>
    <row r="258" spans="1:57" x14ac:dyDescent="0.25">
      <c r="A258" s="1">
        <v>264</v>
      </c>
      <c r="B258" s="1" t="s">
        <v>3822</v>
      </c>
      <c r="C258" s="9" t="s">
        <v>204</v>
      </c>
      <c r="D258" s="1" t="s">
        <v>3823</v>
      </c>
      <c r="E258" s="1"/>
      <c r="F258" s="1"/>
      <c r="G258" s="1" t="s">
        <v>3824</v>
      </c>
      <c r="H258" s="1" t="s">
        <v>3825</v>
      </c>
      <c r="I258" s="1" t="s">
        <v>3826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5321</v>
      </c>
      <c r="AK258" s="1" t="s">
        <v>1327</v>
      </c>
      <c r="AL258" s="1">
        <v>17</v>
      </c>
      <c r="AM258" s="1" t="s">
        <v>4944</v>
      </c>
      <c r="AN258" s="1" t="s">
        <v>5005</v>
      </c>
      <c r="AO258" s="1" t="s">
        <v>5322</v>
      </c>
      <c r="AP258" s="1">
        <v>0</v>
      </c>
      <c r="AQ258" s="1" t="s">
        <v>1219</v>
      </c>
      <c r="AR258" s="1" t="s">
        <v>1220</v>
      </c>
      <c r="AS258" s="1" t="s">
        <v>1221</v>
      </c>
      <c r="AT258" s="1" t="s">
        <v>330</v>
      </c>
      <c r="AU258" s="1">
        <v>199</v>
      </c>
      <c r="AV258" s="1">
        <v>0</v>
      </c>
      <c r="AW258" s="1" t="s">
        <v>5312</v>
      </c>
      <c r="AX258" s="1" t="s">
        <v>333</v>
      </c>
      <c r="AY258" s="1">
        <v>4</v>
      </c>
      <c r="AZ258" s="1">
        <v>0</v>
      </c>
      <c r="BA258" s="1" t="s">
        <v>330</v>
      </c>
      <c r="BB258" s="1" t="s">
        <v>5175</v>
      </c>
      <c r="BC258" s="1" t="s">
        <v>330</v>
      </c>
      <c r="BD258" s="1">
        <v>10403</v>
      </c>
      <c r="BE258" s="1"/>
    </row>
    <row r="259" spans="1:57" x14ac:dyDescent="0.25">
      <c r="A259" s="1">
        <v>265</v>
      </c>
      <c r="B259" s="1" t="s">
        <v>3827</v>
      </c>
      <c r="C259" s="9" t="s">
        <v>206</v>
      </c>
      <c r="D259" s="1" t="s">
        <v>206</v>
      </c>
      <c r="E259" s="1"/>
      <c r="F259" s="1"/>
      <c r="G259" s="1" t="s">
        <v>3828</v>
      </c>
      <c r="H259" s="1" t="s">
        <v>3829</v>
      </c>
      <c r="I259" s="1" t="s">
        <v>3830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1177</v>
      </c>
      <c r="AK259" s="1" t="s">
        <v>330</v>
      </c>
      <c r="AL259" s="1">
        <v>13</v>
      </c>
      <c r="AM259" s="1" t="s">
        <v>4805</v>
      </c>
      <c r="AN259" s="1" t="s">
        <v>4920</v>
      </c>
      <c r="AO259" s="1" t="s">
        <v>4834</v>
      </c>
      <c r="AP259" s="1">
        <v>0</v>
      </c>
      <c r="AQ259" s="1" t="s">
        <v>1182</v>
      </c>
      <c r="AR259" s="1" t="s">
        <v>1206</v>
      </c>
      <c r="AS259" s="1" t="s">
        <v>1181</v>
      </c>
      <c r="AT259" s="1" t="s">
        <v>330</v>
      </c>
      <c r="AU259" s="1">
        <v>105</v>
      </c>
      <c r="AV259" s="1">
        <v>0</v>
      </c>
      <c r="AW259" s="1" t="s">
        <v>5323</v>
      </c>
      <c r="AX259" s="1" t="s">
        <v>5302</v>
      </c>
      <c r="AY259" s="1">
        <v>3</v>
      </c>
      <c r="AZ259" s="1">
        <v>0</v>
      </c>
      <c r="BA259" s="1" t="s">
        <v>330</v>
      </c>
      <c r="BB259" s="1" t="s">
        <v>330</v>
      </c>
      <c r="BC259" s="1" t="s">
        <v>4855</v>
      </c>
      <c r="BD259" s="1">
        <v>10403</v>
      </c>
      <c r="BE259" s="1"/>
    </row>
    <row r="260" spans="1:57" x14ac:dyDescent="0.25">
      <c r="A260" s="1">
        <v>266</v>
      </c>
      <c r="B260" s="1" t="s">
        <v>3831</v>
      </c>
      <c r="C260" s="9" t="s">
        <v>207</v>
      </c>
      <c r="D260" s="1" t="s">
        <v>207</v>
      </c>
      <c r="E260" s="1"/>
      <c r="F260" s="1"/>
      <c r="G260" s="1" t="s">
        <v>3832</v>
      </c>
      <c r="H260" s="1" t="s">
        <v>3833</v>
      </c>
      <c r="I260" s="1" t="s">
        <v>3834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1328</v>
      </c>
      <c r="AK260" s="1" t="s">
        <v>1329</v>
      </c>
      <c r="AL260" s="1">
        <v>13</v>
      </c>
      <c r="AM260" s="1" t="s">
        <v>4848</v>
      </c>
      <c r="AN260" s="1" t="s">
        <v>4950</v>
      </c>
      <c r="AO260" s="1" t="s">
        <v>4931</v>
      </c>
      <c r="AP260" s="1">
        <v>0</v>
      </c>
      <c r="AQ260" s="1" t="s">
        <v>1192</v>
      </c>
      <c r="AR260" s="1" t="s">
        <v>1193</v>
      </c>
      <c r="AS260" s="1" t="s">
        <v>1194</v>
      </c>
      <c r="AT260" s="1" t="s">
        <v>330</v>
      </c>
      <c r="AU260" s="1">
        <v>48</v>
      </c>
      <c r="AV260" s="1">
        <v>0</v>
      </c>
      <c r="AW260" s="1" t="s">
        <v>5324</v>
      </c>
      <c r="AX260" s="1" t="s">
        <v>5325</v>
      </c>
      <c r="AY260" s="1">
        <v>5</v>
      </c>
      <c r="AZ260" s="1">
        <v>0</v>
      </c>
      <c r="BA260" s="1" t="s">
        <v>330</v>
      </c>
      <c r="BB260" s="1" t="s">
        <v>330</v>
      </c>
      <c r="BC260" s="1" t="s">
        <v>4855</v>
      </c>
      <c r="BD260" s="1">
        <v>10201</v>
      </c>
      <c r="BE260" s="1"/>
    </row>
    <row r="261" spans="1:57" x14ac:dyDescent="0.25">
      <c r="A261" s="1">
        <v>267</v>
      </c>
      <c r="B261" s="1" t="s">
        <v>3835</v>
      </c>
      <c r="C261" s="9" t="s">
        <v>208</v>
      </c>
      <c r="D261" s="1" t="s">
        <v>208</v>
      </c>
      <c r="E261" s="1"/>
      <c r="F261" s="1"/>
      <c r="G261" s="1" t="s">
        <v>3836</v>
      </c>
      <c r="H261" s="1" t="s">
        <v>3837</v>
      </c>
      <c r="I261" s="1" t="s">
        <v>3838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1177</v>
      </c>
      <c r="AK261" s="1" t="s">
        <v>330</v>
      </c>
      <c r="AL261" s="1">
        <v>13</v>
      </c>
      <c r="AM261" s="1" t="s">
        <v>4876</v>
      </c>
      <c r="AN261" s="1" t="s">
        <v>5079</v>
      </c>
      <c r="AO261" s="1" t="s">
        <v>5080</v>
      </c>
      <c r="AP261" s="1">
        <v>0</v>
      </c>
      <c r="AQ261" s="1" t="s">
        <v>1181</v>
      </c>
      <c r="AR261" s="1" t="s">
        <v>1171</v>
      </c>
      <c r="AS261" s="1" t="s">
        <v>1182</v>
      </c>
      <c r="AT261" s="1" t="s">
        <v>330</v>
      </c>
      <c r="AU261" s="1">
        <v>116</v>
      </c>
      <c r="AV261" s="1">
        <v>0</v>
      </c>
      <c r="AW261" s="1" t="s">
        <v>5326</v>
      </c>
      <c r="AX261" s="1" t="s">
        <v>5302</v>
      </c>
      <c r="AY261" s="1">
        <v>3</v>
      </c>
      <c r="AZ261" s="1">
        <v>0</v>
      </c>
      <c r="BA261" s="1" t="s">
        <v>330</v>
      </c>
      <c r="BB261" s="1" t="s">
        <v>330</v>
      </c>
      <c r="BC261" s="1" t="s">
        <v>4855</v>
      </c>
      <c r="BD261" s="1">
        <v>10704</v>
      </c>
      <c r="BE261" s="1"/>
    </row>
    <row r="262" spans="1:57" x14ac:dyDescent="0.25">
      <c r="A262" s="1">
        <v>268</v>
      </c>
      <c r="B262" s="1" t="s">
        <v>3839</v>
      </c>
      <c r="C262" s="9" t="s">
        <v>1709</v>
      </c>
      <c r="D262" s="1" t="s">
        <v>1709</v>
      </c>
      <c r="E262" s="1"/>
      <c r="F262" s="1"/>
      <c r="G262" s="1" t="s">
        <v>3840</v>
      </c>
      <c r="H262" s="1" t="s">
        <v>3841</v>
      </c>
      <c r="I262" s="1" t="s">
        <v>3842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1177</v>
      </c>
      <c r="AK262" s="1" t="s">
        <v>330</v>
      </c>
      <c r="AL262" s="1">
        <v>13</v>
      </c>
      <c r="AM262" s="1" t="s">
        <v>4848</v>
      </c>
      <c r="AN262" s="1" t="s">
        <v>4920</v>
      </c>
      <c r="AO262" s="1" t="s">
        <v>4912</v>
      </c>
      <c r="AP262" s="1">
        <v>0</v>
      </c>
      <c r="AQ262" s="1" t="s">
        <v>1192</v>
      </c>
      <c r="AR262" s="1" t="s">
        <v>1193</v>
      </c>
      <c r="AS262" s="1" t="s">
        <v>1194</v>
      </c>
      <c r="AT262" s="1" t="s">
        <v>330</v>
      </c>
      <c r="AU262" s="1">
        <v>241</v>
      </c>
      <c r="AV262" s="1">
        <v>0</v>
      </c>
      <c r="AW262" s="1" t="s">
        <v>5327</v>
      </c>
      <c r="AX262" s="1" t="s">
        <v>5328</v>
      </c>
      <c r="AY262" s="1">
        <v>3</v>
      </c>
      <c r="AZ262" s="1">
        <v>0</v>
      </c>
      <c r="BA262" s="1" t="s">
        <v>330</v>
      </c>
      <c r="BB262" s="1" t="s">
        <v>330</v>
      </c>
      <c r="BC262" s="1" t="s">
        <v>330</v>
      </c>
      <c r="BD262" s="1">
        <v>10802</v>
      </c>
      <c r="BE262" s="1"/>
    </row>
    <row r="263" spans="1:57" x14ac:dyDescent="0.25">
      <c r="A263" s="1">
        <v>269</v>
      </c>
      <c r="B263" s="1" t="s">
        <v>3843</v>
      </c>
      <c r="C263" s="9" t="s">
        <v>209</v>
      </c>
      <c r="D263" s="1" t="s">
        <v>209</v>
      </c>
      <c r="E263" s="1"/>
      <c r="F263" s="1"/>
      <c r="G263" s="1" t="s">
        <v>3844</v>
      </c>
      <c r="H263" s="1" t="s">
        <v>3845</v>
      </c>
      <c r="I263" s="1" t="s">
        <v>3846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1330</v>
      </c>
      <c r="AK263" s="1" t="s">
        <v>1331</v>
      </c>
      <c r="AL263" s="1">
        <v>12</v>
      </c>
      <c r="AM263" s="1" t="s">
        <v>1891</v>
      </c>
      <c r="AN263" s="1" t="s">
        <v>5329</v>
      </c>
      <c r="AO263" s="1" t="s">
        <v>5330</v>
      </c>
      <c r="AP263" s="1">
        <v>0</v>
      </c>
      <c r="AQ263" s="1" t="s">
        <v>1170</v>
      </c>
      <c r="AR263" s="1" t="s">
        <v>1171</v>
      </c>
      <c r="AS263" s="1" t="s">
        <v>1172</v>
      </c>
      <c r="AT263" s="1" t="s">
        <v>330</v>
      </c>
      <c r="AU263" s="1">
        <v>212</v>
      </c>
      <c r="AV263" s="1">
        <v>0</v>
      </c>
      <c r="AW263" s="1" t="s">
        <v>5253</v>
      </c>
      <c r="AX263" s="1" t="s">
        <v>4848</v>
      </c>
      <c r="AY263" s="1">
        <v>4</v>
      </c>
      <c r="AZ263" s="1">
        <v>0</v>
      </c>
      <c r="BA263" s="1" t="s">
        <v>330</v>
      </c>
      <c r="BB263" s="1" t="s">
        <v>330</v>
      </c>
      <c r="BC263" s="1" t="s">
        <v>4855</v>
      </c>
      <c r="BD263" s="1">
        <v>10403</v>
      </c>
      <c r="BE263" s="1"/>
    </row>
    <row r="264" spans="1:57" x14ac:dyDescent="0.25">
      <c r="A264" s="1">
        <v>270</v>
      </c>
      <c r="B264" s="1" t="s">
        <v>3847</v>
      </c>
      <c r="C264" s="9" t="s">
        <v>243</v>
      </c>
      <c r="D264" s="1" t="s">
        <v>3848</v>
      </c>
      <c r="E264" s="1"/>
      <c r="F264" s="1"/>
      <c r="G264" s="1" t="s">
        <v>3849</v>
      </c>
      <c r="H264" s="1" t="s">
        <v>3850</v>
      </c>
      <c r="I264" s="1" t="s">
        <v>3851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1332</v>
      </c>
      <c r="AK264" s="1" t="s">
        <v>1333</v>
      </c>
      <c r="AL264" s="1">
        <v>13</v>
      </c>
      <c r="AM264" s="1" t="s">
        <v>4848</v>
      </c>
      <c r="AN264" s="1" t="s">
        <v>5331</v>
      </c>
      <c r="AO264" s="1" t="s">
        <v>4918</v>
      </c>
      <c r="AP264" s="1">
        <v>0</v>
      </c>
      <c r="AQ264" s="1" t="s">
        <v>1799</v>
      </c>
      <c r="AR264" s="1" t="s">
        <v>1193</v>
      </c>
      <c r="AS264" s="1" t="s">
        <v>1194</v>
      </c>
      <c r="AT264" s="1" t="s">
        <v>330</v>
      </c>
      <c r="AU264" s="1">
        <v>200</v>
      </c>
      <c r="AV264" s="1">
        <v>0</v>
      </c>
      <c r="AW264" s="1" t="s">
        <v>5253</v>
      </c>
      <c r="AX264" s="1" t="s">
        <v>333</v>
      </c>
      <c r="AY264" s="1">
        <v>4</v>
      </c>
      <c r="AZ264" s="1">
        <v>0</v>
      </c>
      <c r="BA264" s="1" t="s">
        <v>330</v>
      </c>
      <c r="BB264" s="1" t="s">
        <v>330</v>
      </c>
      <c r="BC264" s="1" t="s">
        <v>330</v>
      </c>
      <c r="BD264" s="1">
        <v>10802</v>
      </c>
      <c r="BE264" s="1"/>
    </row>
    <row r="265" spans="1:57" x14ac:dyDescent="0.25">
      <c r="A265" s="1">
        <v>271</v>
      </c>
      <c r="B265" s="1" t="s">
        <v>3852</v>
      </c>
      <c r="C265" s="9" t="s">
        <v>211</v>
      </c>
      <c r="D265" s="1" t="s">
        <v>211</v>
      </c>
      <c r="E265" s="1"/>
      <c r="F265" s="1"/>
      <c r="G265" s="1" t="s">
        <v>3853</v>
      </c>
      <c r="H265" s="1" t="s">
        <v>3854</v>
      </c>
      <c r="I265" s="1" t="s">
        <v>3855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1222</v>
      </c>
      <c r="AK265" s="1" t="s">
        <v>330</v>
      </c>
      <c r="AL265" s="1">
        <v>18</v>
      </c>
      <c r="AM265" s="1" t="s">
        <v>4944</v>
      </c>
      <c r="AN265" s="1" t="s">
        <v>5005</v>
      </c>
      <c r="AO265" s="1" t="s">
        <v>5332</v>
      </c>
      <c r="AP265" s="1">
        <v>0</v>
      </c>
      <c r="AQ265" s="1" t="s">
        <v>1219</v>
      </c>
      <c r="AR265" s="1" t="s">
        <v>1220</v>
      </c>
      <c r="AS265" s="1" t="s">
        <v>1221</v>
      </c>
      <c r="AT265" s="1" t="s">
        <v>330</v>
      </c>
      <c r="AU265" s="1">
        <v>208</v>
      </c>
      <c r="AV265" s="1">
        <v>0</v>
      </c>
      <c r="AW265" s="1" t="s">
        <v>5333</v>
      </c>
      <c r="AX265" s="1" t="s">
        <v>5334</v>
      </c>
      <c r="AY265" s="1">
        <v>3</v>
      </c>
      <c r="AZ265" s="1">
        <v>0</v>
      </c>
      <c r="BA265" s="1" t="s">
        <v>330</v>
      </c>
      <c r="BB265" s="1" t="s">
        <v>330</v>
      </c>
      <c r="BC265" s="1" t="s">
        <v>330</v>
      </c>
      <c r="BD265" s="1">
        <v>10802</v>
      </c>
      <c r="BE265" s="1"/>
    </row>
    <row r="266" spans="1:57" x14ac:dyDescent="0.25">
      <c r="A266" s="1">
        <v>272</v>
      </c>
      <c r="B266" s="1" t="s">
        <v>3856</v>
      </c>
      <c r="C266" s="9" t="s">
        <v>1739</v>
      </c>
      <c r="D266" s="1" t="s">
        <v>3857</v>
      </c>
      <c r="E266" s="1"/>
      <c r="F266" s="1"/>
      <c r="G266" s="1" t="s">
        <v>3858</v>
      </c>
      <c r="H266" s="1" t="s">
        <v>3859</v>
      </c>
      <c r="I266" s="1" t="s">
        <v>3860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1334</v>
      </c>
      <c r="AK266" s="1" t="s">
        <v>1335</v>
      </c>
      <c r="AL266" s="1">
        <v>17</v>
      </c>
      <c r="AM266" s="1" t="s">
        <v>1891</v>
      </c>
      <c r="AN266" s="1" t="s">
        <v>5335</v>
      </c>
      <c r="AO266" s="1" t="s">
        <v>4837</v>
      </c>
      <c r="AP266" s="1">
        <v>0</v>
      </c>
      <c r="AQ266" s="1" t="s">
        <v>1170</v>
      </c>
      <c r="AR266" s="1" t="s">
        <v>1171</v>
      </c>
      <c r="AS266" s="1" t="s">
        <v>1172</v>
      </c>
      <c r="AT266" s="1" t="s">
        <v>330</v>
      </c>
      <c r="AU266" s="1">
        <v>4</v>
      </c>
      <c r="AV266" s="1">
        <v>0</v>
      </c>
      <c r="AW266" s="1" t="s">
        <v>5336</v>
      </c>
      <c r="AX266" s="1" t="s">
        <v>5337</v>
      </c>
      <c r="AY266" s="1">
        <v>5</v>
      </c>
      <c r="AZ266" s="1">
        <v>0</v>
      </c>
      <c r="BA266" s="1" t="s">
        <v>330</v>
      </c>
      <c r="BB266" s="1" t="s">
        <v>330</v>
      </c>
      <c r="BC266" s="1" t="s">
        <v>330</v>
      </c>
      <c r="BD266" s="1">
        <v>10803</v>
      </c>
      <c r="BE266" s="1"/>
    </row>
    <row r="267" spans="1:57" x14ac:dyDescent="0.25">
      <c r="A267" s="1">
        <v>273</v>
      </c>
      <c r="B267" s="1" t="s">
        <v>3861</v>
      </c>
      <c r="C267" s="9" t="s">
        <v>244</v>
      </c>
      <c r="D267" s="1" t="s">
        <v>244</v>
      </c>
      <c r="E267" s="1"/>
      <c r="F267" s="1"/>
      <c r="G267" s="1" t="s">
        <v>3862</v>
      </c>
      <c r="H267" s="1" t="s">
        <v>3863</v>
      </c>
      <c r="I267" s="1" t="s">
        <v>3864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1336</v>
      </c>
      <c r="AK267" s="1" t="s">
        <v>1337</v>
      </c>
      <c r="AL267" s="1">
        <v>13</v>
      </c>
      <c r="AM267" s="1" t="s">
        <v>4848</v>
      </c>
      <c r="AN267" s="1" t="s">
        <v>4915</v>
      </c>
      <c r="AO267" s="1" t="s">
        <v>4918</v>
      </c>
      <c r="AP267" s="1">
        <v>0</v>
      </c>
      <c r="AQ267" s="1" t="s">
        <v>1192</v>
      </c>
      <c r="AR267" s="1" t="s">
        <v>1193</v>
      </c>
      <c r="AS267" s="1" t="s">
        <v>1194</v>
      </c>
      <c r="AT267" s="1" t="s">
        <v>330</v>
      </c>
      <c r="AU267" s="1">
        <v>48</v>
      </c>
      <c r="AV267" s="1">
        <v>0</v>
      </c>
      <c r="AW267" s="1" t="s">
        <v>5336</v>
      </c>
      <c r="AX267" s="1" t="s">
        <v>5302</v>
      </c>
      <c r="AY267" s="1">
        <v>4</v>
      </c>
      <c r="AZ267" s="1">
        <v>0</v>
      </c>
      <c r="BA267" s="1" t="s">
        <v>330</v>
      </c>
      <c r="BB267" s="1" t="s">
        <v>330</v>
      </c>
      <c r="BC267" s="1" t="s">
        <v>4855</v>
      </c>
      <c r="BD267" s="1">
        <v>10402</v>
      </c>
      <c r="BE267" s="1"/>
    </row>
    <row r="268" spans="1:57" x14ac:dyDescent="0.25">
      <c r="A268" s="1">
        <v>274</v>
      </c>
      <c r="B268" s="1" t="s">
        <v>3865</v>
      </c>
      <c r="C268" s="9" t="s">
        <v>213</v>
      </c>
      <c r="D268" s="1" t="s">
        <v>213</v>
      </c>
      <c r="E268" s="1"/>
      <c r="F268" s="1"/>
      <c r="G268" s="1" t="s">
        <v>3866</v>
      </c>
      <c r="H268" s="1" t="s">
        <v>3867</v>
      </c>
      <c r="I268" s="1" t="s">
        <v>3868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1338</v>
      </c>
      <c r="AK268" s="1" t="s">
        <v>1339</v>
      </c>
      <c r="AL268" s="1">
        <v>14</v>
      </c>
      <c r="AM268" s="1" t="s">
        <v>4805</v>
      </c>
      <c r="AN268" s="1" t="s">
        <v>5338</v>
      </c>
      <c r="AO268" s="1" t="s">
        <v>5086</v>
      </c>
      <c r="AP268" s="1">
        <v>0</v>
      </c>
      <c r="AQ268" s="1" t="s">
        <v>1182</v>
      </c>
      <c r="AR268" s="1" t="s">
        <v>1206</v>
      </c>
      <c r="AS268" s="1" t="s">
        <v>1181</v>
      </c>
      <c r="AT268" s="1" t="s">
        <v>330</v>
      </c>
      <c r="AU268" s="1">
        <v>73</v>
      </c>
      <c r="AV268" s="1">
        <v>0</v>
      </c>
      <c r="AW268" s="1" t="s">
        <v>5336</v>
      </c>
      <c r="AX268" s="1" t="s">
        <v>5339</v>
      </c>
      <c r="AY268" s="1">
        <v>5</v>
      </c>
      <c r="AZ268" s="1">
        <v>0</v>
      </c>
      <c r="BA268" s="1" t="s">
        <v>330</v>
      </c>
      <c r="BB268" s="1" t="s">
        <v>4992</v>
      </c>
      <c r="BC268" s="1" t="s">
        <v>4806</v>
      </c>
      <c r="BD268" s="1">
        <v>10402</v>
      </c>
      <c r="BE268" s="1"/>
    </row>
    <row r="269" spans="1:57" x14ac:dyDescent="0.25">
      <c r="A269" s="1">
        <v>275</v>
      </c>
      <c r="B269" s="1" t="s">
        <v>3869</v>
      </c>
      <c r="C269" s="9" t="s">
        <v>845</v>
      </c>
      <c r="D269" s="1" t="s">
        <v>3870</v>
      </c>
      <c r="E269" s="1"/>
      <c r="F269" s="1"/>
      <c r="G269" s="1" t="s">
        <v>3871</v>
      </c>
      <c r="H269" s="1" t="s">
        <v>3872</v>
      </c>
      <c r="I269" s="1" t="s">
        <v>3873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1340</v>
      </c>
      <c r="AK269" s="1" t="s">
        <v>1341</v>
      </c>
      <c r="AL269" s="1">
        <v>18</v>
      </c>
      <c r="AM269" s="1" t="s">
        <v>4944</v>
      </c>
      <c r="AN269" s="1" t="s">
        <v>5005</v>
      </c>
      <c r="AO269" s="1" t="s">
        <v>5340</v>
      </c>
      <c r="AP269" s="1">
        <v>0</v>
      </c>
      <c r="AQ269" s="1" t="s">
        <v>1219</v>
      </c>
      <c r="AR269" s="1" t="s">
        <v>1220</v>
      </c>
      <c r="AS269" s="1" t="s">
        <v>1221</v>
      </c>
      <c r="AT269" s="1" t="s">
        <v>330</v>
      </c>
      <c r="AU269" s="1">
        <v>238</v>
      </c>
      <c r="AV269" s="1">
        <v>0</v>
      </c>
      <c r="AW269" s="1" t="s">
        <v>5336</v>
      </c>
      <c r="AX269" s="1" t="s">
        <v>5341</v>
      </c>
      <c r="AY269" s="1">
        <v>4</v>
      </c>
      <c r="AZ269" s="1">
        <v>0</v>
      </c>
      <c r="BA269" s="1" t="s">
        <v>330</v>
      </c>
      <c r="BB269" s="1" t="s">
        <v>4967</v>
      </c>
      <c r="BC269" s="1" t="s">
        <v>4806</v>
      </c>
      <c r="BD269" s="1">
        <v>10403</v>
      </c>
      <c r="BE269" s="1"/>
    </row>
    <row r="270" spans="1:57" x14ac:dyDescent="0.25">
      <c r="A270" s="1">
        <v>276</v>
      </c>
      <c r="B270" s="1" t="s">
        <v>3874</v>
      </c>
      <c r="C270" s="9" t="s">
        <v>212</v>
      </c>
      <c r="D270" s="1" t="s">
        <v>212</v>
      </c>
      <c r="E270" s="1"/>
      <c r="F270" s="1"/>
      <c r="G270" s="1" t="s">
        <v>3875</v>
      </c>
      <c r="H270" s="1" t="s">
        <v>3876</v>
      </c>
      <c r="I270" s="1" t="s">
        <v>3877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1342</v>
      </c>
      <c r="AK270" s="1" t="s">
        <v>1343</v>
      </c>
      <c r="AL270" s="1">
        <v>18</v>
      </c>
      <c r="AM270" s="1" t="s">
        <v>4944</v>
      </c>
      <c r="AN270" s="1" t="s">
        <v>5023</v>
      </c>
      <c r="AO270" s="1" t="s">
        <v>5241</v>
      </c>
      <c r="AP270" s="1">
        <v>0</v>
      </c>
      <c r="AQ270" s="1" t="s">
        <v>1219</v>
      </c>
      <c r="AR270" s="1" t="s">
        <v>1220</v>
      </c>
      <c r="AS270" s="1" t="s">
        <v>1221</v>
      </c>
      <c r="AT270" s="1" t="s">
        <v>330</v>
      </c>
      <c r="AU270" s="1">
        <v>199</v>
      </c>
      <c r="AV270" s="1">
        <v>0</v>
      </c>
      <c r="AW270" s="1" t="s">
        <v>5336</v>
      </c>
      <c r="AX270" s="1" t="s">
        <v>5302</v>
      </c>
      <c r="AY270" s="1">
        <v>5</v>
      </c>
      <c r="AZ270" s="1">
        <v>0</v>
      </c>
      <c r="BA270" s="1" t="s">
        <v>330</v>
      </c>
      <c r="BB270" s="1" t="s">
        <v>330</v>
      </c>
      <c r="BC270" s="1" t="s">
        <v>4843</v>
      </c>
      <c r="BD270" s="1">
        <v>10402</v>
      </c>
      <c r="BE270" s="1"/>
    </row>
    <row r="271" spans="1:57" x14ac:dyDescent="0.25">
      <c r="A271" s="1">
        <v>277</v>
      </c>
      <c r="B271" s="1" t="s">
        <v>3878</v>
      </c>
      <c r="C271" s="9" t="s">
        <v>214</v>
      </c>
      <c r="D271" s="1" t="s">
        <v>214</v>
      </c>
      <c r="E271" s="1"/>
      <c r="F271" s="1"/>
      <c r="G271" s="1" t="s">
        <v>3879</v>
      </c>
      <c r="H271" s="1" t="s">
        <v>3880</v>
      </c>
      <c r="I271" s="1" t="s">
        <v>3881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1177</v>
      </c>
      <c r="AK271" s="1" t="s">
        <v>330</v>
      </c>
      <c r="AL271" s="1">
        <v>13</v>
      </c>
      <c r="AM271" s="1" t="s">
        <v>1891</v>
      </c>
      <c r="AN271" s="1" t="s">
        <v>5044</v>
      </c>
      <c r="AO271" s="1" t="s">
        <v>4830</v>
      </c>
      <c r="AP271" s="1">
        <v>0</v>
      </c>
      <c r="AQ271" s="1" t="s">
        <v>1170</v>
      </c>
      <c r="AR271" s="1" t="s">
        <v>1171</v>
      </c>
      <c r="AS271" s="1" t="s">
        <v>1172</v>
      </c>
      <c r="AT271" s="1" t="s">
        <v>330</v>
      </c>
      <c r="AU271" s="1">
        <v>15</v>
      </c>
      <c r="AV271" s="1">
        <v>0</v>
      </c>
      <c r="AW271" s="1" t="s">
        <v>5342</v>
      </c>
      <c r="AX271" s="1" t="s">
        <v>5343</v>
      </c>
      <c r="AY271" s="1">
        <v>3</v>
      </c>
      <c r="AZ271" s="1">
        <v>0</v>
      </c>
      <c r="BA271" s="1" t="s">
        <v>330</v>
      </c>
      <c r="BB271" s="1" t="s">
        <v>330</v>
      </c>
      <c r="BC271" s="1" t="s">
        <v>4855</v>
      </c>
      <c r="BD271" s="1">
        <v>10702</v>
      </c>
      <c r="BE271" s="1"/>
    </row>
    <row r="272" spans="1:57" x14ac:dyDescent="0.25">
      <c r="A272" s="1">
        <v>278</v>
      </c>
      <c r="B272" s="1" t="s">
        <v>3882</v>
      </c>
      <c r="C272" s="9" t="s">
        <v>215</v>
      </c>
      <c r="D272" s="1" t="s">
        <v>215</v>
      </c>
      <c r="E272" s="1"/>
      <c r="F272" s="1"/>
      <c r="G272" s="1" t="s">
        <v>3883</v>
      </c>
      <c r="H272" s="1" t="s">
        <v>3884</v>
      </c>
      <c r="I272" s="1" t="s">
        <v>3885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5207</v>
      </c>
      <c r="AK272" s="1" t="s">
        <v>330</v>
      </c>
      <c r="AL272" s="1">
        <v>8</v>
      </c>
      <c r="AM272" s="1" t="s">
        <v>4802</v>
      </c>
      <c r="AN272" s="1" t="s">
        <v>336</v>
      </c>
      <c r="AO272" s="1" t="s">
        <v>5344</v>
      </c>
      <c r="AP272" s="1">
        <v>0</v>
      </c>
      <c r="AQ272" s="1" t="s">
        <v>1252</v>
      </c>
      <c r="AR272" s="1" t="s">
        <v>1253</v>
      </c>
      <c r="AS272" s="1" t="s">
        <v>1254</v>
      </c>
      <c r="AT272" s="1" t="s">
        <v>330</v>
      </c>
      <c r="AU272" s="1">
        <v>190</v>
      </c>
      <c r="AV272" s="1">
        <v>0</v>
      </c>
      <c r="AW272" s="1" t="s">
        <v>5345</v>
      </c>
      <c r="AX272" s="1" t="s">
        <v>5346</v>
      </c>
      <c r="AY272" s="1">
        <v>3</v>
      </c>
      <c r="AZ272" s="1">
        <v>0</v>
      </c>
      <c r="BA272" s="1" t="s">
        <v>330</v>
      </c>
      <c r="BB272" s="1" t="s">
        <v>330</v>
      </c>
      <c r="BC272" s="1" t="s">
        <v>4806</v>
      </c>
      <c r="BD272" s="1">
        <v>10802</v>
      </c>
      <c r="BE272" s="1"/>
    </row>
    <row r="273" spans="1:57" x14ac:dyDescent="0.25">
      <c r="A273" s="1">
        <v>279</v>
      </c>
      <c r="B273" s="1" t="s">
        <v>3886</v>
      </c>
      <c r="C273" s="9" t="s">
        <v>216</v>
      </c>
      <c r="D273" s="1" t="s">
        <v>216</v>
      </c>
      <c r="E273" s="1"/>
      <c r="F273" s="1"/>
      <c r="G273" s="1" t="s">
        <v>3887</v>
      </c>
      <c r="H273" s="1" t="s">
        <v>3888</v>
      </c>
      <c r="I273" s="1" t="s">
        <v>3889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1177</v>
      </c>
      <c r="AK273" s="1" t="s">
        <v>330</v>
      </c>
      <c r="AL273" s="1">
        <v>13</v>
      </c>
      <c r="AM273" s="1" t="s">
        <v>4805</v>
      </c>
      <c r="AN273" s="1" t="s">
        <v>4915</v>
      </c>
      <c r="AO273" s="1" t="s">
        <v>4834</v>
      </c>
      <c r="AP273" s="1">
        <v>0</v>
      </c>
      <c r="AQ273" s="1" t="s">
        <v>1182</v>
      </c>
      <c r="AR273" s="1" t="s">
        <v>1206</v>
      </c>
      <c r="AS273" s="1" t="s">
        <v>1181</v>
      </c>
      <c r="AT273" s="1" t="s">
        <v>330</v>
      </c>
      <c r="AU273" s="1">
        <v>105</v>
      </c>
      <c r="AV273" s="1">
        <v>0</v>
      </c>
      <c r="AW273" s="1" t="s">
        <v>5347</v>
      </c>
      <c r="AX273" s="1" t="s">
        <v>5348</v>
      </c>
      <c r="AY273" s="1">
        <v>3</v>
      </c>
      <c r="AZ273" s="1">
        <v>0</v>
      </c>
      <c r="BA273" s="1" t="s">
        <v>330</v>
      </c>
      <c r="BB273" s="1" t="s">
        <v>330</v>
      </c>
      <c r="BC273" s="1" t="s">
        <v>330</v>
      </c>
      <c r="BD273" s="1">
        <v>10702</v>
      </c>
      <c r="BE273" s="1"/>
    </row>
    <row r="274" spans="1:57" x14ac:dyDescent="0.25">
      <c r="A274" s="1">
        <v>280</v>
      </c>
      <c r="B274" s="1" t="s">
        <v>3890</v>
      </c>
      <c r="C274" s="9" t="s">
        <v>1710</v>
      </c>
      <c r="D274" s="1" t="s">
        <v>1710</v>
      </c>
      <c r="E274" s="1"/>
      <c r="F274" s="1"/>
      <c r="G274" s="1" t="s">
        <v>3891</v>
      </c>
      <c r="H274" s="1" t="s">
        <v>3892</v>
      </c>
      <c r="I274" s="1" t="s">
        <v>3893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1344</v>
      </c>
      <c r="AK274" s="1" t="s">
        <v>1345</v>
      </c>
      <c r="AL274" s="1">
        <v>14</v>
      </c>
      <c r="AM274" s="1" t="s">
        <v>4876</v>
      </c>
      <c r="AN274" s="1" t="s">
        <v>404</v>
      </c>
      <c r="AO274" s="1" t="s">
        <v>5230</v>
      </c>
      <c r="AP274" s="1">
        <v>0</v>
      </c>
      <c r="AQ274" s="1" t="s">
        <v>1181</v>
      </c>
      <c r="AR274" s="1" t="s">
        <v>1171</v>
      </c>
      <c r="AS274" s="1" t="s">
        <v>1182</v>
      </c>
      <c r="AT274" s="1" t="s">
        <v>330</v>
      </c>
      <c r="AU274" s="1">
        <v>225</v>
      </c>
      <c r="AV274" s="1">
        <v>0</v>
      </c>
      <c r="AW274" s="1" t="s">
        <v>5349</v>
      </c>
      <c r="AX274" s="1" t="s">
        <v>5350</v>
      </c>
      <c r="AY274" s="1">
        <v>4</v>
      </c>
      <c r="AZ274" s="1">
        <v>0</v>
      </c>
      <c r="BA274" s="1" t="s">
        <v>330</v>
      </c>
      <c r="BB274" s="1" t="s">
        <v>330</v>
      </c>
      <c r="BC274" s="1" t="s">
        <v>330</v>
      </c>
      <c r="BD274" s="1">
        <v>10302</v>
      </c>
      <c r="BE274" s="1"/>
    </row>
    <row r="275" spans="1:57" x14ac:dyDescent="0.25">
      <c r="A275" s="1">
        <v>281</v>
      </c>
      <c r="B275" s="1" t="s">
        <v>3894</v>
      </c>
      <c r="C275" s="9" t="s">
        <v>245</v>
      </c>
      <c r="D275" s="1" t="s">
        <v>3895</v>
      </c>
      <c r="E275" s="1"/>
      <c r="F275" s="1"/>
      <c r="G275" s="1" t="s">
        <v>3896</v>
      </c>
      <c r="H275" s="1" t="s">
        <v>3897</v>
      </c>
      <c r="I275" s="1" t="s">
        <v>3898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1346</v>
      </c>
      <c r="AK275" s="1" t="s">
        <v>1347</v>
      </c>
      <c r="AL275" s="1">
        <v>8</v>
      </c>
      <c r="AM275" s="1" t="s">
        <v>4802</v>
      </c>
      <c r="AN275" s="1" t="s">
        <v>336</v>
      </c>
      <c r="AO275" s="1" t="s">
        <v>5276</v>
      </c>
      <c r="AP275" s="1">
        <v>0</v>
      </c>
      <c r="AQ275" s="1" t="s">
        <v>1252</v>
      </c>
      <c r="AR275" s="1" t="s">
        <v>1253</v>
      </c>
      <c r="AS275" s="1" t="s">
        <v>1254</v>
      </c>
      <c r="AT275" s="1" t="s">
        <v>330</v>
      </c>
      <c r="AU275" s="1">
        <v>163</v>
      </c>
      <c r="AV275" s="1">
        <v>0</v>
      </c>
      <c r="AW275" s="1" t="s">
        <v>5351</v>
      </c>
      <c r="AX275" s="1" t="s">
        <v>5352</v>
      </c>
      <c r="AY275" s="1">
        <v>5</v>
      </c>
      <c r="AZ275" s="1">
        <v>0</v>
      </c>
      <c r="BA275" s="1" t="s">
        <v>330</v>
      </c>
      <c r="BB275" s="1" t="s">
        <v>330</v>
      </c>
      <c r="BC275" s="1" t="s">
        <v>4855</v>
      </c>
      <c r="BD275" s="1">
        <v>10203</v>
      </c>
      <c r="BE275" s="1"/>
    </row>
    <row r="276" spans="1:57" x14ac:dyDescent="0.25">
      <c r="A276" s="1">
        <v>282</v>
      </c>
      <c r="B276" s="1" t="s">
        <v>3899</v>
      </c>
      <c r="C276" s="9" t="s">
        <v>1711</v>
      </c>
      <c r="D276" s="1" t="s">
        <v>1711</v>
      </c>
      <c r="E276" s="1"/>
      <c r="F276" s="1"/>
      <c r="G276" s="1" t="s">
        <v>3900</v>
      </c>
      <c r="H276" s="1" t="s">
        <v>3901</v>
      </c>
      <c r="I276" s="1" t="s">
        <v>3902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1348</v>
      </c>
      <c r="AK276" s="1" t="s">
        <v>1349</v>
      </c>
      <c r="AL276" s="1">
        <v>8</v>
      </c>
      <c r="AM276" s="1" t="s">
        <v>337</v>
      </c>
      <c r="AN276" s="1" t="s">
        <v>356</v>
      </c>
      <c r="AO276" s="1" t="s">
        <v>5353</v>
      </c>
      <c r="AP276" s="1">
        <v>0</v>
      </c>
      <c r="AQ276" s="1" t="s">
        <v>1252</v>
      </c>
      <c r="AR276" s="1" t="s">
        <v>1253</v>
      </c>
      <c r="AS276" s="1" t="s">
        <v>1254</v>
      </c>
      <c r="AT276" s="1" t="s">
        <v>330</v>
      </c>
      <c r="AU276" s="1">
        <v>164</v>
      </c>
      <c r="AV276" s="1">
        <v>0</v>
      </c>
      <c r="AW276" s="1" t="s">
        <v>5351</v>
      </c>
      <c r="AX276" s="1" t="s">
        <v>5354</v>
      </c>
      <c r="AY276" s="1">
        <v>5</v>
      </c>
      <c r="AZ276" s="1">
        <v>0</v>
      </c>
      <c r="BA276" s="1" t="s">
        <v>330</v>
      </c>
      <c r="BB276" s="1" t="s">
        <v>330</v>
      </c>
      <c r="BC276" s="1" t="s">
        <v>4806</v>
      </c>
      <c r="BD276" s="1">
        <v>10802</v>
      </c>
      <c r="BE276" s="1"/>
    </row>
    <row r="277" spans="1:57" x14ac:dyDescent="0.25">
      <c r="A277" s="1">
        <v>283</v>
      </c>
      <c r="B277" s="1" t="s">
        <v>3903</v>
      </c>
      <c r="C277" s="9" t="s">
        <v>217</v>
      </c>
      <c r="D277" s="1" t="s">
        <v>217</v>
      </c>
      <c r="E277" s="1"/>
      <c r="F277" s="1"/>
      <c r="G277" s="1" t="s">
        <v>3904</v>
      </c>
      <c r="H277" s="1" t="s">
        <v>3905</v>
      </c>
      <c r="I277" s="1" t="s">
        <v>3906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1251</v>
      </c>
      <c r="AK277" s="1" t="s">
        <v>1350</v>
      </c>
      <c r="AL277" s="1">
        <v>7</v>
      </c>
      <c r="AM277" s="1" t="s">
        <v>4802</v>
      </c>
      <c r="AN277" s="1" t="s">
        <v>472</v>
      </c>
      <c r="AO277" s="1" t="s">
        <v>4895</v>
      </c>
      <c r="AP277" s="1">
        <v>0</v>
      </c>
      <c r="AQ277" s="1" t="s">
        <v>1252</v>
      </c>
      <c r="AR277" s="1" t="s">
        <v>1253</v>
      </c>
      <c r="AS277" s="1" t="s">
        <v>1254</v>
      </c>
      <c r="AT277" s="1" t="s">
        <v>330</v>
      </c>
      <c r="AU277" s="1">
        <v>165</v>
      </c>
      <c r="AV277" s="1">
        <v>0</v>
      </c>
      <c r="AW277" s="1" t="s">
        <v>5351</v>
      </c>
      <c r="AX277" s="1" t="s">
        <v>4805</v>
      </c>
      <c r="AY277" s="1">
        <v>4</v>
      </c>
      <c r="AZ277" s="1">
        <v>0</v>
      </c>
      <c r="BA277" s="1" t="s">
        <v>330</v>
      </c>
      <c r="BB277" s="1" t="s">
        <v>330</v>
      </c>
      <c r="BC277" s="1" t="s">
        <v>4806</v>
      </c>
      <c r="BD277" s="1">
        <v>10403</v>
      </c>
      <c r="BE277" s="1"/>
    </row>
    <row r="278" spans="1:57" x14ac:dyDescent="0.25">
      <c r="A278" s="1">
        <v>284</v>
      </c>
      <c r="B278" s="1" t="s">
        <v>3907</v>
      </c>
      <c r="C278" s="9" t="s">
        <v>218</v>
      </c>
      <c r="D278" s="1" t="s">
        <v>3908</v>
      </c>
      <c r="E278" s="1"/>
      <c r="F278" s="1"/>
      <c r="G278" s="1" t="s">
        <v>3909</v>
      </c>
      <c r="H278" s="1" t="s">
        <v>3910</v>
      </c>
      <c r="I278" s="1" t="s">
        <v>3911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5355</v>
      </c>
      <c r="AK278" s="1" t="s">
        <v>330</v>
      </c>
      <c r="AL278" s="1">
        <v>13</v>
      </c>
      <c r="AM278" s="1" t="s">
        <v>4848</v>
      </c>
      <c r="AN278" s="1" t="s">
        <v>4970</v>
      </c>
      <c r="AO278" s="1" t="s">
        <v>4912</v>
      </c>
      <c r="AP278" s="1">
        <v>0</v>
      </c>
      <c r="AQ278" s="1" t="s">
        <v>1192</v>
      </c>
      <c r="AR278" s="1" t="s">
        <v>1193</v>
      </c>
      <c r="AS278" s="1" t="s">
        <v>1194</v>
      </c>
      <c r="AT278" s="1" t="s">
        <v>330</v>
      </c>
      <c r="AU278" s="1">
        <v>241</v>
      </c>
      <c r="AV278" s="1">
        <v>0</v>
      </c>
      <c r="AW278" s="1" t="s">
        <v>5356</v>
      </c>
      <c r="AX278" s="1" t="s">
        <v>5357</v>
      </c>
      <c r="AY278" s="1">
        <v>3</v>
      </c>
      <c r="AZ278" s="1">
        <v>0</v>
      </c>
      <c r="BA278" s="1" t="s">
        <v>330</v>
      </c>
      <c r="BB278" s="1" t="s">
        <v>330</v>
      </c>
      <c r="BC278" s="1" t="s">
        <v>330</v>
      </c>
      <c r="BD278" s="1">
        <v>10403</v>
      </c>
      <c r="BE278" s="1"/>
    </row>
    <row r="279" spans="1:57" x14ac:dyDescent="0.25">
      <c r="A279" s="1">
        <v>285</v>
      </c>
      <c r="B279" s="1" t="s">
        <v>3912</v>
      </c>
      <c r="C279" s="9" t="s">
        <v>1712</v>
      </c>
      <c r="D279" s="1" t="s">
        <v>1712</v>
      </c>
      <c r="E279" s="1"/>
      <c r="F279" s="1"/>
      <c r="G279" s="1" t="s">
        <v>3913</v>
      </c>
      <c r="H279" s="1" t="s">
        <v>3914</v>
      </c>
      <c r="I279" s="1" t="s">
        <v>3915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1351</v>
      </c>
      <c r="AK279" s="1" t="s">
        <v>1352</v>
      </c>
      <c r="AL279" s="1">
        <v>19</v>
      </c>
      <c r="AM279" s="1" t="s">
        <v>1891</v>
      </c>
      <c r="AN279" s="1" t="s">
        <v>5358</v>
      </c>
      <c r="AO279" s="1" t="s">
        <v>5152</v>
      </c>
      <c r="AP279" s="1">
        <v>0</v>
      </c>
      <c r="AQ279" s="1" t="s">
        <v>1170</v>
      </c>
      <c r="AR279" s="1" t="s">
        <v>1171</v>
      </c>
      <c r="AS279" s="1" t="s">
        <v>1172</v>
      </c>
      <c r="AT279" s="1" t="s">
        <v>330</v>
      </c>
      <c r="AU279" s="1">
        <v>96</v>
      </c>
      <c r="AV279" s="1">
        <v>0</v>
      </c>
      <c r="AW279" s="1" t="s">
        <v>5359</v>
      </c>
      <c r="AX279" s="1" t="s">
        <v>4848</v>
      </c>
      <c r="AY279" s="1">
        <v>5</v>
      </c>
      <c r="AZ279" s="1">
        <v>0</v>
      </c>
      <c r="BA279" s="1" t="s">
        <v>330</v>
      </c>
      <c r="BB279" s="1" t="s">
        <v>330</v>
      </c>
      <c r="BC279" s="1" t="s">
        <v>4855</v>
      </c>
      <c r="BD279" s="1">
        <v>10802</v>
      </c>
      <c r="BE279" s="1"/>
    </row>
    <row r="280" spans="1:57" x14ac:dyDescent="0.25">
      <c r="A280" s="1">
        <v>286</v>
      </c>
      <c r="B280" s="1" t="s">
        <v>3916</v>
      </c>
      <c r="C280" s="9" t="s">
        <v>1713</v>
      </c>
      <c r="D280" s="1" t="s">
        <v>3917</v>
      </c>
      <c r="E280" s="1"/>
      <c r="F280" s="1"/>
      <c r="G280" s="1" t="s">
        <v>3918</v>
      </c>
      <c r="H280" s="1" t="s">
        <v>3919</v>
      </c>
      <c r="I280" s="1" t="s">
        <v>3920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5360</v>
      </c>
      <c r="AK280" s="1" t="s">
        <v>330</v>
      </c>
      <c r="AL280" s="1">
        <v>13</v>
      </c>
      <c r="AM280" s="1" t="s">
        <v>4876</v>
      </c>
      <c r="AN280" s="1" t="s">
        <v>4874</v>
      </c>
      <c r="AO280" s="1" t="s">
        <v>5204</v>
      </c>
      <c r="AP280" s="1">
        <v>0</v>
      </c>
      <c r="AQ280" s="1" t="s">
        <v>1181</v>
      </c>
      <c r="AR280" s="1" t="s">
        <v>1171</v>
      </c>
      <c r="AS280" s="1" t="s">
        <v>1182</v>
      </c>
      <c r="AT280" s="1" t="s">
        <v>330</v>
      </c>
      <c r="AU280" s="1">
        <v>150</v>
      </c>
      <c r="AV280" s="1">
        <v>0</v>
      </c>
      <c r="AW280" s="1" t="s">
        <v>5359</v>
      </c>
      <c r="AX280" s="1" t="s">
        <v>333</v>
      </c>
      <c r="AY280" s="1">
        <v>4</v>
      </c>
      <c r="AZ280" s="1">
        <v>0</v>
      </c>
      <c r="BA280" s="1" t="s">
        <v>330</v>
      </c>
      <c r="BB280" s="1" t="s">
        <v>330</v>
      </c>
      <c r="BC280" s="1" t="s">
        <v>4806</v>
      </c>
      <c r="BD280" s="1">
        <v>10302</v>
      </c>
      <c r="BE280" s="1"/>
    </row>
    <row r="281" spans="1:57" x14ac:dyDescent="0.25">
      <c r="A281" s="1">
        <v>287</v>
      </c>
      <c r="B281" s="1" t="s">
        <v>3921</v>
      </c>
      <c r="C281" s="9" t="s">
        <v>246</v>
      </c>
      <c r="D281" s="1" t="s">
        <v>246</v>
      </c>
      <c r="E281" s="1"/>
      <c r="F281" s="1"/>
      <c r="G281" s="1" t="s">
        <v>3922</v>
      </c>
      <c r="H281" s="1" t="s">
        <v>3923</v>
      </c>
      <c r="I281" s="1" t="s">
        <v>3924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1353</v>
      </c>
      <c r="AK281" s="1" t="s">
        <v>1354</v>
      </c>
      <c r="AL281" s="1">
        <v>13</v>
      </c>
      <c r="AM281" s="1" t="s">
        <v>4805</v>
      </c>
      <c r="AN281" s="1" t="s">
        <v>4915</v>
      </c>
      <c r="AO281" s="1" t="s">
        <v>5219</v>
      </c>
      <c r="AP281" s="1">
        <v>0</v>
      </c>
      <c r="AQ281" s="1" t="s">
        <v>1182</v>
      </c>
      <c r="AR281" s="1" t="s">
        <v>1206</v>
      </c>
      <c r="AS281" s="1" t="s">
        <v>1181</v>
      </c>
      <c r="AT281" s="1" t="s">
        <v>330</v>
      </c>
      <c r="AU281" s="1">
        <v>73</v>
      </c>
      <c r="AV281" s="1">
        <v>0</v>
      </c>
      <c r="AW281" s="1" t="s">
        <v>5359</v>
      </c>
      <c r="AX281" s="1" t="s">
        <v>5103</v>
      </c>
      <c r="AY281" s="1">
        <v>5</v>
      </c>
      <c r="AZ281" s="1">
        <v>0</v>
      </c>
      <c r="BA281" s="1" t="s">
        <v>330</v>
      </c>
      <c r="BB281" s="1" t="s">
        <v>330</v>
      </c>
      <c r="BC281" s="1" t="s">
        <v>330</v>
      </c>
      <c r="BD281" s="1">
        <v>10403</v>
      </c>
      <c r="BE281" s="1"/>
    </row>
    <row r="282" spans="1:57" x14ac:dyDescent="0.25">
      <c r="A282" s="1">
        <v>288</v>
      </c>
      <c r="B282" s="1" t="s">
        <v>3925</v>
      </c>
      <c r="C282" s="9" t="s">
        <v>1714</v>
      </c>
      <c r="D282" s="1" t="s">
        <v>1714</v>
      </c>
      <c r="E282" s="1"/>
      <c r="F282" s="1"/>
      <c r="G282" s="1" t="s">
        <v>3926</v>
      </c>
      <c r="H282" s="1" t="s">
        <v>3927</v>
      </c>
      <c r="I282" s="1" t="s">
        <v>3928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1355</v>
      </c>
      <c r="AK282" s="1" t="s">
        <v>330</v>
      </c>
      <c r="AL282" s="1">
        <v>13</v>
      </c>
      <c r="AM282" s="1" t="s">
        <v>4805</v>
      </c>
      <c r="AN282" s="1" t="s">
        <v>4915</v>
      </c>
      <c r="AO282" s="1" t="s">
        <v>4951</v>
      </c>
      <c r="AP282" s="1">
        <v>0</v>
      </c>
      <c r="AQ282" s="1" t="s">
        <v>1182</v>
      </c>
      <c r="AR282" s="1" t="s">
        <v>1206</v>
      </c>
      <c r="AS282" s="1" t="s">
        <v>1181</v>
      </c>
      <c r="AT282" s="1" t="s">
        <v>330</v>
      </c>
      <c r="AU282" s="1">
        <v>48</v>
      </c>
      <c r="AV282" s="1">
        <v>0</v>
      </c>
      <c r="AW282" s="1" t="s">
        <v>5359</v>
      </c>
      <c r="AX282" s="1" t="s">
        <v>333</v>
      </c>
      <c r="AY282" s="1">
        <v>4</v>
      </c>
      <c r="AZ282" s="1">
        <v>0</v>
      </c>
      <c r="BA282" s="1" t="s">
        <v>330</v>
      </c>
      <c r="BB282" s="1" t="s">
        <v>330</v>
      </c>
      <c r="BC282" s="1" t="s">
        <v>330</v>
      </c>
      <c r="BD282" s="1">
        <v>10402</v>
      </c>
      <c r="BE282" s="1"/>
    </row>
    <row r="283" spans="1:57" x14ac:dyDescent="0.25">
      <c r="A283" s="1">
        <v>289</v>
      </c>
      <c r="B283" s="1" t="s">
        <v>3929</v>
      </c>
      <c r="C283" s="9" t="s">
        <v>799</v>
      </c>
      <c r="D283" s="1" t="s">
        <v>3930</v>
      </c>
      <c r="E283" s="1"/>
      <c r="F283" s="1"/>
      <c r="G283" s="1" t="s">
        <v>3931</v>
      </c>
      <c r="H283" s="1" t="s">
        <v>3932</v>
      </c>
      <c r="I283" s="1" t="s">
        <v>3933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330</v>
      </c>
      <c r="AK283" s="1" t="s">
        <v>1287</v>
      </c>
      <c r="AL283" s="1">
        <v>13</v>
      </c>
      <c r="AM283" s="1" t="s">
        <v>4805</v>
      </c>
      <c r="AN283" s="1" t="s">
        <v>4920</v>
      </c>
      <c r="AO283" s="1" t="s">
        <v>5219</v>
      </c>
      <c r="AP283" s="1">
        <v>0</v>
      </c>
      <c r="AQ283" s="1" t="s">
        <v>1182</v>
      </c>
      <c r="AR283" s="1" t="s">
        <v>1206</v>
      </c>
      <c r="AS283" s="1" t="s">
        <v>1181</v>
      </c>
      <c r="AT283" s="1" t="s">
        <v>330</v>
      </c>
      <c r="AU283" s="1">
        <v>215</v>
      </c>
      <c r="AV283" s="1">
        <v>0</v>
      </c>
      <c r="AW283" s="1" t="s">
        <v>5361</v>
      </c>
      <c r="AX283" s="1" t="s">
        <v>5362</v>
      </c>
      <c r="AY283" s="1">
        <v>5</v>
      </c>
      <c r="AZ283" s="1">
        <v>0</v>
      </c>
      <c r="BA283" s="1" t="s">
        <v>330</v>
      </c>
      <c r="BB283" s="1" t="s">
        <v>330</v>
      </c>
      <c r="BC283" s="1" t="s">
        <v>4806</v>
      </c>
      <c r="BD283" s="1">
        <v>10803</v>
      </c>
      <c r="BE283" s="1"/>
    </row>
    <row r="284" spans="1:57" x14ac:dyDescent="0.25">
      <c r="A284" s="1">
        <v>290</v>
      </c>
      <c r="B284" s="1" t="s">
        <v>3934</v>
      </c>
      <c r="C284" s="9" t="s">
        <v>800</v>
      </c>
      <c r="D284" s="1" t="s">
        <v>3935</v>
      </c>
      <c r="E284" s="1"/>
      <c r="F284" s="1"/>
      <c r="G284" s="1" t="s">
        <v>3936</v>
      </c>
      <c r="H284" s="1" t="s">
        <v>3937</v>
      </c>
      <c r="I284" s="1" t="s">
        <v>3938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1356</v>
      </c>
      <c r="AK284" s="1" t="s">
        <v>1357</v>
      </c>
      <c r="AL284" s="1">
        <v>13</v>
      </c>
      <c r="AM284" s="1" t="s">
        <v>4805</v>
      </c>
      <c r="AN284" s="1" t="s">
        <v>4950</v>
      </c>
      <c r="AO284" s="1" t="s">
        <v>5255</v>
      </c>
      <c r="AP284" s="1">
        <v>0</v>
      </c>
      <c r="AQ284" s="1" t="s">
        <v>1182</v>
      </c>
      <c r="AR284" s="1" t="s">
        <v>1206</v>
      </c>
      <c r="AS284" s="1" t="s">
        <v>1181</v>
      </c>
      <c r="AT284" s="1" t="s">
        <v>330</v>
      </c>
      <c r="AU284" s="1">
        <v>215</v>
      </c>
      <c r="AV284" s="1">
        <v>0</v>
      </c>
      <c r="AW284" s="1" t="s">
        <v>5363</v>
      </c>
      <c r="AX284" s="1" t="s">
        <v>333</v>
      </c>
      <c r="AY284" s="1">
        <v>5</v>
      </c>
      <c r="AZ284" s="1">
        <v>0</v>
      </c>
      <c r="BA284" s="1" t="s">
        <v>330</v>
      </c>
      <c r="BB284" s="1" t="s">
        <v>330</v>
      </c>
      <c r="BC284" s="1" t="s">
        <v>330</v>
      </c>
      <c r="BD284" s="1">
        <v>10403</v>
      </c>
      <c r="BE284" s="1"/>
    </row>
    <row r="285" spans="1:57" x14ac:dyDescent="0.25">
      <c r="A285" s="1">
        <v>291</v>
      </c>
      <c r="B285" s="1" t="s">
        <v>3939</v>
      </c>
      <c r="C285" s="9" t="s">
        <v>1740</v>
      </c>
      <c r="D285" s="1" t="s">
        <v>3940</v>
      </c>
      <c r="E285" s="1"/>
      <c r="F285" s="1"/>
      <c r="G285" s="1" t="s">
        <v>3941</v>
      </c>
      <c r="H285" s="1" t="s">
        <v>3942</v>
      </c>
      <c r="I285" s="1" t="s">
        <v>3943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1177</v>
      </c>
      <c r="AK285" s="1" t="s">
        <v>330</v>
      </c>
      <c r="AL285" s="1">
        <v>13</v>
      </c>
      <c r="AM285" s="1" t="s">
        <v>4876</v>
      </c>
      <c r="AN285" s="1" t="s">
        <v>390</v>
      </c>
      <c r="AO285" s="1" t="s">
        <v>5080</v>
      </c>
      <c r="AP285" s="1">
        <v>0</v>
      </c>
      <c r="AQ285" s="1" t="s">
        <v>1181</v>
      </c>
      <c r="AR285" s="1" t="s">
        <v>1171</v>
      </c>
      <c r="AS285" s="1" t="s">
        <v>1182</v>
      </c>
      <c r="AT285" s="1" t="s">
        <v>330</v>
      </c>
      <c r="AU285" s="1">
        <v>116</v>
      </c>
      <c r="AV285" s="1">
        <v>0</v>
      </c>
      <c r="AW285" s="1" t="s">
        <v>5364</v>
      </c>
      <c r="AX285" s="1" t="s">
        <v>5365</v>
      </c>
      <c r="AY285" s="1">
        <v>3</v>
      </c>
      <c r="AZ285" s="1">
        <v>0</v>
      </c>
      <c r="BA285" s="1" t="s">
        <v>330</v>
      </c>
      <c r="BB285" s="1" t="s">
        <v>330</v>
      </c>
      <c r="BC285" s="1" t="s">
        <v>330</v>
      </c>
      <c r="BD285" s="1">
        <v>10704</v>
      </c>
      <c r="BE285" s="1"/>
    </row>
    <row r="286" spans="1:57" x14ac:dyDescent="0.25">
      <c r="A286" s="1">
        <v>292</v>
      </c>
      <c r="B286" s="1" t="s">
        <v>3944</v>
      </c>
      <c r="C286" s="9" t="s">
        <v>1715</v>
      </c>
      <c r="D286" s="1" t="s">
        <v>1715</v>
      </c>
      <c r="E286" s="1"/>
      <c r="F286" s="1"/>
      <c r="G286" s="1" t="s">
        <v>3945</v>
      </c>
      <c r="H286" s="1" t="s">
        <v>3946</v>
      </c>
      <c r="I286" s="1" t="s">
        <v>3947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1358</v>
      </c>
      <c r="AK286" s="1" t="s">
        <v>1359</v>
      </c>
      <c r="AL286" s="1">
        <v>17</v>
      </c>
      <c r="AM286" s="1" t="s">
        <v>1012</v>
      </c>
      <c r="AN286" s="1" t="s">
        <v>5366</v>
      </c>
      <c r="AO286" s="1" t="s">
        <v>5367</v>
      </c>
      <c r="AP286" s="1">
        <v>0</v>
      </c>
      <c r="AQ286" s="1" t="s">
        <v>1219</v>
      </c>
      <c r="AR286" s="1" t="s">
        <v>1220</v>
      </c>
      <c r="AS286" s="1" t="s">
        <v>1221</v>
      </c>
      <c r="AT286" s="1" t="s">
        <v>330</v>
      </c>
      <c r="AU286" s="1">
        <v>238</v>
      </c>
      <c r="AV286" s="1">
        <v>0</v>
      </c>
      <c r="AW286" s="1" t="s">
        <v>5368</v>
      </c>
      <c r="AX286" s="1" t="s">
        <v>5251</v>
      </c>
      <c r="AY286" s="1">
        <v>5</v>
      </c>
      <c r="AZ286" s="1">
        <v>0</v>
      </c>
      <c r="BA286" s="1" t="s">
        <v>330</v>
      </c>
      <c r="BB286" s="1" t="s">
        <v>5058</v>
      </c>
      <c r="BC286" s="1" t="s">
        <v>5235</v>
      </c>
      <c r="BD286" s="1">
        <v>10104</v>
      </c>
      <c r="BE286" s="1"/>
    </row>
    <row r="287" spans="1:57" x14ac:dyDescent="0.25">
      <c r="A287" s="1">
        <v>293</v>
      </c>
      <c r="B287" s="1" t="s">
        <v>3948</v>
      </c>
      <c r="C287" s="9" t="s">
        <v>1716</v>
      </c>
      <c r="D287" s="1" t="s">
        <v>1716</v>
      </c>
      <c r="E287" s="1"/>
      <c r="F287" s="1"/>
      <c r="G287" s="1" t="s">
        <v>3949</v>
      </c>
      <c r="H287" s="1" t="s">
        <v>3950</v>
      </c>
      <c r="I287" s="1" t="s">
        <v>3951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5369</v>
      </c>
      <c r="AK287" s="1" t="s">
        <v>1360</v>
      </c>
      <c r="AL287" s="1">
        <v>13</v>
      </c>
      <c r="AM287" s="1" t="s">
        <v>4805</v>
      </c>
      <c r="AN287" s="1" t="s">
        <v>4950</v>
      </c>
      <c r="AO287" s="1" t="s">
        <v>5254</v>
      </c>
      <c r="AP287" s="1">
        <v>0</v>
      </c>
      <c r="AQ287" s="1" t="s">
        <v>1182</v>
      </c>
      <c r="AR287" s="1" t="s">
        <v>1206</v>
      </c>
      <c r="AS287" s="1" t="s">
        <v>1181</v>
      </c>
      <c r="AT287" s="1" t="s">
        <v>330</v>
      </c>
      <c r="AU287" s="1">
        <v>215</v>
      </c>
      <c r="AV287" s="1">
        <v>0</v>
      </c>
      <c r="AW287" s="1" t="s">
        <v>5368</v>
      </c>
      <c r="AX287" s="1" t="s">
        <v>5251</v>
      </c>
      <c r="AY287" s="1">
        <v>5</v>
      </c>
      <c r="AZ287" s="1">
        <v>0</v>
      </c>
      <c r="BA287" s="1" t="s">
        <v>330</v>
      </c>
      <c r="BB287" s="1" t="s">
        <v>330</v>
      </c>
      <c r="BC287" s="1" t="s">
        <v>5235</v>
      </c>
      <c r="BD287" s="1">
        <v>10104</v>
      </c>
      <c r="BE287" s="1"/>
    </row>
    <row r="288" spans="1:57" x14ac:dyDescent="0.25">
      <c r="A288" s="1">
        <v>294</v>
      </c>
      <c r="B288" s="1" t="s">
        <v>3952</v>
      </c>
      <c r="C288" s="9" t="s">
        <v>801</v>
      </c>
      <c r="D288" s="1" t="s">
        <v>801</v>
      </c>
      <c r="E288" s="1"/>
      <c r="F288" s="1"/>
      <c r="G288" s="1" t="s">
        <v>3953</v>
      </c>
      <c r="H288" s="1" t="s">
        <v>3954</v>
      </c>
      <c r="I288" s="1" t="s">
        <v>3955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1361</v>
      </c>
      <c r="AK288" s="1" t="s">
        <v>1362</v>
      </c>
      <c r="AL288" s="1">
        <v>14</v>
      </c>
      <c r="AM288" s="1" t="s">
        <v>1891</v>
      </c>
      <c r="AN288" s="1" t="s">
        <v>5370</v>
      </c>
      <c r="AO288" s="1" t="s">
        <v>5163</v>
      </c>
      <c r="AP288" s="1">
        <v>0</v>
      </c>
      <c r="AQ288" s="1" t="s">
        <v>1170</v>
      </c>
      <c r="AR288" s="1" t="s">
        <v>1171</v>
      </c>
      <c r="AS288" s="1" t="s">
        <v>1172</v>
      </c>
      <c r="AT288" s="1" t="s">
        <v>330</v>
      </c>
      <c r="AU288" s="1">
        <v>96</v>
      </c>
      <c r="AV288" s="1">
        <v>0</v>
      </c>
      <c r="AW288" s="1" t="s">
        <v>5368</v>
      </c>
      <c r="AX288" s="1" t="s">
        <v>5371</v>
      </c>
      <c r="AY288" s="1">
        <v>5</v>
      </c>
      <c r="AZ288" s="1">
        <v>0</v>
      </c>
      <c r="BA288" s="1" t="s">
        <v>330</v>
      </c>
      <c r="BB288" s="1" t="s">
        <v>330</v>
      </c>
      <c r="BC288" s="1" t="s">
        <v>330</v>
      </c>
      <c r="BD288" s="1">
        <v>10201</v>
      </c>
      <c r="BE288" s="1"/>
    </row>
    <row r="289" spans="1:57" x14ac:dyDescent="0.25">
      <c r="A289" s="1">
        <v>295</v>
      </c>
      <c r="B289" s="1" t="s">
        <v>3956</v>
      </c>
      <c r="C289" s="9" t="s">
        <v>802</v>
      </c>
      <c r="D289" s="1" t="s">
        <v>3957</v>
      </c>
      <c r="E289" s="1"/>
      <c r="F289" s="1"/>
      <c r="G289" s="1" t="s">
        <v>3958</v>
      </c>
      <c r="H289" s="1" t="s">
        <v>3959</v>
      </c>
      <c r="I289" s="1" t="s">
        <v>3960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1363</v>
      </c>
      <c r="AK289" s="1" t="s">
        <v>330</v>
      </c>
      <c r="AL289" s="1">
        <v>12</v>
      </c>
      <c r="AM289" s="1" t="s">
        <v>4876</v>
      </c>
      <c r="AN289" s="1" t="s">
        <v>5284</v>
      </c>
      <c r="AO289" s="1" t="s">
        <v>5372</v>
      </c>
      <c r="AP289" s="1">
        <v>0</v>
      </c>
      <c r="AQ289" s="1" t="s">
        <v>1181</v>
      </c>
      <c r="AR289" s="1" t="s">
        <v>1171</v>
      </c>
      <c r="AS289" s="1" t="s">
        <v>1182</v>
      </c>
      <c r="AT289" s="1" t="s">
        <v>330</v>
      </c>
      <c r="AU289" s="1">
        <v>150</v>
      </c>
      <c r="AV289" s="1">
        <v>0</v>
      </c>
      <c r="AW289" s="1" t="s">
        <v>5368</v>
      </c>
      <c r="AX289" s="1" t="s">
        <v>482</v>
      </c>
      <c r="AY289" s="1">
        <v>4</v>
      </c>
      <c r="AZ289" s="1">
        <v>0</v>
      </c>
      <c r="BA289" s="1" t="s">
        <v>330</v>
      </c>
      <c r="BB289" s="1" t="s">
        <v>330</v>
      </c>
      <c r="BC289" s="1" t="s">
        <v>4869</v>
      </c>
      <c r="BD289" s="1">
        <v>10802</v>
      </c>
      <c r="BE289" s="1"/>
    </row>
    <row r="290" spans="1:57" x14ac:dyDescent="0.25">
      <c r="A290" s="1">
        <v>296</v>
      </c>
      <c r="B290" s="1" t="s">
        <v>3961</v>
      </c>
      <c r="C290" s="9" t="s">
        <v>803</v>
      </c>
      <c r="D290" s="1" t="s">
        <v>803</v>
      </c>
      <c r="E290" s="1"/>
      <c r="F290" s="1"/>
      <c r="G290" s="1" t="s">
        <v>3962</v>
      </c>
      <c r="H290" s="1" t="s">
        <v>3963</v>
      </c>
      <c r="I290" s="1" t="s">
        <v>3964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1364</v>
      </c>
      <c r="AK290" s="1" t="s">
        <v>1365</v>
      </c>
      <c r="AL290" s="1">
        <v>19</v>
      </c>
      <c r="AM290" s="1" t="s">
        <v>1891</v>
      </c>
      <c r="AN290" s="1" t="s">
        <v>5373</v>
      </c>
      <c r="AO290" s="1" t="s">
        <v>5105</v>
      </c>
      <c r="AP290" s="1">
        <v>0</v>
      </c>
      <c r="AQ290" s="1" t="s">
        <v>1192</v>
      </c>
      <c r="AR290" s="1" t="s">
        <v>1193</v>
      </c>
      <c r="AS290" s="1" t="s">
        <v>1194</v>
      </c>
      <c r="AT290" s="1" t="s">
        <v>330</v>
      </c>
      <c r="AU290" s="1">
        <v>222</v>
      </c>
      <c r="AV290" s="1">
        <v>0</v>
      </c>
      <c r="AW290" s="1" t="s">
        <v>5368</v>
      </c>
      <c r="AX290" s="1" t="s">
        <v>5374</v>
      </c>
      <c r="AY290" s="1">
        <v>5</v>
      </c>
      <c r="AZ290" s="1">
        <v>0</v>
      </c>
      <c r="BA290" s="1" t="s">
        <v>330</v>
      </c>
      <c r="BB290" s="1" t="s">
        <v>330</v>
      </c>
      <c r="BC290" s="1" t="s">
        <v>4855</v>
      </c>
      <c r="BD290" s="1">
        <v>10401</v>
      </c>
      <c r="BE290" s="1"/>
    </row>
    <row r="291" spans="1:57" x14ac:dyDescent="0.25">
      <c r="A291" s="1">
        <v>297</v>
      </c>
      <c r="B291" s="1" t="s">
        <v>3965</v>
      </c>
      <c r="C291" s="9" t="s">
        <v>804</v>
      </c>
      <c r="D291" s="1" t="s">
        <v>804</v>
      </c>
      <c r="E291" s="1"/>
      <c r="F291" s="1"/>
      <c r="G291" s="1" t="s">
        <v>3966</v>
      </c>
      <c r="H291" s="1" t="s">
        <v>3967</v>
      </c>
      <c r="I291" s="1" t="s">
        <v>3968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1212</v>
      </c>
      <c r="AK291" s="1" t="s">
        <v>330</v>
      </c>
      <c r="AL291" s="1">
        <v>13</v>
      </c>
      <c r="AM291" s="1" t="s">
        <v>4805</v>
      </c>
      <c r="AN291" s="1" t="s">
        <v>4915</v>
      </c>
      <c r="AO291" s="1" t="s">
        <v>4951</v>
      </c>
      <c r="AP291" s="1">
        <v>0</v>
      </c>
      <c r="AQ291" s="1" t="s">
        <v>1182</v>
      </c>
      <c r="AR291" s="1" t="s">
        <v>1206</v>
      </c>
      <c r="AS291" s="1" t="s">
        <v>1181</v>
      </c>
      <c r="AT291" s="1" t="s">
        <v>330</v>
      </c>
      <c r="AU291" s="1">
        <v>48</v>
      </c>
      <c r="AV291" s="1">
        <v>0</v>
      </c>
      <c r="AW291" s="1" t="s">
        <v>5368</v>
      </c>
      <c r="AX291" s="1" t="s">
        <v>5375</v>
      </c>
      <c r="AY291" s="1">
        <v>4</v>
      </c>
      <c r="AZ291" s="1">
        <v>0</v>
      </c>
      <c r="BA291" s="1" t="s">
        <v>330</v>
      </c>
      <c r="BB291" s="1" t="s">
        <v>330</v>
      </c>
      <c r="BC291" s="1" t="s">
        <v>330</v>
      </c>
      <c r="BD291" s="1">
        <v>10403</v>
      </c>
      <c r="BE291" s="1"/>
    </row>
    <row r="292" spans="1:57" x14ac:dyDescent="0.25">
      <c r="A292" s="1">
        <v>298</v>
      </c>
      <c r="B292" s="1" t="s">
        <v>3969</v>
      </c>
      <c r="C292" s="9" t="s">
        <v>805</v>
      </c>
      <c r="D292" s="1" t="s">
        <v>3970</v>
      </c>
      <c r="E292" s="1"/>
      <c r="F292" s="1"/>
      <c r="G292" s="1" t="s">
        <v>3971</v>
      </c>
      <c r="H292" s="1" t="s">
        <v>3972</v>
      </c>
      <c r="I292" s="1" t="s">
        <v>3973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4982</v>
      </c>
      <c r="AK292" s="1" t="s">
        <v>330</v>
      </c>
      <c r="AL292" s="1">
        <v>13</v>
      </c>
      <c r="AM292" s="1" t="s">
        <v>4876</v>
      </c>
      <c r="AN292" s="1" t="s">
        <v>466</v>
      </c>
      <c r="AO292" s="1" t="s">
        <v>5166</v>
      </c>
      <c r="AP292" s="1">
        <v>0</v>
      </c>
      <c r="AQ292" s="1" t="s">
        <v>1182</v>
      </c>
      <c r="AR292" s="1" t="s">
        <v>1206</v>
      </c>
      <c r="AS292" s="1" t="s">
        <v>1181</v>
      </c>
      <c r="AT292" s="1" t="s">
        <v>330</v>
      </c>
      <c r="AU292" s="1">
        <v>171</v>
      </c>
      <c r="AV292" s="1">
        <v>0</v>
      </c>
      <c r="AW292" s="1" t="s">
        <v>5376</v>
      </c>
      <c r="AX292" s="1" t="s">
        <v>5377</v>
      </c>
      <c r="AY292" s="1">
        <v>3</v>
      </c>
      <c r="AZ292" s="1">
        <v>0</v>
      </c>
      <c r="BA292" s="1" t="s">
        <v>330</v>
      </c>
      <c r="BB292" s="1" t="s">
        <v>330</v>
      </c>
      <c r="BC292" s="1" t="s">
        <v>330</v>
      </c>
      <c r="BD292" s="1">
        <v>10802</v>
      </c>
      <c r="BE292" s="1"/>
    </row>
    <row r="293" spans="1:57" x14ac:dyDescent="0.25">
      <c r="A293" s="1">
        <v>299</v>
      </c>
      <c r="B293" s="1" t="s">
        <v>3974</v>
      </c>
      <c r="C293" s="9" t="s">
        <v>247</v>
      </c>
      <c r="D293" s="1" t="s">
        <v>247</v>
      </c>
      <c r="E293" s="1"/>
      <c r="F293" s="1"/>
      <c r="G293" s="1" t="s">
        <v>3975</v>
      </c>
      <c r="H293" s="1" t="s">
        <v>3976</v>
      </c>
      <c r="I293" s="1" t="s">
        <v>3977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5378</v>
      </c>
      <c r="AK293" s="1" t="s">
        <v>330</v>
      </c>
      <c r="AL293" s="1">
        <v>8</v>
      </c>
      <c r="AM293" s="1" t="s">
        <v>4802</v>
      </c>
      <c r="AN293" s="1" t="s">
        <v>400</v>
      </c>
      <c r="AO293" s="1" t="s">
        <v>5154</v>
      </c>
      <c r="AP293" s="1">
        <v>0</v>
      </c>
      <c r="AQ293" s="1" t="s">
        <v>1252</v>
      </c>
      <c r="AR293" s="1" t="s">
        <v>1253</v>
      </c>
      <c r="AS293" s="1" t="s">
        <v>1254</v>
      </c>
      <c r="AT293" s="1" t="s">
        <v>330</v>
      </c>
      <c r="AU293" s="1">
        <v>190</v>
      </c>
      <c r="AV293" s="1">
        <v>0</v>
      </c>
      <c r="AW293" s="1" t="s">
        <v>5379</v>
      </c>
      <c r="AX293" s="1" t="s">
        <v>5380</v>
      </c>
      <c r="AY293" s="1">
        <v>3</v>
      </c>
      <c r="AZ293" s="1">
        <v>0</v>
      </c>
      <c r="BA293" s="1" t="s">
        <v>330</v>
      </c>
      <c r="BB293" s="1" t="s">
        <v>330</v>
      </c>
      <c r="BC293" s="1" t="s">
        <v>4806</v>
      </c>
      <c r="BD293" s="1">
        <v>10402</v>
      </c>
      <c r="BE293" s="1"/>
    </row>
    <row r="294" spans="1:57" x14ac:dyDescent="0.25">
      <c r="A294" s="1">
        <v>300</v>
      </c>
      <c r="B294" s="1" t="s">
        <v>3978</v>
      </c>
      <c r="C294" s="9" t="s">
        <v>806</v>
      </c>
      <c r="D294" s="1" t="s">
        <v>806</v>
      </c>
      <c r="E294" s="1"/>
      <c r="F294" s="1"/>
      <c r="G294" s="1" t="s">
        <v>3979</v>
      </c>
      <c r="H294" s="1" t="s">
        <v>3980</v>
      </c>
      <c r="I294" s="1" t="s">
        <v>3981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5008</v>
      </c>
      <c r="AK294" s="1" t="s">
        <v>330</v>
      </c>
      <c r="AL294" s="1">
        <v>18</v>
      </c>
      <c r="AM294" s="1" t="s">
        <v>4944</v>
      </c>
      <c r="AN294" s="1" t="s">
        <v>5017</v>
      </c>
      <c r="AO294" s="1" t="s">
        <v>5030</v>
      </c>
      <c r="AP294" s="1">
        <v>0</v>
      </c>
      <c r="AQ294" s="1" t="s">
        <v>1219</v>
      </c>
      <c r="AR294" s="1" t="s">
        <v>1220</v>
      </c>
      <c r="AS294" s="1" t="s">
        <v>1221</v>
      </c>
      <c r="AT294" s="1" t="s">
        <v>330</v>
      </c>
      <c r="AU294" s="1">
        <v>208</v>
      </c>
      <c r="AV294" s="1">
        <v>0</v>
      </c>
      <c r="AW294" s="1" t="s">
        <v>5381</v>
      </c>
      <c r="AX294" s="1" t="s">
        <v>5382</v>
      </c>
      <c r="AY294" s="1">
        <v>3</v>
      </c>
      <c r="AZ294" s="1">
        <v>0</v>
      </c>
      <c r="BA294" s="1" t="s">
        <v>330</v>
      </c>
      <c r="BB294" s="1" t="s">
        <v>330</v>
      </c>
      <c r="BC294" s="1" t="s">
        <v>330</v>
      </c>
      <c r="BD294" s="1">
        <v>10702</v>
      </c>
      <c r="BE294" s="1"/>
    </row>
    <row r="295" spans="1:57" x14ac:dyDescent="0.25">
      <c r="A295" s="1">
        <v>301</v>
      </c>
      <c r="B295" s="1" t="s">
        <v>3982</v>
      </c>
      <c r="C295" s="9" t="s">
        <v>1717</v>
      </c>
      <c r="D295" s="1" t="s">
        <v>1717</v>
      </c>
      <c r="E295" s="1"/>
      <c r="F295" s="1"/>
      <c r="G295" s="1" t="s">
        <v>3983</v>
      </c>
      <c r="H295" s="1" t="s">
        <v>3984</v>
      </c>
      <c r="I295" s="1" t="s">
        <v>3985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1177</v>
      </c>
      <c r="AK295" s="1" t="s">
        <v>330</v>
      </c>
      <c r="AL295" s="1">
        <v>14</v>
      </c>
      <c r="AM295" s="1" t="s">
        <v>4876</v>
      </c>
      <c r="AN295" s="1" t="s">
        <v>404</v>
      </c>
      <c r="AO295" s="1" t="s">
        <v>5383</v>
      </c>
      <c r="AP295" s="1">
        <v>0</v>
      </c>
      <c r="AQ295" s="1" t="s">
        <v>1181</v>
      </c>
      <c r="AR295" s="1" t="s">
        <v>1171</v>
      </c>
      <c r="AS295" s="1" t="s">
        <v>1182</v>
      </c>
      <c r="AT295" s="1" t="s">
        <v>330</v>
      </c>
      <c r="AU295" s="1">
        <v>116</v>
      </c>
      <c r="AV295" s="1">
        <v>0</v>
      </c>
      <c r="AW295" s="1" t="s">
        <v>5384</v>
      </c>
      <c r="AX295" s="1" t="s">
        <v>5385</v>
      </c>
      <c r="AY295" s="1">
        <v>3</v>
      </c>
      <c r="AZ295" s="1">
        <v>0</v>
      </c>
      <c r="BA295" s="1" t="s">
        <v>330</v>
      </c>
      <c r="BB295" s="1" t="s">
        <v>330</v>
      </c>
      <c r="BC295" s="1" t="s">
        <v>330</v>
      </c>
      <c r="BD295" s="1">
        <v>10704</v>
      </c>
      <c r="BE295" s="1"/>
    </row>
    <row r="296" spans="1:57" x14ac:dyDescent="0.25">
      <c r="A296" s="1">
        <v>302</v>
      </c>
      <c r="B296" s="1" t="s">
        <v>3986</v>
      </c>
      <c r="C296" s="9" t="s">
        <v>1656</v>
      </c>
      <c r="D296" s="1" t="s">
        <v>3987</v>
      </c>
      <c r="E296" s="1"/>
      <c r="F296" s="1"/>
      <c r="G296" s="1" t="s">
        <v>3988</v>
      </c>
      <c r="H296" s="1" t="s">
        <v>3989</v>
      </c>
      <c r="I296" s="1" t="s">
        <v>3990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1366</v>
      </c>
      <c r="AK296" s="1" t="s">
        <v>1367</v>
      </c>
      <c r="AL296" s="1">
        <v>8</v>
      </c>
      <c r="AM296" s="1" t="s">
        <v>389</v>
      </c>
      <c r="AN296" s="1" t="s">
        <v>5386</v>
      </c>
      <c r="AO296" s="1" t="s">
        <v>4824</v>
      </c>
      <c r="AP296" s="1">
        <v>0</v>
      </c>
      <c r="AQ296" s="1" t="s">
        <v>1252</v>
      </c>
      <c r="AR296" s="1" t="s">
        <v>5146</v>
      </c>
      <c r="AS296" s="1" t="s">
        <v>1254</v>
      </c>
      <c r="AT296" s="1" t="s">
        <v>330</v>
      </c>
      <c r="AU296" s="1">
        <v>165</v>
      </c>
      <c r="AV296" s="1">
        <v>0</v>
      </c>
      <c r="AW296" s="1" t="s">
        <v>5387</v>
      </c>
      <c r="AX296" s="1" t="s">
        <v>5388</v>
      </c>
      <c r="AY296" s="1">
        <v>4</v>
      </c>
      <c r="AZ296" s="1">
        <v>0</v>
      </c>
      <c r="BA296" s="1" t="s">
        <v>330</v>
      </c>
      <c r="BB296" s="1" t="s">
        <v>330</v>
      </c>
      <c r="BC296" s="1" t="s">
        <v>4806</v>
      </c>
      <c r="BD296" s="1">
        <v>10403</v>
      </c>
      <c r="BE296" s="1"/>
    </row>
    <row r="297" spans="1:57" x14ac:dyDescent="0.25">
      <c r="A297" s="1">
        <v>303</v>
      </c>
      <c r="B297" s="1" t="s">
        <v>3991</v>
      </c>
      <c r="C297" s="9" t="s">
        <v>1718</v>
      </c>
      <c r="D297" s="1" t="s">
        <v>3992</v>
      </c>
      <c r="E297" s="1"/>
      <c r="F297" s="1"/>
      <c r="G297" s="1" t="s">
        <v>3993</v>
      </c>
      <c r="H297" s="1" t="s">
        <v>3994</v>
      </c>
      <c r="I297" s="1" t="s">
        <v>3995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330</v>
      </c>
      <c r="AK297" s="1" t="s">
        <v>1368</v>
      </c>
      <c r="AL297" s="1">
        <v>14</v>
      </c>
      <c r="AM297" s="1" t="s">
        <v>1891</v>
      </c>
      <c r="AN297" s="1" t="s">
        <v>5389</v>
      </c>
      <c r="AO297" s="1" t="s">
        <v>5040</v>
      </c>
      <c r="AP297" s="1">
        <v>0</v>
      </c>
      <c r="AQ297" s="1" t="s">
        <v>1170</v>
      </c>
      <c r="AR297" s="1" t="s">
        <v>1171</v>
      </c>
      <c r="AS297" s="1" t="s">
        <v>1172</v>
      </c>
      <c r="AT297" s="1" t="s">
        <v>330</v>
      </c>
      <c r="AU297" s="1">
        <v>96</v>
      </c>
      <c r="AV297" s="1">
        <v>0</v>
      </c>
      <c r="AW297" s="1" t="s">
        <v>5390</v>
      </c>
      <c r="AX297" s="1" t="s">
        <v>4848</v>
      </c>
      <c r="AY297" s="1">
        <v>5</v>
      </c>
      <c r="AZ297" s="1">
        <v>0</v>
      </c>
      <c r="BA297" s="1" t="s">
        <v>330</v>
      </c>
      <c r="BB297" s="1" t="s">
        <v>330</v>
      </c>
      <c r="BC297" s="1" t="s">
        <v>4806</v>
      </c>
      <c r="BD297" s="1">
        <v>10402</v>
      </c>
      <c r="BE297" s="1"/>
    </row>
    <row r="298" spans="1:57" x14ac:dyDescent="0.25">
      <c r="A298" s="1">
        <v>304</v>
      </c>
      <c r="B298" s="1" t="s">
        <v>3996</v>
      </c>
      <c r="C298" s="9" t="s">
        <v>807</v>
      </c>
      <c r="D298" s="1" t="s">
        <v>807</v>
      </c>
      <c r="E298" s="1"/>
      <c r="F298" s="1"/>
      <c r="G298" s="1" t="s">
        <v>3997</v>
      </c>
      <c r="H298" s="1" t="s">
        <v>3998</v>
      </c>
      <c r="I298" s="1" t="s">
        <v>3999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1369</v>
      </c>
      <c r="AK298" s="1" t="s">
        <v>1370</v>
      </c>
      <c r="AL298" s="1">
        <v>12</v>
      </c>
      <c r="AM298" s="1" t="s">
        <v>4876</v>
      </c>
      <c r="AN298" s="1" t="s">
        <v>5391</v>
      </c>
      <c r="AO298" s="1" t="s">
        <v>5000</v>
      </c>
      <c r="AP298" s="1">
        <v>0</v>
      </c>
      <c r="AQ298" s="1" t="s">
        <v>1181</v>
      </c>
      <c r="AR298" s="1" t="s">
        <v>1171</v>
      </c>
      <c r="AS298" s="1" t="s">
        <v>1182</v>
      </c>
      <c r="AT298" s="1" t="s">
        <v>330</v>
      </c>
      <c r="AU298" s="1">
        <v>150</v>
      </c>
      <c r="AV298" s="1">
        <v>0</v>
      </c>
      <c r="AW298" s="1" t="s">
        <v>5390</v>
      </c>
      <c r="AX298" s="1" t="s">
        <v>333</v>
      </c>
      <c r="AY298" s="1">
        <v>4</v>
      </c>
      <c r="AZ298" s="1">
        <v>0</v>
      </c>
      <c r="BA298" s="1" t="s">
        <v>330</v>
      </c>
      <c r="BB298" s="1" t="s">
        <v>330</v>
      </c>
      <c r="BC298" s="1" t="s">
        <v>330</v>
      </c>
      <c r="BD298" s="1">
        <v>10402</v>
      </c>
      <c r="BE298" s="1"/>
    </row>
    <row r="299" spans="1:57" x14ac:dyDescent="0.25">
      <c r="A299" s="1">
        <v>305</v>
      </c>
      <c r="B299" s="1" t="s">
        <v>4000</v>
      </c>
      <c r="C299" s="9" t="s">
        <v>808</v>
      </c>
      <c r="D299" s="1" t="s">
        <v>808</v>
      </c>
      <c r="E299" s="1"/>
      <c r="F299" s="1"/>
      <c r="G299" s="1" t="s">
        <v>4001</v>
      </c>
      <c r="H299" s="1" t="s">
        <v>4002</v>
      </c>
      <c r="I299" s="1" t="s">
        <v>4003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330</v>
      </c>
      <c r="AK299" s="1" t="s">
        <v>330</v>
      </c>
      <c r="AL299" s="1">
        <v>13</v>
      </c>
      <c r="AM299" s="1" t="s">
        <v>4848</v>
      </c>
      <c r="AN299" s="1" t="s">
        <v>466</v>
      </c>
      <c r="AO299" s="1" t="s">
        <v>4918</v>
      </c>
      <c r="AP299" s="1">
        <v>0</v>
      </c>
      <c r="AQ299" s="1" t="s">
        <v>1192</v>
      </c>
      <c r="AR299" s="1" t="s">
        <v>1193</v>
      </c>
      <c r="AS299" s="1" t="s">
        <v>1194</v>
      </c>
      <c r="AT299" s="1" t="s">
        <v>330</v>
      </c>
      <c r="AU299" s="1">
        <v>200</v>
      </c>
      <c r="AV299" s="1">
        <v>0</v>
      </c>
      <c r="AW299" s="1" t="s">
        <v>5390</v>
      </c>
      <c r="AX299" s="1" t="s">
        <v>333</v>
      </c>
      <c r="AY299" s="1">
        <v>4</v>
      </c>
      <c r="AZ299" s="1">
        <v>0</v>
      </c>
      <c r="BA299" s="1" t="s">
        <v>330</v>
      </c>
      <c r="BB299" s="1" t="s">
        <v>330</v>
      </c>
      <c r="BC299" s="1" t="s">
        <v>330</v>
      </c>
      <c r="BD299" s="1">
        <v>10802</v>
      </c>
      <c r="BE299" s="1"/>
    </row>
    <row r="300" spans="1:57" x14ac:dyDescent="0.25">
      <c r="A300" s="1">
        <v>306</v>
      </c>
      <c r="B300" s="1" t="s">
        <v>4004</v>
      </c>
      <c r="C300" s="9" t="s">
        <v>1719</v>
      </c>
      <c r="D300" s="1" t="s">
        <v>1719</v>
      </c>
      <c r="E300" s="1"/>
      <c r="F300" s="1"/>
      <c r="G300" s="1" t="s">
        <v>4005</v>
      </c>
      <c r="H300" s="1" t="s">
        <v>4006</v>
      </c>
      <c r="I300" s="1" t="s">
        <v>4007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5392</v>
      </c>
      <c r="AK300" s="1" t="s">
        <v>1371</v>
      </c>
      <c r="AL300" s="1">
        <v>18</v>
      </c>
      <c r="AM300" s="1" t="s">
        <v>400</v>
      </c>
      <c r="AN300" s="1" t="s">
        <v>5393</v>
      </c>
      <c r="AO300" s="1" t="s">
        <v>5255</v>
      </c>
      <c r="AP300" s="1">
        <v>0</v>
      </c>
      <c r="AQ300" s="1" t="s">
        <v>1182</v>
      </c>
      <c r="AR300" s="1" t="s">
        <v>1206</v>
      </c>
      <c r="AS300" s="1" t="s">
        <v>1181</v>
      </c>
      <c r="AT300" s="1" t="s">
        <v>330</v>
      </c>
      <c r="AU300" s="1">
        <v>215</v>
      </c>
      <c r="AV300" s="1">
        <v>0</v>
      </c>
      <c r="AW300" s="1" t="s">
        <v>5390</v>
      </c>
      <c r="AX300" s="1" t="s">
        <v>333</v>
      </c>
      <c r="AY300" s="1">
        <v>5</v>
      </c>
      <c r="AZ300" s="1">
        <v>0</v>
      </c>
      <c r="BA300" s="1" t="s">
        <v>330</v>
      </c>
      <c r="BB300" s="1" t="s">
        <v>330</v>
      </c>
      <c r="BC300" s="1" t="s">
        <v>4806</v>
      </c>
      <c r="BD300" s="1">
        <v>10402</v>
      </c>
      <c r="BE300" s="1"/>
    </row>
    <row r="301" spans="1:57" x14ac:dyDescent="0.25">
      <c r="A301" s="1">
        <v>307</v>
      </c>
      <c r="B301" s="1" t="s">
        <v>4008</v>
      </c>
      <c r="C301" s="9" t="s">
        <v>1720</v>
      </c>
      <c r="D301" s="1" t="s">
        <v>1720</v>
      </c>
      <c r="E301" s="1"/>
      <c r="F301" s="1"/>
      <c r="G301" s="1" t="s">
        <v>4009</v>
      </c>
      <c r="H301" s="1" t="s">
        <v>4010</v>
      </c>
      <c r="I301" s="1" t="s">
        <v>4011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1372</v>
      </c>
      <c r="AK301" s="1" t="s">
        <v>1373</v>
      </c>
      <c r="AL301" s="1">
        <v>18</v>
      </c>
      <c r="AM301" s="1" t="s">
        <v>4944</v>
      </c>
      <c r="AN301" s="1" t="s">
        <v>5320</v>
      </c>
      <c r="AO301" s="1" t="s">
        <v>5394</v>
      </c>
      <c r="AP301" s="1">
        <v>0</v>
      </c>
      <c r="AQ301" s="1" t="s">
        <v>1219</v>
      </c>
      <c r="AR301" s="1" t="s">
        <v>1220</v>
      </c>
      <c r="AS301" s="1" t="s">
        <v>1221</v>
      </c>
      <c r="AT301" s="1" t="s">
        <v>330</v>
      </c>
      <c r="AU301" s="1">
        <v>238</v>
      </c>
      <c r="AV301" s="1">
        <v>0</v>
      </c>
      <c r="AW301" s="1" t="s">
        <v>5390</v>
      </c>
      <c r="AX301" s="1" t="s">
        <v>333</v>
      </c>
      <c r="AY301" s="1">
        <v>5</v>
      </c>
      <c r="AZ301" s="1">
        <v>0</v>
      </c>
      <c r="BA301" s="1" t="s">
        <v>330</v>
      </c>
      <c r="BB301" s="1" t="s">
        <v>330</v>
      </c>
      <c r="BC301" s="1" t="s">
        <v>330</v>
      </c>
      <c r="BD301" s="1">
        <v>10302</v>
      </c>
      <c r="BE301" s="1"/>
    </row>
    <row r="302" spans="1:57" x14ac:dyDescent="0.25">
      <c r="A302" s="1">
        <v>308</v>
      </c>
      <c r="B302" s="1" t="s">
        <v>4012</v>
      </c>
      <c r="C302" s="9" t="s">
        <v>809</v>
      </c>
      <c r="D302" s="1" t="s">
        <v>809</v>
      </c>
      <c r="E302" s="1"/>
      <c r="F302" s="1"/>
      <c r="G302" s="1" t="s">
        <v>4013</v>
      </c>
      <c r="H302" s="1" t="s">
        <v>4014</v>
      </c>
      <c r="I302" s="1" t="s">
        <v>4015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1177</v>
      </c>
      <c r="AK302" s="1" t="s">
        <v>330</v>
      </c>
      <c r="AL302" s="1">
        <v>13</v>
      </c>
      <c r="AM302" s="1" t="s">
        <v>4848</v>
      </c>
      <c r="AN302" s="1" t="s">
        <v>4970</v>
      </c>
      <c r="AO302" s="1" t="s">
        <v>4912</v>
      </c>
      <c r="AP302" s="1">
        <v>0</v>
      </c>
      <c r="AQ302" s="1" t="s">
        <v>1192</v>
      </c>
      <c r="AR302" s="1" t="s">
        <v>1193</v>
      </c>
      <c r="AS302" s="1" t="s">
        <v>1194</v>
      </c>
      <c r="AT302" s="1" t="s">
        <v>330</v>
      </c>
      <c r="AU302" s="1">
        <v>241</v>
      </c>
      <c r="AV302" s="1">
        <v>0</v>
      </c>
      <c r="AW302" s="1" t="s">
        <v>5395</v>
      </c>
      <c r="AX302" s="1" t="s">
        <v>5396</v>
      </c>
      <c r="AY302" s="1">
        <v>3</v>
      </c>
      <c r="AZ302" s="1">
        <v>0</v>
      </c>
      <c r="BA302" s="1" t="s">
        <v>330</v>
      </c>
      <c r="BB302" s="1" t="s">
        <v>330</v>
      </c>
      <c r="BC302" s="1" t="s">
        <v>330</v>
      </c>
      <c r="BD302" s="1">
        <v>10303</v>
      </c>
      <c r="BE302" s="1"/>
    </row>
    <row r="303" spans="1:57" x14ac:dyDescent="0.25">
      <c r="A303" s="1">
        <v>309</v>
      </c>
      <c r="B303" s="1" t="s">
        <v>4016</v>
      </c>
      <c r="C303" s="9" t="s">
        <v>810</v>
      </c>
      <c r="D303" s="1" t="s">
        <v>4017</v>
      </c>
      <c r="E303" s="1"/>
      <c r="F303" s="1"/>
      <c r="G303" s="1" t="s">
        <v>4018</v>
      </c>
      <c r="H303" s="1" t="s">
        <v>4019</v>
      </c>
      <c r="I303" s="1" t="s">
        <v>4020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1374</v>
      </c>
      <c r="AK303" s="1" t="s">
        <v>1375</v>
      </c>
      <c r="AL303" s="1">
        <v>14</v>
      </c>
      <c r="AM303" s="1" t="s">
        <v>1891</v>
      </c>
      <c r="AN303" s="1" t="s">
        <v>5397</v>
      </c>
      <c r="AO303" s="1" t="s">
        <v>4895</v>
      </c>
      <c r="AP303" s="1">
        <v>0</v>
      </c>
      <c r="AQ303" s="1" t="s">
        <v>1170</v>
      </c>
      <c r="AR303" s="1" t="s">
        <v>1171</v>
      </c>
      <c r="AS303" s="1" t="s">
        <v>1172</v>
      </c>
      <c r="AT303" s="1" t="s">
        <v>330</v>
      </c>
      <c r="AU303" s="1">
        <v>15</v>
      </c>
      <c r="AV303" s="1">
        <v>0</v>
      </c>
      <c r="AW303" s="1" t="s">
        <v>5398</v>
      </c>
      <c r="AX303" s="1" t="s">
        <v>5399</v>
      </c>
      <c r="AY303" s="1">
        <v>3</v>
      </c>
      <c r="AZ303" s="1">
        <v>0</v>
      </c>
      <c r="BA303" s="1" t="s">
        <v>330</v>
      </c>
      <c r="BB303" s="1" t="s">
        <v>330</v>
      </c>
      <c r="BC303" s="1" t="s">
        <v>4855</v>
      </c>
      <c r="BD303" s="1">
        <v>10303</v>
      </c>
      <c r="BE303" s="1"/>
    </row>
    <row r="304" spans="1:57" x14ac:dyDescent="0.25">
      <c r="A304" s="1">
        <v>310</v>
      </c>
      <c r="B304" s="1" t="s">
        <v>4021</v>
      </c>
      <c r="C304" s="9" t="s">
        <v>811</v>
      </c>
      <c r="D304" s="1" t="s">
        <v>4022</v>
      </c>
      <c r="E304" s="1"/>
      <c r="F304" s="1"/>
      <c r="G304" s="1" t="s">
        <v>4023</v>
      </c>
      <c r="H304" s="1" t="s">
        <v>4024</v>
      </c>
      <c r="I304" s="1" t="s">
        <v>4025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330</v>
      </c>
      <c r="AK304" s="1" t="s">
        <v>330</v>
      </c>
      <c r="AL304" s="1">
        <v>12</v>
      </c>
      <c r="AM304" s="1" t="s">
        <v>1891</v>
      </c>
      <c r="AN304" s="1" t="s">
        <v>5400</v>
      </c>
      <c r="AO304" s="1" t="s">
        <v>4827</v>
      </c>
      <c r="AP304" s="1">
        <v>0</v>
      </c>
      <c r="AQ304" s="1" t="s">
        <v>1170</v>
      </c>
      <c r="AR304" s="1" t="s">
        <v>1171</v>
      </c>
      <c r="AS304" s="1" t="s">
        <v>1172</v>
      </c>
      <c r="AT304" s="1" t="s">
        <v>330</v>
      </c>
      <c r="AU304" s="1">
        <v>212</v>
      </c>
      <c r="AV304" s="1">
        <v>0</v>
      </c>
      <c r="AW304" s="1" t="s">
        <v>5401</v>
      </c>
      <c r="AX304" s="1" t="s">
        <v>4848</v>
      </c>
      <c r="AY304" s="1">
        <v>4</v>
      </c>
      <c r="AZ304" s="1">
        <v>0</v>
      </c>
      <c r="BA304" s="1" t="s">
        <v>330</v>
      </c>
      <c r="BB304" s="1" t="s">
        <v>330</v>
      </c>
      <c r="BC304" s="1" t="s">
        <v>330</v>
      </c>
      <c r="BD304" s="1">
        <v>10703</v>
      </c>
      <c r="BE304" s="1"/>
    </row>
    <row r="305" spans="1:57" x14ac:dyDescent="0.25">
      <c r="A305" s="1">
        <v>311</v>
      </c>
      <c r="B305" s="1" t="s">
        <v>4026</v>
      </c>
      <c r="C305" s="9" t="s">
        <v>812</v>
      </c>
      <c r="D305" s="1" t="s">
        <v>812</v>
      </c>
      <c r="E305" s="1"/>
      <c r="F305" s="1"/>
      <c r="G305" s="1" t="s">
        <v>4027</v>
      </c>
      <c r="H305" s="1" t="s">
        <v>4028</v>
      </c>
      <c r="I305" s="1" t="s">
        <v>4029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1376</v>
      </c>
      <c r="AK305" s="1" t="s">
        <v>1377</v>
      </c>
      <c r="AL305" s="1">
        <v>12</v>
      </c>
      <c r="AM305" s="1" t="s">
        <v>356</v>
      </c>
      <c r="AN305" s="1" t="s">
        <v>5284</v>
      </c>
      <c r="AO305" s="1" t="s">
        <v>5402</v>
      </c>
      <c r="AP305" s="1">
        <v>0</v>
      </c>
      <c r="AQ305" s="1" t="s">
        <v>1181</v>
      </c>
      <c r="AR305" s="1" t="s">
        <v>1171</v>
      </c>
      <c r="AS305" s="1" t="s">
        <v>1182</v>
      </c>
      <c r="AT305" s="1" t="s">
        <v>330</v>
      </c>
      <c r="AU305" s="1">
        <v>224</v>
      </c>
      <c r="AV305" s="1">
        <v>0</v>
      </c>
      <c r="AW305" s="1" t="s">
        <v>5403</v>
      </c>
      <c r="AX305" s="1" t="s">
        <v>5404</v>
      </c>
      <c r="AY305" s="1">
        <v>5</v>
      </c>
      <c r="AZ305" s="1">
        <v>0</v>
      </c>
      <c r="BA305" s="1" t="s">
        <v>330</v>
      </c>
      <c r="BB305" s="1" t="s">
        <v>330</v>
      </c>
      <c r="BC305" s="1" t="s">
        <v>330</v>
      </c>
      <c r="BD305" s="1">
        <v>10802</v>
      </c>
      <c r="BE305" s="1"/>
    </row>
    <row r="306" spans="1:57" x14ac:dyDescent="0.25">
      <c r="A306" s="1">
        <v>312</v>
      </c>
      <c r="B306" s="1" t="s">
        <v>4030</v>
      </c>
      <c r="C306" s="9" t="s">
        <v>1721</v>
      </c>
      <c r="D306" s="1" t="s">
        <v>4031</v>
      </c>
      <c r="E306" s="1"/>
      <c r="F306" s="1"/>
      <c r="G306" s="1" t="s">
        <v>4032</v>
      </c>
      <c r="H306" s="1" t="s">
        <v>4033</v>
      </c>
      <c r="I306" s="1" t="s">
        <v>4034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1378</v>
      </c>
      <c r="AK306" s="1" t="s">
        <v>330</v>
      </c>
      <c r="AL306" s="1">
        <v>13</v>
      </c>
      <c r="AM306" s="1" t="s">
        <v>4848</v>
      </c>
      <c r="AN306" s="1" t="s">
        <v>5199</v>
      </c>
      <c r="AO306" s="1" t="s">
        <v>4931</v>
      </c>
      <c r="AP306" s="1">
        <v>0</v>
      </c>
      <c r="AQ306" s="1" t="s">
        <v>1192</v>
      </c>
      <c r="AR306" s="1" t="s">
        <v>1193</v>
      </c>
      <c r="AS306" s="1" t="s">
        <v>1194</v>
      </c>
      <c r="AT306" s="1" t="s">
        <v>330</v>
      </c>
      <c r="AU306" s="1">
        <v>222</v>
      </c>
      <c r="AV306" s="1">
        <v>0</v>
      </c>
      <c r="AW306" s="1" t="s">
        <v>5401</v>
      </c>
      <c r="AX306" s="1" t="s">
        <v>333</v>
      </c>
      <c r="AY306" s="1">
        <v>5</v>
      </c>
      <c r="AZ306" s="1">
        <v>0</v>
      </c>
      <c r="BA306" s="1" t="s">
        <v>330</v>
      </c>
      <c r="BB306" s="1" t="s">
        <v>330</v>
      </c>
      <c r="BC306" s="1" t="s">
        <v>4843</v>
      </c>
      <c r="BD306" s="1">
        <v>10402</v>
      </c>
      <c r="BE306" s="1"/>
    </row>
    <row r="307" spans="1:57" x14ac:dyDescent="0.25">
      <c r="A307" s="1">
        <v>313</v>
      </c>
      <c r="B307" s="1" t="s">
        <v>4035</v>
      </c>
      <c r="C307" s="9" t="s">
        <v>1722</v>
      </c>
      <c r="D307" s="1" t="s">
        <v>1722</v>
      </c>
      <c r="E307" s="1"/>
      <c r="F307" s="1"/>
      <c r="G307" s="1" t="s">
        <v>4036</v>
      </c>
      <c r="H307" s="1" t="s">
        <v>4037</v>
      </c>
      <c r="I307" s="1" t="s">
        <v>4038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1379</v>
      </c>
      <c r="AK307" s="1" t="s">
        <v>1380</v>
      </c>
      <c r="AL307" s="1">
        <v>14</v>
      </c>
      <c r="AM307" s="1" t="s">
        <v>4805</v>
      </c>
      <c r="AN307" s="1" t="s">
        <v>5338</v>
      </c>
      <c r="AO307" s="1" t="s">
        <v>5255</v>
      </c>
      <c r="AP307" s="1">
        <v>0</v>
      </c>
      <c r="AQ307" s="1" t="s">
        <v>1182</v>
      </c>
      <c r="AR307" s="1" t="s">
        <v>1206</v>
      </c>
      <c r="AS307" s="1" t="s">
        <v>1181</v>
      </c>
      <c r="AT307" s="1" t="s">
        <v>330</v>
      </c>
      <c r="AU307" s="1">
        <v>73</v>
      </c>
      <c r="AV307" s="1">
        <v>0</v>
      </c>
      <c r="AW307" s="1" t="s">
        <v>5401</v>
      </c>
      <c r="AX307" s="1" t="s">
        <v>333</v>
      </c>
      <c r="AY307" s="1">
        <v>5</v>
      </c>
      <c r="AZ307" s="1">
        <v>0</v>
      </c>
      <c r="BA307" s="1" t="s">
        <v>330</v>
      </c>
      <c r="BB307" s="1" t="s">
        <v>330</v>
      </c>
      <c r="BC307" s="1" t="s">
        <v>330</v>
      </c>
      <c r="BD307" s="1">
        <v>10202</v>
      </c>
      <c r="BE307" s="1"/>
    </row>
    <row r="308" spans="1:57" x14ac:dyDescent="0.25">
      <c r="A308" s="1">
        <v>314</v>
      </c>
      <c r="B308" s="1" t="s">
        <v>4039</v>
      </c>
      <c r="C308" s="9" t="s">
        <v>1723</v>
      </c>
      <c r="D308" s="1" t="s">
        <v>4040</v>
      </c>
      <c r="E308" s="1"/>
      <c r="F308" s="1"/>
      <c r="G308" s="1" t="s">
        <v>4041</v>
      </c>
      <c r="H308" s="1" t="s">
        <v>4042</v>
      </c>
      <c r="I308" s="1" t="s">
        <v>4043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1177</v>
      </c>
      <c r="AK308" s="1" t="s">
        <v>330</v>
      </c>
      <c r="AL308" s="1">
        <v>13</v>
      </c>
      <c r="AM308" s="1" t="s">
        <v>4805</v>
      </c>
      <c r="AN308" s="1" t="s">
        <v>4920</v>
      </c>
      <c r="AO308" s="1" t="s">
        <v>5405</v>
      </c>
      <c r="AP308" s="1">
        <v>0</v>
      </c>
      <c r="AQ308" s="1" t="s">
        <v>1182</v>
      </c>
      <c r="AR308" s="1" t="s">
        <v>1206</v>
      </c>
      <c r="AS308" s="1" t="s">
        <v>1181</v>
      </c>
      <c r="AT308" s="1" t="s">
        <v>330</v>
      </c>
      <c r="AU308" s="1">
        <v>171</v>
      </c>
      <c r="AV308" s="1">
        <v>0</v>
      </c>
      <c r="AW308" s="1" t="s">
        <v>5406</v>
      </c>
      <c r="AX308" s="1" t="s">
        <v>5407</v>
      </c>
      <c r="AY308" s="1">
        <v>3</v>
      </c>
      <c r="AZ308" s="1">
        <v>0</v>
      </c>
      <c r="BA308" s="1" t="s">
        <v>330</v>
      </c>
      <c r="BB308" s="1" t="s">
        <v>330</v>
      </c>
      <c r="BC308" s="1" t="s">
        <v>4855</v>
      </c>
      <c r="BD308" s="1">
        <v>10702</v>
      </c>
      <c r="BE308" s="1"/>
    </row>
    <row r="309" spans="1:57" x14ac:dyDescent="0.25">
      <c r="A309" s="1">
        <v>315</v>
      </c>
      <c r="B309" s="1" t="s">
        <v>4044</v>
      </c>
      <c r="C309" s="9" t="s">
        <v>849</v>
      </c>
      <c r="D309" s="1" t="s">
        <v>4045</v>
      </c>
      <c r="E309" s="1"/>
      <c r="F309" s="1"/>
      <c r="G309" s="1" t="s">
        <v>4046</v>
      </c>
      <c r="H309" s="1" t="s">
        <v>4047</v>
      </c>
      <c r="I309" s="1" t="s">
        <v>4048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5408</v>
      </c>
      <c r="AK309" s="1" t="s">
        <v>1381</v>
      </c>
      <c r="AL309" s="1">
        <v>13</v>
      </c>
      <c r="AM309" s="1" t="s">
        <v>4876</v>
      </c>
      <c r="AN309" s="1" t="s">
        <v>4881</v>
      </c>
      <c r="AO309" s="1" t="s">
        <v>4961</v>
      </c>
      <c r="AP309" s="1">
        <v>0</v>
      </c>
      <c r="AQ309" s="1" t="s">
        <v>1181</v>
      </c>
      <c r="AR309" s="1" t="s">
        <v>1171</v>
      </c>
      <c r="AS309" s="1" t="s">
        <v>1182</v>
      </c>
      <c r="AT309" s="1" t="s">
        <v>330</v>
      </c>
      <c r="AU309" s="1">
        <v>224</v>
      </c>
      <c r="AV309" s="1">
        <v>0</v>
      </c>
      <c r="AW309" s="1" t="s">
        <v>5409</v>
      </c>
      <c r="AX309" s="1" t="s">
        <v>5410</v>
      </c>
      <c r="AY309" s="1">
        <v>5</v>
      </c>
      <c r="AZ309" s="1">
        <v>0</v>
      </c>
      <c r="BA309" s="1" t="s">
        <v>330</v>
      </c>
      <c r="BB309" s="1" t="s">
        <v>330</v>
      </c>
      <c r="BC309" s="1" t="s">
        <v>330</v>
      </c>
      <c r="BD309" s="1">
        <v>10303</v>
      </c>
      <c r="BE309" s="1"/>
    </row>
    <row r="310" spans="1:57" x14ac:dyDescent="0.25">
      <c r="A310" s="1">
        <v>316</v>
      </c>
      <c r="B310" s="1" t="s">
        <v>4049</v>
      </c>
      <c r="C310" s="9" t="s">
        <v>813</v>
      </c>
      <c r="D310" s="1" t="s">
        <v>813</v>
      </c>
      <c r="E310" s="1"/>
      <c r="F310" s="1"/>
      <c r="G310" s="1" t="s">
        <v>4050</v>
      </c>
      <c r="H310" s="1" t="s">
        <v>4051</v>
      </c>
      <c r="I310" s="1" t="s">
        <v>4052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1382</v>
      </c>
      <c r="AK310" s="1" t="s">
        <v>1383</v>
      </c>
      <c r="AL310" s="1">
        <v>13</v>
      </c>
      <c r="AM310" s="1" t="s">
        <v>4848</v>
      </c>
      <c r="AN310" s="1" t="s">
        <v>4859</v>
      </c>
      <c r="AO310" s="1" t="s">
        <v>4931</v>
      </c>
      <c r="AP310" s="1">
        <v>0</v>
      </c>
      <c r="AQ310" s="1" t="s">
        <v>1192</v>
      </c>
      <c r="AR310" s="1" t="s">
        <v>1193</v>
      </c>
      <c r="AS310" s="1" t="s">
        <v>1194</v>
      </c>
      <c r="AT310" s="1" t="s">
        <v>330</v>
      </c>
      <c r="AU310" s="1">
        <v>222</v>
      </c>
      <c r="AV310" s="1">
        <v>0</v>
      </c>
      <c r="AW310" s="1" t="s">
        <v>5409</v>
      </c>
      <c r="AX310" s="1" t="s">
        <v>5130</v>
      </c>
      <c r="AY310" s="1">
        <v>5</v>
      </c>
      <c r="AZ310" s="1">
        <v>0</v>
      </c>
      <c r="BA310" s="1" t="s">
        <v>330</v>
      </c>
      <c r="BB310" s="1" t="s">
        <v>330</v>
      </c>
      <c r="BC310" s="1" t="s">
        <v>4869</v>
      </c>
      <c r="BD310" s="1">
        <v>10203</v>
      </c>
      <c r="BE310" s="1"/>
    </row>
    <row r="311" spans="1:57" x14ac:dyDescent="0.25">
      <c r="A311" s="1">
        <v>317</v>
      </c>
      <c r="B311" s="1" t="s">
        <v>4053</v>
      </c>
      <c r="C311" s="9" t="s">
        <v>814</v>
      </c>
      <c r="D311" s="1" t="s">
        <v>814</v>
      </c>
      <c r="E311" s="1"/>
      <c r="F311" s="1"/>
      <c r="G311" s="1" t="s">
        <v>4054</v>
      </c>
      <c r="H311" s="1" t="s">
        <v>4055</v>
      </c>
      <c r="I311" s="1" t="s">
        <v>4056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5411</v>
      </c>
      <c r="AK311" s="1" t="s">
        <v>1384</v>
      </c>
      <c r="AL311" s="1">
        <v>13</v>
      </c>
      <c r="AM311" s="1" t="s">
        <v>478</v>
      </c>
      <c r="AN311" s="1" t="s">
        <v>466</v>
      </c>
      <c r="AO311" s="1" t="s">
        <v>4910</v>
      </c>
      <c r="AP311" s="1">
        <v>0</v>
      </c>
      <c r="AQ311" s="1" t="s">
        <v>1192</v>
      </c>
      <c r="AR311" s="1" t="s">
        <v>1193</v>
      </c>
      <c r="AS311" s="1" t="s">
        <v>4925</v>
      </c>
      <c r="AT311" s="1" t="s">
        <v>330</v>
      </c>
      <c r="AU311" s="1">
        <v>200</v>
      </c>
      <c r="AV311" s="1">
        <v>0</v>
      </c>
      <c r="AW311" s="1" t="s">
        <v>5409</v>
      </c>
      <c r="AX311" s="1" t="s">
        <v>5130</v>
      </c>
      <c r="AY311" s="1">
        <v>4</v>
      </c>
      <c r="AZ311" s="1">
        <v>0</v>
      </c>
      <c r="BA311" s="1" t="s">
        <v>330</v>
      </c>
      <c r="BB311" s="1" t="s">
        <v>330</v>
      </c>
      <c r="BC311" s="1" t="s">
        <v>330</v>
      </c>
      <c r="BD311" s="1">
        <v>10202</v>
      </c>
      <c r="BE311" s="1"/>
    </row>
    <row r="312" spans="1:57" x14ac:dyDescent="0.25">
      <c r="A312" s="1">
        <v>318</v>
      </c>
      <c r="B312" s="1" t="s">
        <v>4057</v>
      </c>
      <c r="C312" s="9" t="s">
        <v>815</v>
      </c>
      <c r="D312" s="1" t="s">
        <v>815</v>
      </c>
      <c r="E312" s="1"/>
      <c r="F312" s="1"/>
      <c r="G312" s="1" t="s">
        <v>4058</v>
      </c>
      <c r="H312" s="1" t="s">
        <v>4059</v>
      </c>
      <c r="I312" s="1" t="s">
        <v>4060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1385</v>
      </c>
      <c r="AK312" s="1" t="s">
        <v>1386</v>
      </c>
      <c r="AL312" s="1">
        <v>13</v>
      </c>
      <c r="AM312" s="1" t="s">
        <v>4805</v>
      </c>
      <c r="AN312" s="1" t="s">
        <v>4950</v>
      </c>
      <c r="AO312" s="1" t="s">
        <v>5176</v>
      </c>
      <c r="AP312" s="1">
        <v>0</v>
      </c>
      <c r="AQ312" s="1" t="s">
        <v>1182</v>
      </c>
      <c r="AR312" s="1" t="s">
        <v>1206</v>
      </c>
      <c r="AS312" s="1" t="s">
        <v>1181</v>
      </c>
      <c r="AT312" s="1" t="s">
        <v>330</v>
      </c>
      <c r="AU312" s="1">
        <v>73</v>
      </c>
      <c r="AV312" s="1">
        <v>0</v>
      </c>
      <c r="AW312" s="1" t="s">
        <v>5409</v>
      </c>
      <c r="AX312" s="1" t="s">
        <v>5412</v>
      </c>
      <c r="AY312" s="1">
        <v>5</v>
      </c>
      <c r="AZ312" s="1">
        <v>0</v>
      </c>
      <c r="BA312" s="1" t="s">
        <v>330</v>
      </c>
      <c r="BB312" s="1" t="s">
        <v>330</v>
      </c>
      <c r="BC312" s="1" t="s">
        <v>330</v>
      </c>
      <c r="BD312" s="1">
        <v>10403</v>
      </c>
      <c r="BE312" s="1"/>
    </row>
    <row r="313" spans="1:57" x14ac:dyDescent="0.25">
      <c r="A313" s="1">
        <v>319</v>
      </c>
      <c r="B313" s="1" t="s">
        <v>4061</v>
      </c>
      <c r="C313" s="9" t="s">
        <v>816</v>
      </c>
      <c r="D313" s="1" t="s">
        <v>816</v>
      </c>
      <c r="E313" s="1"/>
      <c r="F313" s="1"/>
      <c r="G313" s="1" t="s">
        <v>4062</v>
      </c>
      <c r="H313" s="1" t="s">
        <v>4063</v>
      </c>
      <c r="I313" s="1" t="s">
        <v>4064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5413</v>
      </c>
      <c r="AK313" s="1" t="s">
        <v>1387</v>
      </c>
      <c r="AL313" s="1">
        <v>17</v>
      </c>
      <c r="AM313" s="1" t="s">
        <v>4944</v>
      </c>
      <c r="AN313" s="1" t="s">
        <v>5414</v>
      </c>
      <c r="AO313" s="1" t="s">
        <v>5200</v>
      </c>
      <c r="AP313" s="1">
        <v>0</v>
      </c>
      <c r="AQ313" s="1" t="s">
        <v>1219</v>
      </c>
      <c r="AR313" s="1" t="s">
        <v>1220</v>
      </c>
      <c r="AS313" s="1" t="s">
        <v>1221</v>
      </c>
      <c r="AT313" s="1" t="s">
        <v>330</v>
      </c>
      <c r="AU313" s="1">
        <v>238</v>
      </c>
      <c r="AV313" s="1">
        <v>0</v>
      </c>
      <c r="AW313" s="1" t="s">
        <v>5409</v>
      </c>
      <c r="AX313" s="1" t="s">
        <v>5412</v>
      </c>
      <c r="AY313" s="1">
        <v>4</v>
      </c>
      <c r="AZ313" s="1">
        <v>0</v>
      </c>
      <c r="BA313" s="1" t="s">
        <v>330</v>
      </c>
      <c r="BB313" s="1" t="s">
        <v>330</v>
      </c>
      <c r="BC313" s="1" t="s">
        <v>4843</v>
      </c>
      <c r="BD313" s="1">
        <v>10402</v>
      </c>
      <c r="BE313" s="1"/>
    </row>
    <row r="314" spans="1:57" x14ac:dyDescent="0.25">
      <c r="A314" s="1">
        <v>320</v>
      </c>
      <c r="B314" s="1" t="s">
        <v>4065</v>
      </c>
      <c r="C314" s="9" t="s">
        <v>817</v>
      </c>
      <c r="D314" s="1" t="s">
        <v>4066</v>
      </c>
      <c r="E314" s="1"/>
      <c r="F314" s="1"/>
      <c r="G314" s="1" t="s">
        <v>4067</v>
      </c>
      <c r="H314" s="1" t="s">
        <v>4068</v>
      </c>
      <c r="I314" s="1" t="s">
        <v>4069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1388</v>
      </c>
      <c r="AK314" s="1" t="s">
        <v>330</v>
      </c>
      <c r="AL314" s="1">
        <v>13</v>
      </c>
      <c r="AM314" s="1" t="s">
        <v>4848</v>
      </c>
      <c r="AN314" s="1" t="s">
        <v>4915</v>
      </c>
      <c r="AO314" s="1" t="s">
        <v>4912</v>
      </c>
      <c r="AP314" s="1">
        <v>0</v>
      </c>
      <c r="AQ314" s="1" t="s">
        <v>1192</v>
      </c>
      <c r="AR314" s="1" t="s">
        <v>1193</v>
      </c>
      <c r="AS314" s="1" t="s">
        <v>1194</v>
      </c>
      <c r="AT314" s="1" t="s">
        <v>330</v>
      </c>
      <c r="AU314" s="1">
        <v>241</v>
      </c>
      <c r="AV314" s="1">
        <v>0</v>
      </c>
      <c r="AW314" s="1" t="s">
        <v>5415</v>
      </c>
      <c r="AX314" s="1" t="s">
        <v>5416</v>
      </c>
      <c r="AY314" s="1">
        <v>3</v>
      </c>
      <c r="AZ314" s="1">
        <v>0</v>
      </c>
      <c r="BA314" s="1" t="s">
        <v>330</v>
      </c>
      <c r="BB314" s="1" t="s">
        <v>330</v>
      </c>
      <c r="BC314" s="1" t="s">
        <v>330</v>
      </c>
      <c r="BD314" s="1">
        <v>10402</v>
      </c>
      <c r="BE314" s="1"/>
    </row>
    <row r="315" spans="1:57" x14ac:dyDescent="0.25">
      <c r="A315" s="1">
        <v>321</v>
      </c>
      <c r="B315" s="1" t="s">
        <v>4070</v>
      </c>
      <c r="C315" s="9" t="s">
        <v>818</v>
      </c>
      <c r="D315" s="1" t="s">
        <v>4071</v>
      </c>
      <c r="E315" s="1"/>
      <c r="F315" s="1"/>
      <c r="G315" s="1" t="s">
        <v>4072</v>
      </c>
      <c r="H315" s="1" t="s">
        <v>4073</v>
      </c>
      <c r="I315" s="1" t="s">
        <v>4074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1389</v>
      </c>
      <c r="AK315" s="1" t="s">
        <v>1390</v>
      </c>
      <c r="AL315" s="1">
        <v>8</v>
      </c>
      <c r="AM315" s="1" t="s">
        <v>4802</v>
      </c>
      <c r="AN315" s="1" t="s">
        <v>336</v>
      </c>
      <c r="AO315" s="1" t="s">
        <v>5154</v>
      </c>
      <c r="AP315" s="1">
        <v>0</v>
      </c>
      <c r="AQ315" s="1" t="s">
        <v>1252</v>
      </c>
      <c r="AR315" s="1" t="s">
        <v>1253</v>
      </c>
      <c r="AS315" s="1" t="s">
        <v>1254</v>
      </c>
      <c r="AT315" s="1" t="s">
        <v>330</v>
      </c>
      <c r="AU315" s="1">
        <v>190</v>
      </c>
      <c r="AV315" s="1">
        <v>0</v>
      </c>
      <c r="AW315" s="1" t="s">
        <v>5417</v>
      </c>
      <c r="AX315" s="1" t="s">
        <v>5418</v>
      </c>
      <c r="AY315" s="1">
        <v>3</v>
      </c>
      <c r="AZ315" s="1">
        <v>0</v>
      </c>
      <c r="BA315" s="1" t="s">
        <v>330</v>
      </c>
      <c r="BB315" s="1" t="s">
        <v>330</v>
      </c>
      <c r="BC315" s="1" t="s">
        <v>330</v>
      </c>
      <c r="BD315" s="1">
        <v>10202</v>
      </c>
      <c r="BE315" s="1"/>
    </row>
    <row r="316" spans="1:57" x14ac:dyDescent="0.25">
      <c r="A316" s="1">
        <v>322</v>
      </c>
      <c r="B316" s="1" t="s">
        <v>4075</v>
      </c>
      <c r="C316" s="9" t="s">
        <v>1724</v>
      </c>
      <c r="D316" s="1" t="s">
        <v>1724</v>
      </c>
      <c r="E316" s="1"/>
      <c r="F316" s="1"/>
      <c r="G316" s="1" t="s">
        <v>4076</v>
      </c>
      <c r="H316" s="1" t="s">
        <v>4077</v>
      </c>
      <c r="I316" s="1" t="s">
        <v>4078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1391</v>
      </c>
      <c r="AK316" s="1" t="s">
        <v>1392</v>
      </c>
      <c r="AL316" s="1">
        <v>13</v>
      </c>
      <c r="AM316" s="1" t="s">
        <v>1891</v>
      </c>
      <c r="AN316" s="1" t="s">
        <v>5033</v>
      </c>
      <c r="AO316" s="1" t="s">
        <v>5166</v>
      </c>
      <c r="AP316" s="1">
        <v>0</v>
      </c>
      <c r="AQ316" s="1" t="s">
        <v>1170</v>
      </c>
      <c r="AR316" s="1" t="s">
        <v>1171</v>
      </c>
      <c r="AS316" s="1" t="s">
        <v>1172</v>
      </c>
      <c r="AT316" s="1" t="s">
        <v>330</v>
      </c>
      <c r="AU316" s="1">
        <v>220</v>
      </c>
      <c r="AV316" s="1">
        <v>0</v>
      </c>
      <c r="AW316" s="1" t="s">
        <v>5419</v>
      </c>
      <c r="AX316" s="1" t="s">
        <v>5420</v>
      </c>
      <c r="AY316" s="1">
        <v>3</v>
      </c>
      <c r="AZ316" s="1">
        <v>0</v>
      </c>
      <c r="BA316" s="1" t="s">
        <v>330</v>
      </c>
      <c r="BB316" s="1" t="s">
        <v>330</v>
      </c>
      <c r="BC316" s="1" t="s">
        <v>4869</v>
      </c>
      <c r="BD316" s="1">
        <v>10705</v>
      </c>
      <c r="BE316" s="1"/>
    </row>
    <row r="317" spans="1:57" x14ac:dyDescent="0.25">
      <c r="A317" s="1">
        <v>323</v>
      </c>
      <c r="B317" s="1" t="s">
        <v>4079</v>
      </c>
      <c r="C317" s="9" t="s">
        <v>819</v>
      </c>
      <c r="D317" s="1" t="s">
        <v>819</v>
      </c>
      <c r="E317" s="1"/>
      <c r="F317" s="1"/>
      <c r="G317" s="1" t="s">
        <v>4080</v>
      </c>
      <c r="H317" s="1" t="s">
        <v>4081</v>
      </c>
      <c r="I317" s="1" t="s">
        <v>4082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1251</v>
      </c>
      <c r="AK317" s="1" t="s">
        <v>1393</v>
      </c>
      <c r="AL317" s="1">
        <v>8</v>
      </c>
      <c r="AM317" s="1" t="s">
        <v>4802</v>
      </c>
      <c r="AN317" s="1" t="s">
        <v>5421</v>
      </c>
      <c r="AO317" s="1" t="s">
        <v>5028</v>
      </c>
      <c r="AP317" s="1">
        <v>0</v>
      </c>
      <c r="AQ317" s="1" t="s">
        <v>1252</v>
      </c>
      <c r="AR317" s="1" t="s">
        <v>1253</v>
      </c>
      <c r="AS317" s="1" t="s">
        <v>1254</v>
      </c>
      <c r="AT317" s="1" t="s">
        <v>330</v>
      </c>
      <c r="AU317" s="1">
        <v>164</v>
      </c>
      <c r="AV317" s="1">
        <v>0</v>
      </c>
      <c r="AW317" s="1" t="s">
        <v>5422</v>
      </c>
      <c r="AX317" s="1" t="s">
        <v>4805</v>
      </c>
      <c r="AY317" s="1">
        <v>5</v>
      </c>
      <c r="AZ317" s="1">
        <v>0</v>
      </c>
      <c r="BA317" s="1" t="s">
        <v>330</v>
      </c>
      <c r="BB317" s="1" t="s">
        <v>330</v>
      </c>
      <c r="BC317" s="1" t="s">
        <v>4825</v>
      </c>
      <c r="BD317" s="1">
        <v>10302</v>
      </c>
      <c r="BE317" s="1"/>
    </row>
    <row r="318" spans="1:57" x14ac:dyDescent="0.25">
      <c r="A318" s="1">
        <v>324</v>
      </c>
      <c r="B318" s="1" t="s">
        <v>4083</v>
      </c>
      <c r="C318" s="9" t="s">
        <v>820</v>
      </c>
      <c r="D318" s="1" t="s">
        <v>4084</v>
      </c>
      <c r="E318" s="1"/>
      <c r="F318" s="1"/>
      <c r="G318" s="1" t="s">
        <v>4085</v>
      </c>
      <c r="H318" s="1" t="s">
        <v>4086</v>
      </c>
      <c r="I318" s="1" t="s">
        <v>4087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5423</v>
      </c>
      <c r="AK318" s="1" t="s">
        <v>1394</v>
      </c>
      <c r="AL318" s="1">
        <v>9</v>
      </c>
      <c r="AM318" s="1" t="s">
        <v>4802</v>
      </c>
      <c r="AN318" s="1" t="s">
        <v>5424</v>
      </c>
      <c r="AO318" s="1" t="s">
        <v>5276</v>
      </c>
      <c r="AP318" s="1">
        <v>0</v>
      </c>
      <c r="AQ318" s="1" t="s">
        <v>1252</v>
      </c>
      <c r="AR318" s="1" t="s">
        <v>1253</v>
      </c>
      <c r="AS318" s="1" t="s">
        <v>1254</v>
      </c>
      <c r="AT318" s="1" t="s">
        <v>330</v>
      </c>
      <c r="AU318" s="1">
        <v>164</v>
      </c>
      <c r="AV318" s="1">
        <v>0</v>
      </c>
      <c r="AW318" s="1" t="s">
        <v>5422</v>
      </c>
      <c r="AX318" s="1" t="s">
        <v>4805</v>
      </c>
      <c r="AY318" s="1">
        <v>5</v>
      </c>
      <c r="AZ318" s="1">
        <v>0</v>
      </c>
      <c r="BA318" s="1" t="s">
        <v>330</v>
      </c>
      <c r="BB318" s="1" t="s">
        <v>330</v>
      </c>
      <c r="BC318" s="1" t="s">
        <v>4806</v>
      </c>
      <c r="BD318" s="1">
        <v>10202</v>
      </c>
      <c r="BE318" s="1"/>
    </row>
    <row r="319" spans="1:57" x14ac:dyDescent="0.25">
      <c r="A319" s="1">
        <v>325</v>
      </c>
      <c r="B319" s="1" t="s">
        <v>4088</v>
      </c>
      <c r="C319" s="9" t="s">
        <v>1725</v>
      </c>
      <c r="D319" s="1" t="s">
        <v>1725</v>
      </c>
      <c r="E319" s="1"/>
      <c r="F319" s="1"/>
      <c r="G319" s="1" t="s">
        <v>4089</v>
      </c>
      <c r="H319" s="1" t="s">
        <v>4090</v>
      </c>
      <c r="I319" s="1" t="s">
        <v>4091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5425</v>
      </c>
      <c r="AK319" s="1" t="s">
        <v>330</v>
      </c>
      <c r="AL319" s="1">
        <v>8</v>
      </c>
      <c r="AM319" s="1" t="s">
        <v>4802</v>
      </c>
      <c r="AN319" s="1" t="s">
        <v>5426</v>
      </c>
      <c r="AO319" s="1" t="s">
        <v>4910</v>
      </c>
      <c r="AP319" s="1">
        <v>0</v>
      </c>
      <c r="AQ319" s="1" t="s">
        <v>1252</v>
      </c>
      <c r="AR319" s="1" t="s">
        <v>1253</v>
      </c>
      <c r="AS319" s="1" t="s">
        <v>1254</v>
      </c>
      <c r="AT319" s="1" t="s">
        <v>330</v>
      </c>
      <c r="AU319" s="1">
        <v>165</v>
      </c>
      <c r="AV319" s="1">
        <v>0</v>
      </c>
      <c r="AW319" s="1" t="s">
        <v>5422</v>
      </c>
      <c r="AX319" s="1" t="s">
        <v>4805</v>
      </c>
      <c r="AY319" s="1">
        <v>4</v>
      </c>
      <c r="AZ319" s="1">
        <v>0</v>
      </c>
      <c r="BA319" s="1" t="s">
        <v>330</v>
      </c>
      <c r="BB319" s="1" t="s">
        <v>330</v>
      </c>
      <c r="BC319" s="1" t="s">
        <v>4825</v>
      </c>
      <c r="BD319" s="1">
        <v>10701</v>
      </c>
      <c r="BE319" s="1"/>
    </row>
    <row r="320" spans="1:57" x14ac:dyDescent="0.25">
      <c r="A320" s="1">
        <v>326</v>
      </c>
      <c r="B320" s="1" t="s">
        <v>4092</v>
      </c>
      <c r="C320" s="9" t="s">
        <v>821</v>
      </c>
      <c r="D320" s="1" t="s">
        <v>821</v>
      </c>
      <c r="E320" s="1"/>
      <c r="F320" s="1"/>
      <c r="G320" s="1" t="s">
        <v>4093</v>
      </c>
      <c r="H320" s="1" t="s">
        <v>4094</v>
      </c>
      <c r="I320" s="1" t="s">
        <v>4095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5427</v>
      </c>
      <c r="AK320" s="1" t="s">
        <v>1395</v>
      </c>
      <c r="AL320" s="1">
        <v>8</v>
      </c>
      <c r="AM320" s="1" t="s">
        <v>389</v>
      </c>
      <c r="AN320" s="1" t="s">
        <v>5428</v>
      </c>
      <c r="AO320" s="1" t="s">
        <v>4824</v>
      </c>
      <c r="AP320" s="1">
        <v>0</v>
      </c>
      <c r="AQ320" s="1" t="s">
        <v>1252</v>
      </c>
      <c r="AR320" s="1" t="s">
        <v>1253</v>
      </c>
      <c r="AS320" s="1" t="s">
        <v>1254</v>
      </c>
      <c r="AT320" s="1" t="s">
        <v>330</v>
      </c>
      <c r="AU320" s="1">
        <v>165</v>
      </c>
      <c r="AV320" s="1">
        <v>0</v>
      </c>
      <c r="AW320" s="1" t="s">
        <v>5422</v>
      </c>
      <c r="AX320" s="1" t="s">
        <v>4805</v>
      </c>
      <c r="AY320" s="1">
        <v>4</v>
      </c>
      <c r="AZ320" s="1">
        <v>0</v>
      </c>
      <c r="BA320" s="1" t="s">
        <v>330</v>
      </c>
      <c r="BB320" s="1" t="s">
        <v>330</v>
      </c>
      <c r="BC320" s="1" t="s">
        <v>4855</v>
      </c>
      <c r="BD320" s="1">
        <v>10403</v>
      </c>
      <c r="BE320" s="1"/>
    </row>
    <row r="321" spans="1:57" x14ac:dyDescent="0.25">
      <c r="A321" s="1">
        <v>327</v>
      </c>
      <c r="B321" s="1" t="s">
        <v>4096</v>
      </c>
      <c r="C321" s="9" t="s">
        <v>1726</v>
      </c>
      <c r="D321" s="1" t="s">
        <v>1726</v>
      </c>
      <c r="E321" s="1"/>
      <c r="F321" s="1"/>
      <c r="G321" s="1" t="s">
        <v>4097</v>
      </c>
      <c r="H321" s="1" t="s">
        <v>4098</v>
      </c>
      <c r="I321" s="1" t="s">
        <v>4099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5429</v>
      </c>
      <c r="AK321" s="1" t="s">
        <v>330</v>
      </c>
      <c r="AL321" s="1">
        <v>12</v>
      </c>
      <c r="AM321" s="1" t="s">
        <v>1891</v>
      </c>
      <c r="AN321" s="1" t="s">
        <v>5430</v>
      </c>
      <c r="AO321" s="1" t="s">
        <v>5431</v>
      </c>
      <c r="AP321" s="1">
        <v>0</v>
      </c>
      <c r="AQ321" s="1" t="s">
        <v>1181</v>
      </c>
      <c r="AR321" s="1" t="s">
        <v>1171</v>
      </c>
      <c r="AS321" s="1" t="s">
        <v>1182</v>
      </c>
      <c r="AT321" s="1" t="s">
        <v>330</v>
      </c>
      <c r="AU321" s="1">
        <v>116</v>
      </c>
      <c r="AV321" s="1">
        <v>0</v>
      </c>
      <c r="AW321" s="1" t="s">
        <v>5432</v>
      </c>
      <c r="AX321" s="1" t="s">
        <v>5433</v>
      </c>
      <c r="AY321" s="1">
        <v>3</v>
      </c>
      <c r="AZ321" s="1">
        <v>0</v>
      </c>
      <c r="BA321" s="1" t="s">
        <v>330</v>
      </c>
      <c r="BB321" s="1" t="s">
        <v>330</v>
      </c>
      <c r="BC321" s="1" t="s">
        <v>4806</v>
      </c>
      <c r="BD321" s="1">
        <v>10802</v>
      </c>
      <c r="BE321" s="1"/>
    </row>
    <row r="322" spans="1:57" x14ac:dyDescent="0.25">
      <c r="A322" s="1">
        <v>328</v>
      </c>
      <c r="B322" s="1" t="s">
        <v>4100</v>
      </c>
      <c r="C322" s="9" t="s">
        <v>1727</v>
      </c>
      <c r="D322" s="1" t="s">
        <v>1727</v>
      </c>
      <c r="E322" s="1"/>
      <c r="F322" s="1"/>
      <c r="G322" s="1" t="s">
        <v>4101</v>
      </c>
      <c r="H322" s="1" t="s">
        <v>4102</v>
      </c>
      <c r="I322" s="1" t="s">
        <v>4103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5434</v>
      </c>
      <c r="AK322" s="1" t="s">
        <v>1396</v>
      </c>
      <c r="AL322" s="1">
        <v>13</v>
      </c>
      <c r="AM322" s="1" t="s">
        <v>400</v>
      </c>
      <c r="AN322" s="1" t="s">
        <v>5435</v>
      </c>
      <c r="AO322" s="1" t="s">
        <v>5255</v>
      </c>
      <c r="AP322" s="1">
        <v>0</v>
      </c>
      <c r="AQ322" s="1" t="s">
        <v>1181</v>
      </c>
      <c r="AR322" s="1" t="s">
        <v>1171</v>
      </c>
      <c r="AS322" s="1" t="s">
        <v>1182</v>
      </c>
      <c r="AT322" s="1" t="s">
        <v>330</v>
      </c>
      <c r="AU322" s="1">
        <v>150</v>
      </c>
      <c r="AV322" s="1">
        <v>0</v>
      </c>
      <c r="AW322" s="1" t="s">
        <v>5436</v>
      </c>
      <c r="AX322" s="1" t="s">
        <v>333</v>
      </c>
      <c r="AY322" s="1">
        <v>4</v>
      </c>
      <c r="AZ322" s="1">
        <v>0</v>
      </c>
      <c r="BA322" s="1" t="s">
        <v>330</v>
      </c>
      <c r="BB322" s="1" t="s">
        <v>330</v>
      </c>
      <c r="BC322" s="1" t="s">
        <v>4806</v>
      </c>
      <c r="BD322" s="1">
        <v>10202</v>
      </c>
      <c r="BE322" s="1"/>
    </row>
    <row r="323" spans="1:57" x14ac:dyDescent="0.25">
      <c r="A323" s="1">
        <v>329</v>
      </c>
      <c r="B323" s="1" t="s">
        <v>4104</v>
      </c>
      <c r="C323" s="9" t="s">
        <v>822</v>
      </c>
      <c r="D323" s="1" t="s">
        <v>822</v>
      </c>
      <c r="E323" s="1"/>
      <c r="F323" s="1"/>
      <c r="G323" s="1" t="s">
        <v>4105</v>
      </c>
      <c r="H323" s="1" t="s">
        <v>4106</v>
      </c>
      <c r="I323" s="1" t="s">
        <v>4107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5437</v>
      </c>
      <c r="AK323" s="1" t="s">
        <v>1397</v>
      </c>
      <c r="AL323" s="1">
        <v>14</v>
      </c>
      <c r="AM323" s="1" t="s">
        <v>4848</v>
      </c>
      <c r="AN323" s="1" t="s">
        <v>5338</v>
      </c>
      <c r="AO323" s="1" t="s">
        <v>4931</v>
      </c>
      <c r="AP323" s="1">
        <v>0</v>
      </c>
      <c r="AQ323" s="1" t="s">
        <v>1192</v>
      </c>
      <c r="AR323" s="1" t="s">
        <v>1193</v>
      </c>
      <c r="AS323" s="1" t="s">
        <v>1194</v>
      </c>
      <c r="AT323" s="1" t="s">
        <v>330</v>
      </c>
      <c r="AU323" s="1">
        <v>241</v>
      </c>
      <c r="AV323" s="1">
        <v>0</v>
      </c>
      <c r="AW323" s="1" t="s">
        <v>5436</v>
      </c>
      <c r="AX323" s="1" t="s">
        <v>333</v>
      </c>
      <c r="AY323" s="1">
        <v>5</v>
      </c>
      <c r="AZ323" s="1">
        <v>0</v>
      </c>
      <c r="BA323" s="1" t="s">
        <v>330</v>
      </c>
      <c r="BB323" s="1" t="s">
        <v>330</v>
      </c>
      <c r="BC323" s="1" t="s">
        <v>4843</v>
      </c>
      <c r="BD323" s="1">
        <v>10203</v>
      </c>
      <c r="BE323" s="1"/>
    </row>
    <row r="324" spans="1:57" x14ac:dyDescent="0.25">
      <c r="A324" s="1">
        <v>330</v>
      </c>
      <c r="B324" s="1" t="s">
        <v>4108</v>
      </c>
      <c r="C324" s="9" t="s">
        <v>1728</v>
      </c>
      <c r="D324" s="1" t="s">
        <v>1728</v>
      </c>
      <c r="E324" s="1"/>
      <c r="F324" s="1"/>
      <c r="G324" s="1" t="s">
        <v>4109</v>
      </c>
      <c r="H324" s="1" t="s">
        <v>4110</v>
      </c>
      <c r="I324" s="1" t="s">
        <v>4111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5438</v>
      </c>
      <c r="AK324" s="1" t="s">
        <v>1398</v>
      </c>
      <c r="AL324" s="1">
        <v>13</v>
      </c>
      <c r="AM324" s="1" t="s">
        <v>4805</v>
      </c>
      <c r="AN324" s="1" t="s">
        <v>4970</v>
      </c>
      <c r="AO324" s="1" t="s">
        <v>4971</v>
      </c>
      <c r="AP324" s="1">
        <v>0</v>
      </c>
      <c r="AQ324" s="1" t="s">
        <v>1182</v>
      </c>
      <c r="AR324" s="1" t="s">
        <v>1206</v>
      </c>
      <c r="AS324" s="1" t="s">
        <v>1181</v>
      </c>
      <c r="AT324" s="1" t="s">
        <v>330</v>
      </c>
      <c r="AU324" s="1">
        <v>48</v>
      </c>
      <c r="AV324" s="1">
        <v>0</v>
      </c>
      <c r="AW324" s="1" t="s">
        <v>5436</v>
      </c>
      <c r="AX324" s="1" t="s">
        <v>333</v>
      </c>
      <c r="AY324" s="1">
        <v>4</v>
      </c>
      <c r="AZ324" s="1">
        <v>0</v>
      </c>
      <c r="BA324" s="1" t="s">
        <v>330</v>
      </c>
      <c r="BB324" s="1" t="s">
        <v>330</v>
      </c>
      <c r="BC324" s="1" t="s">
        <v>330</v>
      </c>
      <c r="BD324" s="1">
        <v>10403</v>
      </c>
      <c r="BE324" s="1"/>
    </row>
    <row r="325" spans="1:57" x14ac:dyDescent="0.25">
      <c r="A325" s="1">
        <v>331</v>
      </c>
      <c r="B325" s="1" t="s">
        <v>4112</v>
      </c>
      <c r="C325" s="9" t="s">
        <v>823</v>
      </c>
      <c r="D325" s="1" t="s">
        <v>823</v>
      </c>
      <c r="E325" s="1"/>
      <c r="F325" s="1"/>
      <c r="G325" s="1" t="s">
        <v>4113</v>
      </c>
      <c r="H325" s="1" t="s">
        <v>4114</v>
      </c>
      <c r="I325" s="1" t="s">
        <v>4115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1399</v>
      </c>
      <c r="AK325" s="1" t="s">
        <v>330</v>
      </c>
      <c r="AL325" s="1">
        <v>14</v>
      </c>
      <c r="AM325" s="1" t="s">
        <v>1891</v>
      </c>
      <c r="AN325" s="1" t="s">
        <v>5439</v>
      </c>
      <c r="AO325" s="1" t="s">
        <v>5440</v>
      </c>
      <c r="AP325" s="1">
        <v>0</v>
      </c>
      <c r="AQ325" s="1" t="s">
        <v>1170</v>
      </c>
      <c r="AR325" s="1" t="s">
        <v>1171</v>
      </c>
      <c r="AS325" s="1" t="s">
        <v>1172</v>
      </c>
      <c r="AT325" s="1" t="s">
        <v>330</v>
      </c>
      <c r="AU325" s="1">
        <v>96</v>
      </c>
      <c r="AV325" s="1">
        <v>0</v>
      </c>
      <c r="AW325" s="1" t="s">
        <v>5441</v>
      </c>
      <c r="AX325" s="1" t="s">
        <v>5442</v>
      </c>
      <c r="AY325" s="1">
        <v>5</v>
      </c>
      <c r="AZ325" s="1">
        <v>0</v>
      </c>
      <c r="BA325" s="1" t="s">
        <v>330</v>
      </c>
      <c r="BB325" s="1" t="s">
        <v>330</v>
      </c>
      <c r="BC325" s="1" t="s">
        <v>330</v>
      </c>
      <c r="BD325" s="1">
        <v>10401</v>
      </c>
      <c r="BE325" s="1"/>
    </row>
    <row r="326" spans="1:57" x14ac:dyDescent="0.25">
      <c r="A326" s="1">
        <v>332</v>
      </c>
      <c r="B326" s="1" t="s">
        <v>4116</v>
      </c>
      <c r="C326" s="9" t="s">
        <v>824</v>
      </c>
      <c r="D326" s="1" t="s">
        <v>824</v>
      </c>
      <c r="E326" s="1"/>
      <c r="F326" s="1"/>
      <c r="G326" s="1" t="s">
        <v>4117</v>
      </c>
      <c r="H326" s="1" t="s">
        <v>4118</v>
      </c>
      <c r="I326" s="1" t="s">
        <v>4119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330</v>
      </c>
      <c r="AK326" s="1" t="s">
        <v>1400</v>
      </c>
      <c r="AL326" s="1">
        <v>17</v>
      </c>
      <c r="AM326" s="1" t="s">
        <v>1891</v>
      </c>
      <c r="AN326" s="1" t="s">
        <v>5443</v>
      </c>
      <c r="AO326" s="1" t="s">
        <v>5080</v>
      </c>
      <c r="AP326" s="1">
        <v>0</v>
      </c>
      <c r="AQ326" s="1" t="s">
        <v>1170</v>
      </c>
      <c r="AR326" s="1" t="s">
        <v>1171</v>
      </c>
      <c r="AS326" s="1" t="s">
        <v>1172</v>
      </c>
      <c r="AT326" s="1" t="s">
        <v>330</v>
      </c>
      <c r="AU326" s="1">
        <v>212</v>
      </c>
      <c r="AV326" s="1">
        <v>0</v>
      </c>
      <c r="AW326" s="1" t="s">
        <v>5441</v>
      </c>
      <c r="AX326" s="1" t="s">
        <v>5144</v>
      </c>
      <c r="AY326" s="1">
        <v>4</v>
      </c>
      <c r="AZ326" s="1">
        <v>0</v>
      </c>
      <c r="BA326" s="1" t="s">
        <v>330</v>
      </c>
      <c r="BB326" s="1" t="s">
        <v>330</v>
      </c>
      <c r="BC326" s="1" t="s">
        <v>4806</v>
      </c>
      <c r="BD326" s="1">
        <v>10704</v>
      </c>
      <c r="BE326" s="1"/>
    </row>
    <row r="327" spans="1:57" x14ac:dyDescent="0.25">
      <c r="A327" s="1">
        <v>333</v>
      </c>
      <c r="B327" s="1" t="s">
        <v>4120</v>
      </c>
      <c r="C327" s="9" t="s">
        <v>825</v>
      </c>
      <c r="D327" s="1" t="s">
        <v>825</v>
      </c>
      <c r="E327" s="1"/>
      <c r="F327" s="1"/>
      <c r="G327" s="1" t="s">
        <v>4121</v>
      </c>
      <c r="H327" s="1" t="s">
        <v>4122</v>
      </c>
      <c r="I327" s="1" t="s">
        <v>4123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1401</v>
      </c>
      <c r="AK327" s="1" t="s">
        <v>1402</v>
      </c>
      <c r="AL327" s="1">
        <v>13</v>
      </c>
      <c r="AM327" s="1" t="s">
        <v>4876</v>
      </c>
      <c r="AN327" s="1" t="s">
        <v>4879</v>
      </c>
      <c r="AO327" s="1" t="s">
        <v>5444</v>
      </c>
      <c r="AP327" s="1">
        <v>0</v>
      </c>
      <c r="AQ327" s="1" t="s">
        <v>1181</v>
      </c>
      <c r="AR327" s="1" t="s">
        <v>1171</v>
      </c>
      <c r="AS327" s="1" t="s">
        <v>1182</v>
      </c>
      <c r="AT327" s="1" t="s">
        <v>330</v>
      </c>
      <c r="AU327" s="1">
        <v>224</v>
      </c>
      <c r="AV327" s="1">
        <v>0</v>
      </c>
      <c r="AW327" s="1" t="s">
        <v>5441</v>
      </c>
      <c r="AX327" s="1" t="s">
        <v>5445</v>
      </c>
      <c r="AY327" s="1">
        <v>5</v>
      </c>
      <c r="AZ327" s="1">
        <v>0</v>
      </c>
      <c r="BA327" s="1" t="s">
        <v>330</v>
      </c>
      <c r="BB327" s="1" t="s">
        <v>330</v>
      </c>
      <c r="BC327" s="1" t="s">
        <v>4825</v>
      </c>
      <c r="BD327" s="1">
        <v>10201</v>
      </c>
      <c r="BE327" s="1"/>
    </row>
    <row r="328" spans="1:57" x14ac:dyDescent="0.25">
      <c r="A328" s="1">
        <v>334</v>
      </c>
      <c r="B328" s="1" t="s">
        <v>4124</v>
      </c>
      <c r="C328" s="9" t="s">
        <v>826</v>
      </c>
      <c r="D328" s="1" t="s">
        <v>4125</v>
      </c>
      <c r="E328" s="1"/>
      <c r="F328" s="1"/>
      <c r="G328" s="1" t="s">
        <v>4126</v>
      </c>
      <c r="H328" s="1" t="s">
        <v>4127</v>
      </c>
      <c r="I328" s="1" t="s">
        <v>4128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1403</v>
      </c>
      <c r="AK328" s="1" t="s">
        <v>1404</v>
      </c>
      <c r="AL328" s="1">
        <v>19</v>
      </c>
      <c r="AM328" s="1" t="s">
        <v>4848</v>
      </c>
      <c r="AN328" s="1" t="s">
        <v>5446</v>
      </c>
      <c r="AO328" s="1" t="s">
        <v>4931</v>
      </c>
      <c r="AP328" s="1">
        <v>0</v>
      </c>
      <c r="AQ328" s="1" t="s">
        <v>1192</v>
      </c>
      <c r="AR328" s="1" t="s">
        <v>1193</v>
      </c>
      <c r="AS328" s="1" t="s">
        <v>1194</v>
      </c>
      <c r="AT328" s="1" t="s">
        <v>330</v>
      </c>
      <c r="AU328" s="1">
        <v>222</v>
      </c>
      <c r="AV328" s="1">
        <v>0</v>
      </c>
      <c r="AW328" s="1" t="s">
        <v>5441</v>
      </c>
      <c r="AX328" s="1" t="s">
        <v>5144</v>
      </c>
      <c r="AY328" s="1">
        <v>5</v>
      </c>
      <c r="AZ328" s="1">
        <v>0</v>
      </c>
      <c r="BA328" s="1" t="s">
        <v>330</v>
      </c>
      <c r="BB328" s="1" t="s">
        <v>330</v>
      </c>
      <c r="BC328" s="1" t="s">
        <v>4806</v>
      </c>
      <c r="BD328" s="1">
        <v>10302</v>
      </c>
      <c r="BE328" s="1"/>
    </row>
    <row r="329" spans="1:57" x14ac:dyDescent="0.25">
      <c r="A329" s="1">
        <v>335</v>
      </c>
      <c r="B329" s="1" t="s">
        <v>4129</v>
      </c>
      <c r="C329" s="9" t="s">
        <v>827</v>
      </c>
      <c r="D329" s="1" t="s">
        <v>827</v>
      </c>
      <c r="E329" s="1"/>
      <c r="F329" s="1"/>
      <c r="G329" s="1" t="s">
        <v>4130</v>
      </c>
      <c r="H329" s="1" t="s">
        <v>4131</v>
      </c>
      <c r="I329" s="1" t="s">
        <v>4132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5447</v>
      </c>
      <c r="AK329" s="1" t="s">
        <v>1405</v>
      </c>
      <c r="AL329" s="1">
        <v>13</v>
      </c>
      <c r="AM329" s="1" t="s">
        <v>333</v>
      </c>
      <c r="AN329" s="1" t="s">
        <v>4950</v>
      </c>
      <c r="AO329" s="1" t="s">
        <v>5188</v>
      </c>
      <c r="AP329" s="1">
        <v>0</v>
      </c>
      <c r="AQ329" s="1" t="s">
        <v>1182</v>
      </c>
      <c r="AR329" s="1" t="s">
        <v>1206</v>
      </c>
      <c r="AS329" s="1" t="s">
        <v>1181</v>
      </c>
      <c r="AT329" s="1" t="s">
        <v>330</v>
      </c>
      <c r="AU329" s="1">
        <v>48</v>
      </c>
      <c r="AV329" s="1">
        <v>0</v>
      </c>
      <c r="AW329" s="1" t="s">
        <v>5441</v>
      </c>
      <c r="AX329" s="1" t="s">
        <v>5442</v>
      </c>
      <c r="AY329" s="1">
        <v>4</v>
      </c>
      <c r="AZ329" s="1">
        <v>0</v>
      </c>
      <c r="BA329" s="1" t="s">
        <v>330</v>
      </c>
      <c r="BB329" s="1" t="s">
        <v>330</v>
      </c>
      <c r="BC329" s="1" t="s">
        <v>4843</v>
      </c>
      <c r="BD329" s="1">
        <v>10202</v>
      </c>
      <c r="BE329" s="1"/>
    </row>
    <row r="330" spans="1:57" x14ac:dyDescent="0.25">
      <c r="A330" s="1">
        <v>336</v>
      </c>
      <c r="B330" s="1" t="s">
        <v>4133</v>
      </c>
      <c r="C330" s="9" t="s">
        <v>1729</v>
      </c>
      <c r="D330" s="1" t="s">
        <v>1729</v>
      </c>
      <c r="E330" s="1"/>
      <c r="F330" s="1"/>
      <c r="G330" s="1" t="s">
        <v>4134</v>
      </c>
      <c r="H330" s="1" t="s">
        <v>4135</v>
      </c>
      <c r="I330" s="1" t="s">
        <v>4136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5448</v>
      </c>
      <c r="AK330" s="1" t="s">
        <v>1406</v>
      </c>
      <c r="AL330" s="1">
        <v>12</v>
      </c>
      <c r="AM330" s="1" t="s">
        <v>4876</v>
      </c>
      <c r="AN330" s="1" t="s">
        <v>5284</v>
      </c>
      <c r="AO330" s="1" t="s">
        <v>4989</v>
      </c>
      <c r="AP330" s="1">
        <v>0</v>
      </c>
      <c r="AQ330" s="1" t="s">
        <v>1181</v>
      </c>
      <c r="AR330" s="1" t="s">
        <v>1171</v>
      </c>
      <c r="AS330" s="1" t="s">
        <v>1182</v>
      </c>
      <c r="AT330" s="1" t="s">
        <v>330</v>
      </c>
      <c r="AU330" s="1">
        <v>150</v>
      </c>
      <c r="AV330" s="1">
        <v>0</v>
      </c>
      <c r="AW330" s="1" t="s">
        <v>5449</v>
      </c>
      <c r="AX330" s="1" t="s">
        <v>333</v>
      </c>
      <c r="AY330" s="1">
        <v>4</v>
      </c>
      <c r="AZ330" s="1">
        <v>0</v>
      </c>
      <c r="BA330" s="1" t="s">
        <v>330</v>
      </c>
      <c r="BB330" s="1" t="s">
        <v>330</v>
      </c>
      <c r="BC330" s="1" t="s">
        <v>4843</v>
      </c>
      <c r="BD330" s="1">
        <v>10301</v>
      </c>
      <c r="BE330" s="1"/>
    </row>
    <row r="331" spans="1:57" x14ac:dyDescent="0.25">
      <c r="A331" s="1">
        <v>337</v>
      </c>
      <c r="B331" s="1" t="s">
        <v>4137</v>
      </c>
      <c r="C331" s="9" t="s">
        <v>907</v>
      </c>
      <c r="D331" s="1" t="s">
        <v>4138</v>
      </c>
      <c r="E331" s="1"/>
      <c r="F331" s="1"/>
      <c r="G331" s="1" t="s">
        <v>4139</v>
      </c>
      <c r="H331" s="1" t="s">
        <v>4140</v>
      </c>
      <c r="I331" s="1" t="s">
        <v>4141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330</v>
      </c>
      <c r="AK331" s="1" t="s">
        <v>1407</v>
      </c>
      <c r="AL331" s="1">
        <v>14</v>
      </c>
      <c r="AM331" s="1" t="s">
        <v>472</v>
      </c>
      <c r="AN331" s="1" t="s">
        <v>5450</v>
      </c>
      <c r="AO331" s="1" t="s">
        <v>4918</v>
      </c>
      <c r="AP331" s="1">
        <v>0</v>
      </c>
      <c r="AQ331" s="1" t="s">
        <v>1192</v>
      </c>
      <c r="AR331" s="1" t="s">
        <v>1193</v>
      </c>
      <c r="AS331" s="1" t="s">
        <v>1194</v>
      </c>
      <c r="AT331" s="1" t="s">
        <v>330</v>
      </c>
      <c r="AU331" s="1">
        <v>241</v>
      </c>
      <c r="AV331" s="1">
        <v>0</v>
      </c>
      <c r="AW331" s="1" t="s">
        <v>5449</v>
      </c>
      <c r="AX331" s="1" t="s">
        <v>333</v>
      </c>
      <c r="AY331" s="1">
        <v>5</v>
      </c>
      <c r="AZ331" s="1">
        <v>0</v>
      </c>
      <c r="BA331" s="1" t="s">
        <v>330</v>
      </c>
      <c r="BB331" s="1" t="s">
        <v>330</v>
      </c>
      <c r="BC331" s="1" t="s">
        <v>330</v>
      </c>
      <c r="BD331" s="1">
        <v>10802</v>
      </c>
      <c r="BE331" s="1"/>
    </row>
    <row r="332" spans="1:57" x14ac:dyDescent="0.25">
      <c r="A332" s="1">
        <v>338</v>
      </c>
      <c r="B332" s="1" t="s">
        <v>4142</v>
      </c>
      <c r="C332" s="9" t="s">
        <v>906</v>
      </c>
      <c r="D332" s="1" t="s">
        <v>4143</v>
      </c>
      <c r="E332" s="1"/>
      <c r="F332" s="1"/>
      <c r="G332" s="1" t="s">
        <v>4144</v>
      </c>
      <c r="H332" s="1" t="s">
        <v>4145</v>
      </c>
      <c r="I332" s="1" t="s">
        <v>4146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5451</v>
      </c>
      <c r="AK332" s="1" t="s">
        <v>1408</v>
      </c>
      <c r="AL332" s="1">
        <v>13</v>
      </c>
      <c r="AM332" s="1" t="s">
        <v>4805</v>
      </c>
      <c r="AN332" s="1" t="s">
        <v>5452</v>
      </c>
      <c r="AO332" s="1" t="s">
        <v>5299</v>
      </c>
      <c r="AP332" s="1">
        <v>0</v>
      </c>
      <c r="AQ332" s="1" t="s">
        <v>1182</v>
      </c>
      <c r="AR332" s="1" t="s">
        <v>1206</v>
      </c>
      <c r="AS332" s="1" t="s">
        <v>1181</v>
      </c>
      <c r="AT332" s="1" t="s">
        <v>330</v>
      </c>
      <c r="AU332" s="1">
        <v>48</v>
      </c>
      <c r="AV332" s="1">
        <v>0</v>
      </c>
      <c r="AW332" s="1" t="s">
        <v>5449</v>
      </c>
      <c r="AX332" s="1" t="s">
        <v>333</v>
      </c>
      <c r="AY332" s="1">
        <v>5</v>
      </c>
      <c r="AZ332" s="1">
        <v>0</v>
      </c>
      <c r="BA332" s="1" t="s">
        <v>330</v>
      </c>
      <c r="BB332" s="1" t="s">
        <v>330</v>
      </c>
      <c r="BC332" s="1" t="s">
        <v>330</v>
      </c>
      <c r="BD332" s="1">
        <v>10802</v>
      </c>
      <c r="BE332" s="1"/>
    </row>
    <row r="333" spans="1:57" x14ac:dyDescent="0.25">
      <c r="A333" s="1">
        <v>339</v>
      </c>
      <c r="B333" s="1" t="s">
        <v>4147</v>
      </c>
      <c r="C333" s="9" t="s">
        <v>1730</v>
      </c>
      <c r="D333" s="1" t="s">
        <v>1730</v>
      </c>
      <c r="E333" s="1"/>
      <c r="F333" s="1"/>
      <c r="G333" s="1" t="s">
        <v>4148</v>
      </c>
      <c r="H333" s="1" t="s">
        <v>4149</v>
      </c>
      <c r="I333" s="1" t="s">
        <v>4150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1409</v>
      </c>
      <c r="AK333" s="1" t="s">
        <v>1410</v>
      </c>
      <c r="AL333" s="1">
        <v>18</v>
      </c>
      <c r="AM333" s="1" t="s">
        <v>4944</v>
      </c>
      <c r="AN333" s="1" t="s">
        <v>5453</v>
      </c>
      <c r="AO333" s="1" t="s">
        <v>5454</v>
      </c>
      <c r="AP333" s="1">
        <v>0</v>
      </c>
      <c r="AQ333" s="1" t="s">
        <v>1219</v>
      </c>
      <c r="AR333" s="1" t="s">
        <v>1220</v>
      </c>
      <c r="AS333" s="1" t="s">
        <v>1221</v>
      </c>
      <c r="AT333" s="1" t="s">
        <v>330</v>
      </c>
      <c r="AU333" s="1">
        <v>238</v>
      </c>
      <c r="AV333" s="1">
        <v>0</v>
      </c>
      <c r="AW333" s="1" t="s">
        <v>5449</v>
      </c>
      <c r="AX333" s="1" t="s">
        <v>333</v>
      </c>
      <c r="AY333" s="1">
        <v>5</v>
      </c>
      <c r="AZ333" s="1">
        <v>0</v>
      </c>
      <c r="BA333" s="1" t="s">
        <v>330</v>
      </c>
      <c r="BB333" s="1" t="s">
        <v>330</v>
      </c>
      <c r="BC333" s="1" t="s">
        <v>4843</v>
      </c>
      <c r="BD333" s="1">
        <v>10203</v>
      </c>
      <c r="BE333" s="1"/>
    </row>
    <row r="334" spans="1:57" x14ac:dyDescent="0.25">
      <c r="A334" s="1">
        <v>340</v>
      </c>
      <c r="B334" s="1" t="s">
        <v>4151</v>
      </c>
      <c r="C334" s="9" t="s">
        <v>1731</v>
      </c>
      <c r="D334" s="1" t="s">
        <v>1731</v>
      </c>
      <c r="E334" s="1"/>
      <c r="F334" s="1"/>
      <c r="G334" s="1" t="s">
        <v>4152</v>
      </c>
      <c r="H334" s="1" t="s">
        <v>4153</v>
      </c>
      <c r="I334" s="1" t="s">
        <v>4154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1411</v>
      </c>
      <c r="AK334" s="1" t="s">
        <v>1412</v>
      </c>
      <c r="AL334" s="1">
        <v>13</v>
      </c>
      <c r="AM334" s="1" t="s">
        <v>4805</v>
      </c>
      <c r="AN334" s="1" t="s">
        <v>4920</v>
      </c>
      <c r="AO334" s="1" t="s">
        <v>5088</v>
      </c>
      <c r="AP334" s="1">
        <v>0</v>
      </c>
      <c r="AQ334" s="1" t="s">
        <v>1182</v>
      </c>
      <c r="AR334" s="1" t="s">
        <v>1206</v>
      </c>
      <c r="AS334" s="1" t="s">
        <v>1181</v>
      </c>
      <c r="AT334" s="1" t="s">
        <v>330</v>
      </c>
      <c r="AU334" s="1">
        <v>48</v>
      </c>
      <c r="AV334" s="1">
        <v>0</v>
      </c>
      <c r="AW334" s="1" t="s">
        <v>5455</v>
      </c>
      <c r="AX334" s="1" t="s">
        <v>5456</v>
      </c>
      <c r="AY334" s="1">
        <v>5</v>
      </c>
      <c r="AZ334" s="1">
        <v>0</v>
      </c>
      <c r="BA334" s="1" t="s">
        <v>330</v>
      </c>
      <c r="BB334" s="1" t="s">
        <v>330</v>
      </c>
      <c r="BC334" s="1" t="s">
        <v>4843</v>
      </c>
      <c r="BD334" s="1">
        <v>10402</v>
      </c>
      <c r="BE334" s="1"/>
    </row>
    <row r="335" spans="1:57" x14ac:dyDescent="0.25">
      <c r="A335" s="1">
        <v>341</v>
      </c>
      <c r="B335" s="1" t="s">
        <v>4155</v>
      </c>
      <c r="C335" s="9" t="s">
        <v>1755</v>
      </c>
      <c r="D335" s="1" t="s">
        <v>1755</v>
      </c>
      <c r="E335" s="1"/>
      <c r="F335" s="1"/>
      <c r="G335" s="1" t="s">
        <v>4156</v>
      </c>
      <c r="H335" s="1" t="s">
        <v>4157</v>
      </c>
      <c r="I335" s="1" t="s">
        <v>4158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1756</v>
      </c>
      <c r="AK335" s="1" t="s">
        <v>1757</v>
      </c>
      <c r="AL335" s="1">
        <v>14</v>
      </c>
      <c r="AM335" s="1" t="s">
        <v>400</v>
      </c>
      <c r="AN335" s="1" t="s">
        <v>5457</v>
      </c>
      <c r="AO335" s="1" t="s">
        <v>5458</v>
      </c>
      <c r="AP335" s="1">
        <v>0</v>
      </c>
      <c r="AQ335" s="1" t="s">
        <v>1181</v>
      </c>
      <c r="AR335" s="1" t="s">
        <v>1171</v>
      </c>
      <c r="AS335" s="1" t="s">
        <v>1182</v>
      </c>
      <c r="AT335" s="1" t="s">
        <v>330</v>
      </c>
      <c r="AU335" s="1">
        <v>150</v>
      </c>
      <c r="AV335" s="1">
        <v>0</v>
      </c>
      <c r="AW335" s="1" t="s">
        <v>5459</v>
      </c>
      <c r="AX335" s="1" t="s">
        <v>5460</v>
      </c>
      <c r="AY335" s="1">
        <v>5</v>
      </c>
      <c r="AZ335" s="1">
        <v>0</v>
      </c>
      <c r="BA335" s="1" t="s">
        <v>330</v>
      </c>
      <c r="BB335" s="1" t="s">
        <v>330</v>
      </c>
      <c r="BC335" s="1" t="s">
        <v>330</v>
      </c>
      <c r="BD335" s="1">
        <v>10202</v>
      </c>
      <c r="BE335" s="1"/>
    </row>
    <row r="336" spans="1:57" x14ac:dyDescent="0.25">
      <c r="A336" s="1">
        <v>342</v>
      </c>
      <c r="B336" s="1" t="s">
        <v>4159</v>
      </c>
      <c r="C336" s="9" t="s">
        <v>1758</v>
      </c>
      <c r="D336" s="1" t="s">
        <v>1758</v>
      </c>
      <c r="E336" s="1"/>
      <c r="F336" s="1"/>
      <c r="G336" s="1" t="s">
        <v>4160</v>
      </c>
      <c r="H336" s="1" t="s">
        <v>4161</v>
      </c>
      <c r="I336" s="1" t="s">
        <v>4162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1759</v>
      </c>
      <c r="AK336" s="1" t="s">
        <v>1760</v>
      </c>
      <c r="AL336" s="1">
        <v>13</v>
      </c>
      <c r="AM336" s="1" t="s">
        <v>4805</v>
      </c>
      <c r="AN336" s="1" t="s">
        <v>4950</v>
      </c>
      <c r="AO336" s="1" t="s">
        <v>5461</v>
      </c>
      <c r="AP336" s="1">
        <v>0</v>
      </c>
      <c r="AQ336" s="1" t="s">
        <v>1182</v>
      </c>
      <c r="AR336" s="1" t="s">
        <v>1206</v>
      </c>
      <c r="AS336" s="1" t="s">
        <v>1181</v>
      </c>
      <c r="AT336" s="1" t="s">
        <v>330</v>
      </c>
      <c r="AU336" s="1">
        <v>48</v>
      </c>
      <c r="AV336" s="1">
        <v>0</v>
      </c>
      <c r="AW336" s="1" t="s">
        <v>5459</v>
      </c>
      <c r="AX336" s="1" t="s">
        <v>5462</v>
      </c>
      <c r="AY336" s="1">
        <v>5</v>
      </c>
      <c r="AZ336" s="1">
        <v>0</v>
      </c>
      <c r="BA336" s="1" t="s">
        <v>330</v>
      </c>
      <c r="BB336" s="1" t="s">
        <v>330</v>
      </c>
      <c r="BC336" s="1" t="s">
        <v>330</v>
      </c>
      <c r="BD336" s="1">
        <v>10201</v>
      </c>
      <c r="BE336" s="1"/>
    </row>
    <row r="337" spans="1:57" x14ac:dyDescent="0.25">
      <c r="A337" s="1">
        <v>343</v>
      </c>
      <c r="B337" s="1" t="s">
        <v>4163</v>
      </c>
      <c r="C337" s="9" t="s">
        <v>1761</v>
      </c>
      <c r="D337" s="1" t="s">
        <v>1761</v>
      </c>
      <c r="E337" s="1"/>
      <c r="F337" s="1"/>
      <c r="G337" s="1" t="s">
        <v>4164</v>
      </c>
      <c r="H337" s="1" t="s">
        <v>4165</v>
      </c>
      <c r="I337" s="1" t="s">
        <v>4166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1762</v>
      </c>
      <c r="AK337" s="1" t="s">
        <v>1763</v>
      </c>
      <c r="AL337" s="1">
        <v>14</v>
      </c>
      <c r="AM337" s="1" t="s">
        <v>4805</v>
      </c>
      <c r="AN337" s="1" t="s">
        <v>5338</v>
      </c>
      <c r="AO337" s="1" t="s">
        <v>5100</v>
      </c>
      <c r="AP337" s="1">
        <v>0</v>
      </c>
      <c r="AQ337" s="1" t="s">
        <v>1182</v>
      </c>
      <c r="AR337" s="1" t="s">
        <v>1206</v>
      </c>
      <c r="AS337" s="1" t="s">
        <v>1181</v>
      </c>
      <c r="AT337" s="1" t="s">
        <v>330</v>
      </c>
      <c r="AU337" s="1">
        <v>48</v>
      </c>
      <c r="AV337" s="1">
        <v>0</v>
      </c>
      <c r="AW337" s="1" t="s">
        <v>5459</v>
      </c>
      <c r="AX337" s="1" t="s">
        <v>5463</v>
      </c>
      <c r="AY337" s="1">
        <v>4</v>
      </c>
      <c r="AZ337" s="1">
        <v>0</v>
      </c>
      <c r="BA337" s="1" t="s">
        <v>330</v>
      </c>
      <c r="BB337" s="1" t="s">
        <v>330</v>
      </c>
      <c r="BC337" s="1" t="s">
        <v>330</v>
      </c>
      <c r="BD337" s="1">
        <v>10402</v>
      </c>
      <c r="BE337" s="1"/>
    </row>
    <row r="338" spans="1:57" x14ac:dyDescent="0.25">
      <c r="A338" s="1">
        <v>344</v>
      </c>
      <c r="B338" s="1" t="s">
        <v>4167</v>
      </c>
      <c r="C338" s="9" t="s">
        <v>1764</v>
      </c>
      <c r="D338" s="1" t="s">
        <v>1769</v>
      </c>
      <c r="E338" s="1"/>
      <c r="F338" s="1"/>
      <c r="G338" s="1" t="s">
        <v>4168</v>
      </c>
      <c r="H338" s="1" t="s">
        <v>4169</v>
      </c>
      <c r="I338" s="1" t="s">
        <v>4170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1765</v>
      </c>
      <c r="AK338" s="1" t="s">
        <v>1766</v>
      </c>
      <c r="AL338" s="1">
        <v>12</v>
      </c>
      <c r="AM338" s="1" t="s">
        <v>4805</v>
      </c>
      <c r="AN338" s="1" t="s">
        <v>5274</v>
      </c>
      <c r="AO338" s="1" t="s">
        <v>5100</v>
      </c>
      <c r="AP338" s="1">
        <v>0</v>
      </c>
      <c r="AQ338" s="1" t="s">
        <v>1182</v>
      </c>
      <c r="AR338" s="1" t="s">
        <v>1206</v>
      </c>
      <c r="AS338" s="1" t="s">
        <v>1181</v>
      </c>
      <c r="AT338" s="1" t="s">
        <v>330</v>
      </c>
      <c r="AU338" s="1">
        <v>48</v>
      </c>
      <c r="AV338" s="1">
        <v>0</v>
      </c>
      <c r="AW338" s="1" t="s">
        <v>5459</v>
      </c>
      <c r="AX338" s="1" t="s">
        <v>5462</v>
      </c>
      <c r="AY338" s="1">
        <v>4</v>
      </c>
      <c r="AZ338" s="1">
        <v>0</v>
      </c>
      <c r="BA338" s="1" t="s">
        <v>330</v>
      </c>
      <c r="BB338" s="1" t="s">
        <v>330</v>
      </c>
      <c r="BC338" s="1" t="s">
        <v>330</v>
      </c>
      <c r="BD338" s="1">
        <v>10403</v>
      </c>
      <c r="BE338" s="1"/>
    </row>
    <row r="339" spans="1:57" x14ac:dyDescent="0.25">
      <c r="A339" s="1">
        <v>345</v>
      </c>
      <c r="B339" s="1" t="s">
        <v>4171</v>
      </c>
      <c r="C339" s="9" t="s">
        <v>1767</v>
      </c>
      <c r="D339" s="1" t="s">
        <v>1767</v>
      </c>
      <c r="E339" s="1"/>
      <c r="F339" s="1"/>
      <c r="G339" s="1" t="s">
        <v>4172</v>
      </c>
      <c r="H339" s="1" t="s">
        <v>4173</v>
      </c>
      <c r="I339" s="1" t="s">
        <v>4174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1768</v>
      </c>
      <c r="AK339" s="1" t="s">
        <v>330</v>
      </c>
      <c r="AL339" s="1">
        <v>18</v>
      </c>
      <c r="AM339" s="1" t="s">
        <v>4944</v>
      </c>
      <c r="AN339" s="1" t="s">
        <v>5464</v>
      </c>
      <c r="AO339" s="1" t="s">
        <v>5241</v>
      </c>
      <c r="AP339" s="1">
        <v>0</v>
      </c>
      <c r="AQ339" s="1" t="s">
        <v>1219</v>
      </c>
      <c r="AR339" s="1" t="s">
        <v>1220</v>
      </c>
      <c r="AS339" s="1" t="s">
        <v>1221</v>
      </c>
      <c r="AT339" s="1" t="s">
        <v>330</v>
      </c>
      <c r="AU339" s="1">
        <v>238</v>
      </c>
      <c r="AV339" s="1">
        <v>0</v>
      </c>
      <c r="AW339" s="1" t="s">
        <v>5459</v>
      </c>
      <c r="AX339" s="1" t="s">
        <v>5463</v>
      </c>
      <c r="AY339" s="1">
        <v>5</v>
      </c>
      <c r="AZ339" s="1">
        <v>0</v>
      </c>
      <c r="BA339" s="1" t="s">
        <v>330</v>
      </c>
      <c r="BB339" s="1" t="s">
        <v>330</v>
      </c>
      <c r="BC339" s="1" t="s">
        <v>330</v>
      </c>
      <c r="BD339" s="1">
        <v>10202</v>
      </c>
      <c r="BE339" s="1"/>
    </row>
    <row r="340" spans="1:57" x14ac:dyDescent="0.25">
      <c r="A340" s="1">
        <v>346</v>
      </c>
      <c r="B340" s="1" t="s">
        <v>4175</v>
      </c>
      <c r="C340" s="9" t="s">
        <v>1779</v>
      </c>
      <c r="D340" s="1" t="s">
        <v>1779</v>
      </c>
      <c r="E340" s="1"/>
      <c r="F340" s="1"/>
      <c r="G340" s="1" t="s">
        <v>4176</v>
      </c>
      <c r="H340" s="1" t="s">
        <v>4177</v>
      </c>
      <c r="I340" s="1" t="s">
        <v>4178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330</v>
      </c>
      <c r="AK340" s="1" t="s">
        <v>1780</v>
      </c>
      <c r="AL340" s="1">
        <v>13</v>
      </c>
      <c r="AM340" s="1" t="s">
        <v>1891</v>
      </c>
      <c r="AN340" s="1" t="s">
        <v>5465</v>
      </c>
      <c r="AO340" s="1" t="s">
        <v>4827</v>
      </c>
      <c r="AP340" s="1">
        <v>0</v>
      </c>
      <c r="AQ340" s="1" t="s">
        <v>1170</v>
      </c>
      <c r="AR340" s="1" t="s">
        <v>1171</v>
      </c>
      <c r="AS340" s="1" t="s">
        <v>1172</v>
      </c>
      <c r="AT340" s="1" t="s">
        <v>330</v>
      </c>
      <c r="AU340" s="1">
        <v>212</v>
      </c>
      <c r="AV340" s="1">
        <v>0</v>
      </c>
      <c r="AW340" s="1" t="s">
        <v>5466</v>
      </c>
      <c r="AX340" s="1" t="s">
        <v>4848</v>
      </c>
      <c r="AY340" s="1">
        <v>4</v>
      </c>
      <c r="AZ340" s="1">
        <v>0</v>
      </c>
      <c r="BA340" s="1" t="s">
        <v>330</v>
      </c>
      <c r="BB340" s="1" t="s">
        <v>330</v>
      </c>
      <c r="BC340" s="1" t="s">
        <v>330</v>
      </c>
      <c r="BD340" s="1">
        <v>10303</v>
      </c>
      <c r="BE340" s="1"/>
    </row>
    <row r="341" spans="1:57" x14ac:dyDescent="0.25">
      <c r="A341" s="1">
        <v>347</v>
      </c>
      <c r="B341" s="1" t="s">
        <v>4179</v>
      </c>
      <c r="C341" s="9" t="s">
        <v>1781</v>
      </c>
      <c r="D341" s="1" t="s">
        <v>1781</v>
      </c>
      <c r="E341" s="1"/>
      <c r="F341" s="1"/>
      <c r="G341" s="1" t="s">
        <v>4180</v>
      </c>
      <c r="H341" s="1" t="s">
        <v>4181</v>
      </c>
      <c r="I341" s="1" t="s">
        <v>4182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1782</v>
      </c>
      <c r="AK341" s="1" t="s">
        <v>1783</v>
      </c>
      <c r="AL341" s="1">
        <v>12</v>
      </c>
      <c r="AM341" s="1" t="s">
        <v>400</v>
      </c>
      <c r="AN341" s="1" t="s">
        <v>5467</v>
      </c>
      <c r="AO341" s="1" t="s">
        <v>5468</v>
      </c>
      <c r="AP341" s="1">
        <v>0</v>
      </c>
      <c r="AQ341" s="1" t="s">
        <v>1181</v>
      </c>
      <c r="AR341" s="1" t="s">
        <v>1267</v>
      </c>
      <c r="AS341" s="1" t="s">
        <v>1182</v>
      </c>
      <c r="AT341" s="1" t="s">
        <v>330</v>
      </c>
      <c r="AU341" s="1">
        <v>150</v>
      </c>
      <c r="AV341" s="1">
        <v>0</v>
      </c>
      <c r="AW341" s="1" t="s">
        <v>5466</v>
      </c>
      <c r="AX341" s="1" t="s">
        <v>333</v>
      </c>
      <c r="AY341" s="1">
        <v>5</v>
      </c>
      <c r="AZ341" s="1">
        <v>0</v>
      </c>
      <c r="BA341" s="1" t="s">
        <v>330</v>
      </c>
      <c r="BB341" s="1" t="s">
        <v>330</v>
      </c>
      <c r="BC341" s="1" t="s">
        <v>4843</v>
      </c>
      <c r="BD341" s="1">
        <v>10202</v>
      </c>
      <c r="BE341" s="1"/>
    </row>
    <row r="342" spans="1:57" x14ac:dyDescent="0.25">
      <c r="A342" s="1">
        <v>348</v>
      </c>
      <c r="B342" s="1" t="s">
        <v>4183</v>
      </c>
      <c r="C342" s="9" t="s">
        <v>1784</v>
      </c>
      <c r="D342" s="1" t="s">
        <v>1784</v>
      </c>
      <c r="E342" s="1"/>
      <c r="F342" s="1"/>
      <c r="G342" s="1" t="s">
        <v>4184</v>
      </c>
      <c r="H342" s="1" t="s">
        <v>4185</v>
      </c>
      <c r="I342" s="1" t="s">
        <v>4186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1785</v>
      </c>
      <c r="AK342" s="1" t="s">
        <v>1786</v>
      </c>
      <c r="AL342" s="1">
        <v>12</v>
      </c>
      <c r="AM342" s="1" t="s">
        <v>4848</v>
      </c>
      <c r="AN342" s="1" t="s">
        <v>5469</v>
      </c>
      <c r="AO342" s="1" t="s">
        <v>4931</v>
      </c>
      <c r="AP342" s="1">
        <v>0</v>
      </c>
      <c r="AQ342" s="1" t="s">
        <v>1192</v>
      </c>
      <c r="AR342" s="1" t="s">
        <v>1193</v>
      </c>
      <c r="AS342" s="1" t="s">
        <v>1194</v>
      </c>
      <c r="AT342" s="1" t="s">
        <v>330</v>
      </c>
      <c r="AU342" s="1">
        <v>241</v>
      </c>
      <c r="AV342" s="1">
        <v>0</v>
      </c>
      <c r="AW342" s="1" t="s">
        <v>5466</v>
      </c>
      <c r="AX342" s="1" t="s">
        <v>333</v>
      </c>
      <c r="AY342" s="1">
        <v>5</v>
      </c>
      <c r="AZ342" s="1">
        <v>0</v>
      </c>
      <c r="BA342" s="1" t="s">
        <v>330</v>
      </c>
      <c r="BB342" s="1" t="s">
        <v>330</v>
      </c>
      <c r="BC342" s="1" t="s">
        <v>330</v>
      </c>
      <c r="BD342" s="1">
        <v>10402</v>
      </c>
      <c r="BE342" s="1"/>
    </row>
    <row r="343" spans="1:57" x14ac:dyDescent="0.25">
      <c r="A343" s="1">
        <v>349</v>
      </c>
      <c r="B343" s="1" t="s">
        <v>4187</v>
      </c>
      <c r="C343" s="9" t="s">
        <v>1787</v>
      </c>
      <c r="D343" s="1" t="s">
        <v>1787</v>
      </c>
      <c r="E343" s="1"/>
      <c r="F343" s="1"/>
      <c r="G343" s="1" t="s">
        <v>4188</v>
      </c>
      <c r="H343" s="1" t="s">
        <v>4189</v>
      </c>
      <c r="I343" s="1" t="s">
        <v>4190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1788</v>
      </c>
      <c r="AK343" s="1" t="s">
        <v>330</v>
      </c>
      <c r="AL343" s="1">
        <v>13</v>
      </c>
      <c r="AM343" s="1" t="s">
        <v>400</v>
      </c>
      <c r="AN343" s="1" t="s">
        <v>5470</v>
      </c>
      <c r="AO343" s="1" t="s">
        <v>5230</v>
      </c>
      <c r="AP343" s="1">
        <v>0</v>
      </c>
      <c r="AQ343" s="1" t="s">
        <v>1182</v>
      </c>
      <c r="AR343" s="1" t="s">
        <v>1206</v>
      </c>
      <c r="AS343" s="1" t="s">
        <v>1181</v>
      </c>
      <c r="AT343" s="1" t="s">
        <v>330</v>
      </c>
      <c r="AU343" s="1">
        <v>48</v>
      </c>
      <c r="AV343" s="1">
        <v>0</v>
      </c>
      <c r="AW343" s="1" t="s">
        <v>5466</v>
      </c>
      <c r="AX343" s="1" t="s">
        <v>333</v>
      </c>
      <c r="AY343" s="1">
        <v>4</v>
      </c>
      <c r="AZ343" s="1">
        <v>0</v>
      </c>
      <c r="BA343" s="1" t="s">
        <v>330</v>
      </c>
      <c r="BB343" s="1" t="s">
        <v>330</v>
      </c>
      <c r="BC343" s="1" t="s">
        <v>4843</v>
      </c>
      <c r="BD343" s="1">
        <v>10402</v>
      </c>
      <c r="BE343" s="1"/>
    </row>
    <row r="344" spans="1:57" x14ac:dyDescent="0.25">
      <c r="A344" s="1">
        <v>350</v>
      </c>
      <c r="B344" s="1" t="s">
        <v>4794</v>
      </c>
      <c r="C344" s="9" t="s">
        <v>4795</v>
      </c>
      <c r="D344" s="1" t="s">
        <v>4796</v>
      </c>
      <c r="E344" s="1"/>
      <c r="F344" s="1"/>
      <c r="G344" s="1" t="s">
        <v>4797</v>
      </c>
      <c r="H344" s="1" t="s">
        <v>4798</v>
      </c>
      <c r="I344" s="1" t="s">
        <v>4799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4800</v>
      </c>
      <c r="AK344" s="1" t="s">
        <v>4801</v>
      </c>
      <c r="AL344" s="1">
        <v>7</v>
      </c>
      <c r="AM344" s="1" t="s">
        <v>4802</v>
      </c>
      <c r="AN344" s="1" t="s">
        <v>4576</v>
      </c>
      <c r="AO344" s="1" t="s">
        <v>4803</v>
      </c>
      <c r="AP344" s="1">
        <v>0</v>
      </c>
      <c r="AQ344" s="1" t="s">
        <v>1252</v>
      </c>
      <c r="AR344" s="1" t="s">
        <v>1253</v>
      </c>
      <c r="AS344" s="1" t="s">
        <v>1254</v>
      </c>
      <c r="AT344" s="1" t="s">
        <v>330</v>
      </c>
      <c r="AU344" s="1">
        <v>164</v>
      </c>
      <c r="AV344" s="1">
        <v>0</v>
      </c>
      <c r="AW344" s="1" t="s">
        <v>4804</v>
      </c>
      <c r="AX344" s="1" t="s">
        <v>4805</v>
      </c>
      <c r="AY344" s="1">
        <v>5</v>
      </c>
      <c r="AZ344" s="1">
        <v>0</v>
      </c>
      <c r="BA344" s="1" t="s">
        <v>330</v>
      </c>
      <c r="BB344" s="1" t="s">
        <v>330</v>
      </c>
      <c r="BC344" s="1" t="s">
        <v>4806</v>
      </c>
      <c r="BD344" s="1">
        <v>10402</v>
      </c>
      <c r="BE344" s="1"/>
    </row>
    <row r="345" spans="1:57" x14ac:dyDescent="0.25">
      <c r="A345" s="1">
        <v>351</v>
      </c>
      <c r="B345" s="1" t="s">
        <v>4807</v>
      </c>
      <c r="C345" s="9" t="s">
        <v>4808</v>
      </c>
      <c r="D345" s="1" t="s">
        <v>4809</v>
      </c>
      <c r="E345" s="1"/>
      <c r="F345" s="1"/>
      <c r="G345" s="1" t="s">
        <v>4810</v>
      </c>
      <c r="H345" s="1" t="s">
        <v>4811</v>
      </c>
      <c r="I345" s="1" t="s">
        <v>4812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4813</v>
      </c>
      <c r="AK345" s="1" t="s">
        <v>330</v>
      </c>
      <c r="AL345" s="1">
        <v>8</v>
      </c>
      <c r="AM345" s="1" t="s">
        <v>4802</v>
      </c>
      <c r="AN345" s="1" t="s">
        <v>4814</v>
      </c>
      <c r="AO345" s="1" t="s">
        <v>4815</v>
      </c>
      <c r="AP345" s="1">
        <v>0</v>
      </c>
      <c r="AQ345" s="1" t="s">
        <v>1252</v>
      </c>
      <c r="AR345" s="1" t="s">
        <v>1253</v>
      </c>
      <c r="AS345" s="1" t="s">
        <v>1254</v>
      </c>
      <c r="AT345" s="1" t="s">
        <v>330</v>
      </c>
      <c r="AU345" s="1">
        <v>164</v>
      </c>
      <c r="AV345" s="1">
        <v>0</v>
      </c>
      <c r="AW345" s="1" t="s">
        <v>4804</v>
      </c>
      <c r="AX345" s="1" t="s">
        <v>4805</v>
      </c>
      <c r="AY345" s="1">
        <v>5</v>
      </c>
      <c r="AZ345" s="1">
        <v>0</v>
      </c>
      <c r="BA345" s="1" t="s">
        <v>330</v>
      </c>
      <c r="BB345" s="1" t="s">
        <v>330</v>
      </c>
      <c r="BC345" s="1" t="s">
        <v>4806</v>
      </c>
      <c r="BD345" s="1">
        <v>10705</v>
      </c>
      <c r="BE345" s="1"/>
    </row>
    <row r="346" spans="1:57" x14ac:dyDescent="0.25">
      <c r="A346" s="1">
        <v>352</v>
      </c>
      <c r="B346" s="1" t="s">
        <v>4816</v>
      </c>
      <c r="C346" s="9" t="s">
        <v>4817</v>
      </c>
      <c r="D346" s="1" t="s">
        <v>4817</v>
      </c>
      <c r="E346" s="1"/>
      <c r="F346" s="1"/>
      <c r="G346" s="1" t="s">
        <v>4818</v>
      </c>
      <c r="H346" s="1" t="s">
        <v>4819</v>
      </c>
      <c r="I346" s="1" t="s">
        <v>4820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4821</v>
      </c>
      <c r="AK346" s="1" t="s">
        <v>4822</v>
      </c>
      <c r="AL346" s="1">
        <v>13</v>
      </c>
      <c r="AM346" s="1" t="s">
        <v>389</v>
      </c>
      <c r="AN346" s="1" t="s">
        <v>4823</v>
      </c>
      <c r="AO346" s="1" t="s">
        <v>4824</v>
      </c>
      <c r="AP346" s="1">
        <v>0</v>
      </c>
      <c r="AQ346" s="1" t="s">
        <v>1252</v>
      </c>
      <c r="AR346" s="1" t="s">
        <v>1253</v>
      </c>
      <c r="AS346" s="1" t="s">
        <v>1254</v>
      </c>
      <c r="AT346" s="1" t="s">
        <v>330</v>
      </c>
      <c r="AU346" s="1">
        <v>165</v>
      </c>
      <c r="AV346" s="1">
        <v>0</v>
      </c>
      <c r="AW346" s="1" t="s">
        <v>4804</v>
      </c>
      <c r="AX346" s="1" t="s">
        <v>4805</v>
      </c>
      <c r="AY346" s="1">
        <v>4</v>
      </c>
      <c r="AZ346" s="1">
        <v>0</v>
      </c>
      <c r="BA346" s="1" t="s">
        <v>330</v>
      </c>
      <c r="BB346" s="1" t="s">
        <v>330</v>
      </c>
      <c r="BC346" s="1" t="s">
        <v>4825</v>
      </c>
      <c r="BD346" s="1">
        <v>10403</v>
      </c>
      <c r="BE346" s="1"/>
    </row>
    <row r="347" spans="1:57" x14ac:dyDescent="0.25">
      <c r="A347" s="1">
        <v>353</v>
      </c>
      <c r="B347" s="1" t="s">
        <v>5546</v>
      </c>
      <c r="C347" s="9" t="s">
        <v>5547</v>
      </c>
      <c r="D347" s="1" t="s">
        <v>5547</v>
      </c>
      <c r="E347" s="1" t="s">
        <v>330</v>
      </c>
      <c r="F347" s="1" t="s">
        <v>330</v>
      </c>
      <c r="G347" s="1" t="s">
        <v>5548</v>
      </c>
      <c r="H347" s="1" t="s">
        <v>5549</v>
      </c>
      <c r="I347" s="1" t="s">
        <v>5550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5551</v>
      </c>
      <c r="AK347" s="1" t="s">
        <v>5552</v>
      </c>
      <c r="AL347" s="1">
        <v>9</v>
      </c>
      <c r="AM347" s="1" t="s">
        <v>4802</v>
      </c>
      <c r="AN347" s="1" t="s">
        <v>5553</v>
      </c>
      <c r="AO347" s="1" t="s">
        <v>5295</v>
      </c>
      <c r="AP347" s="1">
        <v>0</v>
      </c>
      <c r="AQ347" s="1" t="s">
        <v>1252</v>
      </c>
      <c r="AR347" s="1" t="s">
        <v>1253</v>
      </c>
      <c r="AS347" s="1" t="s">
        <v>1254</v>
      </c>
      <c r="AT347" s="1" t="s">
        <v>330</v>
      </c>
      <c r="AU347" s="1">
        <v>165</v>
      </c>
      <c r="AV347" s="1">
        <v>0</v>
      </c>
      <c r="AW347" s="1" t="s">
        <v>4804</v>
      </c>
      <c r="AX347" s="1" t="s">
        <v>4805</v>
      </c>
      <c r="AY347" s="1">
        <v>4</v>
      </c>
      <c r="AZ347" s="1">
        <v>0</v>
      </c>
      <c r="BA347" s="1" t="s">
        <v>330</v>
      </c>
      <c r="BB347" s="1" t="s">
        <v>330</v>
      </c>
      <c r="BC347" s="1" t="s">
        <v>330</v>
      </c>
      <c r="BD347" s="1">
        <v>10802</v>
      </c>
      <c r="BE347" s="1"/>
    </row>
    <row r="348" spans="1:57" x14ac:dyDescent="0.25">
      <c r="A348" s="1">
        <v>354</v>
      </c>
      <c r="B348" s="1" t="s">
        <v>5554</v>
      </c>
      <c r="C348" s="9" t="s">
        <v>5577</v>
      </c>
      <c r="D348" s="1" t="s">
        <v>5555</v>
      </c>
      <c r="E348" s="1" t="s">
        <v>330</v>
      </c>
      <c r="F348" s="1" t="s">
        <v>330</v>
      </c>
      <c r="G348" s="1" t="s">
        <v>5556</v>
      </c>
      <c r="H348" s="1" t="s">
        <v>5557</v>
      </c>
      <c r="I348" s="1" t="s">
        <v>5558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5559</v>
      </c>
      <c r="AK348" s="1" t="s">
        <v>5560</v>
      </c>
      <c r="AL348" s="1">
        <v>12</v>
      </c>
      <c r="AM348" s="1" t="s">
        <v>1891</v>
      </c>
      <c r="AN348" s="1" t="s">
        <v>5561</v>
      </c>
      <c r="AO348" s="1" t="s">
        <v>4895</v>
      </c>
      <c r="AP348" s="1">
        <v>0</v>
      </c>
      <c r="AQ348" s="1" t="s">
        <v>1170</v>
      </c>
      <c r="AR348" s="1" t="s">
        <v>1171</v>
      </c>
      <c r="AS348" s="1" t="s">
        <v>1172</v>
      </c>
      <c r="AT348" s="1" t="s">
        <v>330</v>
      </c>
      <c r="AU348" s="1">
        <v>212</v>
      </c>
      <c r="AV348" s="1">
        <v>0</v>
      </c>
      <c r="AW348" s="1" t="s">
        <v>5562</v>
      </c>
      <c r="AX348" s="1" t="s">
        <v>4848</v>
      </c>
      <c r="AY348" s="1">
        <v>4</v>
      </c>
      <c r="AZ348" s="1">
        <v>0</v>
      </c>
      <c r="BA348" s="1" t="s">
        <v>330</v>
      </c>
      <c r="BB348" s="1" t="s">
        <v>330</v>
      </c>
      <c r="BC348" s="1" t="s">
        <v>4806</v>
      </c>
      <c r="BD348" s="1">
        <v>10302</v>
      </c>
      <c r="BE348" s="1"/>
    </row>
    <row r="349" spans="1:57" x14ac:dyDescent="0.25">
      <c r="A349" s="1">
        <v>355</v>
      </c>
      <c r="B349" s="1" t="s">
        <v>5563</v>
      </c>
      <c r="C349" s="9" t="s">
        <v>5564</v>
      </c>
      <c r="D349" s="1" t="s">
        <v>5564</v>
      </c>
      <c r="E349" s="1" t="s">
        <v>330</v>
      </c>
      <c r="F349" s="1" t="s">
        <v>330</v>
      </c>
      <c r="G349" s="1" t="s">
        <v>5565</v>
      </c>
      <c r="H349" s="1" t="s">
        <v>5566</v>
      </c>
      <c r="I349" s="1" t="s">
        <v>5567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5568</v>
      </c>
      <c r="AK349" s="1" t="s">
        <v>330</v>
      </c>
      <c r="AL349" s="1">
        <v>12</v>
      </c>
      <c r="AM349" s="1" t="s">
        <v>4876</v>
      </c>
      <c r="AN349" s="1" t="s">
        <v>360</v>
      </c>
      <c r="AO349" s="1" t="s">
        <v>5230</v>
      </c>
      <c r="AP349" s="1">
        <v>0</v>
      </c>
      <c r="AQ349" s="1" t="s">
        <v>1181</v>
      </c>
      <c r="AR349" s="1" t="s">
        <v>1171</v>
      </c>
      <c r="AS349" s="1" t="s">
        <v>1182</v>
      </c>
      <c r="AT349" s="1" t="s">
        <v>330</v>
      </c>
      <c r="AU349" s="1">
        <v>150</v>
      </c>
      <c r="AV349" s="1">
        <v>0</v>
      </c>
      <c r="AW349" s="1" t="s">
        <v>5562</v>
      </c>
      <c r="AX349" s="1" t="s">
        <v>333</v>
      </c>
      <c r="AY349" s="1">
        <v>4</v>
      </c>
      <c r="AZ349" s="1">
        <v>0</v>
      </c>
      <c r="BA349" s="1" t="s">
        <v>330</v>
      </c>
      <c r="BB349" s="1" t="s">
        <v>330</v>
      </c>
      <c r="BC349" s="1" t="s">
        <v>4939</v>
      </c>
      <c r="BD349" s="1">
        <v>10704</v>
      </c>
      <c r="BE349" s="1"/>
    </row>
    <row r="350" spans="1:57" x14ac:dyDescent="0.25">
      <c r="A350" s="1">
        <v>356</v>
      </c>
      <c r="B350" s="1" t="s">
        <v>5569</v>
      </c>
      <c r="C350" s="9" t="s">
        <v>5570</v>
      </c>
      <c r="D350" s="1" t="s">
        <v>5570</v>
      </c>
      <c r="E350" s="1" t="s">
        <v>330</v>
      </c>
      <c r="F350" s="1" t="s">
        <v>330</v>
      </c>
      <c r="G350" s="1" t="s">
        <v>5571</v>
      </c>
      <c r="H350" s="1" t="s">
        <v>5572</v>
      </c>
      <c r="I350" s="1" t="s">
        <v>5573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5574</v>
      </c>
      <c r="AK350" s="1" t="s">
        <v>5575</v>
      </c>
      <c r="AL350" s="1">
        <v>14</v>
      </c>
      <c r="AM350" s="1" t="s">
        <v>4805</v>
      </c>
      <c r="AN350" s="1" t="s">
        <v>5237</v>
      </c>
      <c r="AO350" s="1" t="s">
        <v>5238</v>
      </c>
      <c r="AP350" s="1">
        <v>0</v>
      </c>
      <c r="AQ350" s="1" t="s">
        <v>1182</v>
      </c>
      <c r="AR350" s="1" t="s">
        <v>1206</v>
      </c>
      <c r="AS350" s="1" t="s">
        <v>1181</v>
      </c>
      <c r="AT350" s="1" t="s">
        <v>330</v>
      </c>
      <c r="AU350" s="1">
        <v>48</v>
      </c>
      <c r="AV350" s="1">
        <v>0</v>
      </c>
      <c r="AW350" s="1" t="s">
        <v>5562</v>
      </c>
      <c r="AX350" s="1" t="s">
        <v>333</v>
      </c>
      <c r="AY350" s="1">
        <v>5</v>
      </c>
      <c r="AZ350" s="1">
        <v>0</v>
      </c>
      <c r="BA350" s="1" t="s">
        <v>330</v>
      </c>
      <c r="BB350" s="1" t="s">
        <v>330</v>
      </c>
      <c r="BC350" s="1" t="s">
        <v>4843</v>
      </c>
      <c r="BD350" s="1">
        <v>10202</v>
      </c>
      <c r="BE350" s="1">
        <v>0</v>
      </c>
    </row>
    <row r="351" spans="1:57" x14ac:dyDescent="0.25">
      <c r="A351" s="1">
        <v>1001</v>
      </c>
      <c r="B351" s="1" t="s">
        <v>4191</v>
      </c>
      <c r="C351" s="9" t="s">
        <v>193</v>
      </c>
      <c r="D351" s="1" t="s">
        <v>4192</v>
      </c>
      <c r="E351" s="1"/>
      <c r="F351" s="1"/>
      <c r="G351" s="1" t="s">
        <v>4193</v>
      </c>
      <c r="H351" s="1" t="s">
        <v>4194</v>
      </c>
      <c r="I351" s="1" t="s">
        <v>4195</v>
      </c>
      <c r="J351" s="1">
        <v>1</v>
      </c>
      <c r="K351" s="1">
        <v>5</v>
      </c>
      <c r="L351" s="1">
        <v>3600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90</v>
      </c>
      <c r="V351" s="1">
        <v>140</v>
      </c>
      <c r="W351" s="1">
        <v>120</v>
      </c>
      <c r="X351" s="1">
        <v>100</v>
      </c>
      <c r="Y351" s="1">
        <v>120</v>
      </c>
      <c r="Z351" s="1">
        <v>110</v>
      </c>
      <c r="AA351" s="1">
        <v>0</v>
      </c>
      <c r="AB351" s="1">
        <v>15</v>
      </c>
      <c r="AC351" s="1">
        <v>20</v>
      </c>
      <c r="AD351" s="1">
        <v>0</v>
      </c>
      <c r="AE351" s="1">
        <v>120</v>
      </c>
      <c r="AF351" s="1">
        <v>100</v>
      </c>
      <c r="AG351" s="1">
        <v>106406</v>
      </c>
      <c r="AH351" s="1">
        <v>0</v>
      </c>
      <c r="AI351" s="1">
        <v>300111</v>
      </c>
      <c r="AJ351" s="1" t="s">
        <v>330</v>
      </c>
      <c r="AK351" s="1" t="s">
        <v>330</v>
      </c>
      <c r="AL351" s="1">
        <v>13</v>
      </c>
      <c r="AM351" s="1" t="s">
        <v>1891</v>
      </c>
      <c r="AN351" s="1" t="s">
        <v>5048</v>
      </c>
      <c r="AO351" s="1" t="s">
        <v>5142</v>
      </c>
      <c r="AP351" s="1">
        <v>0</v>
      </c>
      <c r="AQ351" s="1" t="s">
        <v>1170</v>
      </c>
      <c r="AR351" s="1" t="s">
        <v>1171</v>
      </c>
      <c r="AS351" s="1" t="s">
        <v>1172</v>
      </c>
      <c r="AT351" s="1" t="s">
        <v>330</v>
      </c>
      <c r="AU351" s="1">
        <v>1001</v>
      </c>
      <c r="AV351" s="1">
        <v>1</v>
      </c>
      <c r="AW351" s="1" t="s">
        <v>5471</v>
      </c>
      <c r="AX351" s="1" t="s">
        <v>1891</v>
      </c>
      <c r="AY351" s="1">
        <v>7</v>
      </c>
      <c r="AZ351" s="1">
        <v>0</v>
      </c>
      <c r="BA351" s="1" t="s">
        <v>330</v>
      </c>
      <c r="BB351" s="1" t="s">
        <v>330</v>
      </c>
      <c r="BC351" s="1" t="s">
        <v>5472</v>
      </c>
      <c r="BD351" s="1">
        <v>0</v>
      </c>
      <c r="BE351" s="1"/>
    </row>
    <row r="352" spans="1:57" x14ac:dyDescent="0.25">
      <c r="A352" s="1">
        <v>1002</v>
      </c>
      <c r="B352" s="1" t="s">
        <v>4196</v>
      </c>
      <c r="C352" s="9" t="s">
        <v>194</v>
      </c>
      <c r="D352" s="1" t="s">
        <v>4197</v>
      </c>
      <c r="E352" s="1"/>
      <c r="F352" s="1"/>
      <c r="G352" s="1" t="s">
        <v>4198</v>
      </c>
      <c r="H352" s="1" t="s">
        <v>4199</v>
      </c>
      <c r="I352" s="1" t="s">
        <v>4200</v>
      </c>
      <c r="J352" s="1">
        <v>6</v>
      </c>
      <c r="K352" s="1">
        <v>5</v>
      </c>
      <c r="L352" s="1">
        <v>30600</v>
      </c>
      <c r="M352" s="1">
        <v>30</v>
      </c>
      <c r="N352" s="1">
        <v>40</v>
      </c>
      <c r="O352" s="1">
        <v>15</v>
      </c>
      <c r="P352" s="1">
        <v>25</v>
      </c>
      <c r="Q352" s="1">
        <v>5</v>
      </c>
      <c r="R352" s="1">
        <v>2</v>
      </c>
      <c r="S352" s="1">
        <v>5</v>
      </c>
      <c r="T352" s="1">
        <v>5</v>
      </c>
      <c r="U352" s="1">
        <v>125</v>
      </c>
      <c r="V352" s="1">
        <v>130</v>
      </c>
      <c r="W352" s="1">
        <v>110</v>
      </c>
      <c r="X352" s="1">
        <v>100</v>
      </c>
      <c r="Y352" s="1">
        <v>120</v>
      </c>
      <c r="Z352" s="1">
        <v>80</v>
      </c>
      <c r="AA352" s="1">
        <v>125</v>
      </c>
      <c r="AB352" s="1">
        <v>15</v>
      </c>
      <c r="AC352" s="1">
        <v>40</v>
      </c>
      <c r="AD352" s="1">
        <v>5</v>
      </c>
      <c r="AE352" s="1">
        <v>95</v>
      </c>
      <c r="AF352" s="1">
        <v>100</v>
      </c>
      <c r="AG352" s="1">
        <v>106407</v>
      </c>
      <c r="AH352" s="1">
        <v>0</v>
      </c>
      <c r="AI352" s="1">
        <v>300110</v>
      </c>
      <c r="AJ352" s="1" t="s">
        <v>1251</v>
      </c>
      <c r="AK352" s="1" t="s">
        <v>330</v>
      </c>
      <c r="AL352" s="1">
        <v>8</v>
      </c>
      <c r="AM352" s="1" t="s">
        <v>4802</v>
      </c>
      <c r="AN352" s="1" t="s">
        <v>400</v>
      </c>
      <c r="AO352" s="1" t="s">
        <v>5353</v>
      </c>
      <c r="AP352" s="1">
        <v>0</v>
      </c>
      <c r="AQ352" s="1" t="s">
        <v>1252</v>
      </c>
      <c r="AR352" s="1" t="s">
        <v>1253</v>
      </c>
      <c r="AS352" s="1" t="s">
        <v>1254</v>
      </c>
      <c r="AT352" s="1" t="s">
        <v>330</v>
      </c>
      <c r="AU352" s="1">
        <v>1002</v>
      </c>
      <c r="AV352" s="1">
        <v>1</v>
      </c>
      <c r="AW352" s="1" t="s">
        <v>5471</v>
      </c>
      <c r="AX352" s="1" t="s">
        <v>1891</v>
      </c>
      <c r="AY352" s="1">
        <v>7</v>
      </c>
      <c r="AZ352" s="1">
        <v>0</v>
      </c>
      <c r="BA352" s="1" t="s">
        <v>330</v>
      </c>
      <c r="BB352" s="1" t="s">
        <v>330</v>
      </c>
      <c r="BC352" s="1" t="s">
        <v>5472</v>
      </c>
      <c r="BD352" s="1">
        <v>0</v>
      </c>
      <c r="BE352" s="1"/>
    </row>
    <row r="353" spans="1:57" x14ac:dyDescent="0.25">
      <c r="A353" s="1">
        <v>1003</v>
      </c>
      <c r="B353" s="1" t="s">
        <v>4201</v>
      </c>
      <c r="C353" s="9" t="s">
        <v>828</v>
      </c>
      <c r="D353" s="1" t="s">
        <v>828</v>
      </c>
      <c r="E353" s="1"/>
      <c r="F353" s="1"/>
      <c r="G353" s="1" t="s">
        <v>4202</v>
      </c>
      <c r="H353" s="1" t="s">
        <v>4203</v>
      </c>
      <c r="I353" s="1" t="s">
        <v>4204</v>
      </c>
      <c r="J353" s="1">
        <v>1</v>
      </c>
      <c r="K353" s="1">
        <v>5</v>
      </c>
      <c r="L353" s="1">
        <v>3600</v>
      </c>
      <c r="M353" s="1">
        <v>10</v>
      </c>
      <c r="N353" s="1">
        <v>10</v>
      </c>
      <c r="O353" s="1">
        <v>5</v>
      </c>
      <c r="P353" s="1">
        <v>5</v>
      </c>
      <c r="Q353" s="1">
        <v>2</v>
      </c>
      <c r="R353" s="1">
        <v>2</v>
      </c>
      <c r="S353" s="1">
        <v>2</v>
      </c>
      <c r="T353" s="1">
        <v>0</v>
      </c>
      <c r="U353" s="1">
        <v>105</v>
      </c>
      <c r="V353" s="1">
        <v>125</v>
      </c>
      <c r="W353" s="1">
        <v>125</v>
      </c>
      <c r="X353" s="1">
        <v>100</v>
      </c>
      <c r="Y353" s="1">
        <v>118</v>
      </c>
      <c r="Z353" s="1">
        <v>115</v>
      </c>
      <c r="AA353" s="1">
        <v>0</v>
      </c>
      <c r="AB353" s="1">
        <v>15</v>
      </c>
      <c r="AC353" s="1">
        <v>20</v>
      </c>
      <c r="AD353" s="1">
        <v>0</v>
      </c>
      <c r="AE353" s="1">
        <v>104</v>
      </c>
      <c r="AF353" s="1">
        <v>100</v>
      </c>
      <c r="AG353" s="1">
        <v>107301</v>
      </c>
      <c r="AH353" s="1">
        <v>0</v>
      </c>
      <c r="AI353" s="1">
        <v>300101</v>
      </c>
      <c r="AJ353" s="1" t="s">
        <v>1413</v>
      </c>
      <c r="AK353" s="1" t="s">
        <v>330</v>
      </c>
      <c r="AL353" s="1">
        <v>13</v>
      </c>
      <c r="AM353" s="1" t="s">
        <v>1891</v>
      </c>
      <c r="AN353" s="1" t="s">
        <v>4833</v>
      </c>
      <c r="AO353" s="1" t="s">
        <v>5100</v>
      </c>
      <c r="AP353" s="1">
        <v>0</v>
      </c>
      <c r="AQ353" s="1" t="s">
        <v>1170</v>
      </c>
      <c r="AR353" s="1" t="s">
        <v>1171</v>
      </c>
      <c r="AS353" s="1" t="s">
        <v>1172</v>
      </c>
      <c r="AT353" s="1" t="s">
        <v>330</v>
      </c>
      <c r="AU353" s="1">
        <v>1003</v>
      </c>
      <c r="AV353" s="1">
        <v>1</v>
      </c>
      <c r="AW353" s="1" t="s">
        <v>5473</v>
      </c>
      <c r="AX353" s="1" t="s">
        <v>5474</v>
      </c>
      <c r="AY353" s="1">
        <v>7</v>
      </c>
      <c r="AZ353" s="1">
        <v>0</v>
      </c>
      <c r="BA353" s="1" t="s">
        <v>330</v>
      </c>
      <c r="BB353" s="1" t="s">
        <v>330</v>
      </c>
      <c r="BC353" s="1" t="s">
        <v>5472</v>
      </c>
      <c r="BD353" s="1">
        <v>0</v>
      </c>
      <c r="BE353" s="1"/>
    </row>
    <row r="354" spans="1:57" x14ac:dyDescent="0.25">
      <c r="A354" s="1">
        <v>1004</v>
      </c>
      <c r="B354" s="1" t="s">
        <v>4205</v>
      </c>
      <c r="C354" s="9" t="s">
        <v>829</v>
      </c>
      <c r="D354" s="1" t="s">
        <v>4206</v>
      </c>
      <c r="E354" s="1"/>
      <c r="F354" s="1"/>
      <c r="G354" s="1" t="s">
        <v>4207</v>
      </c>
      <c r="H354" s="1" t="s">
        <v>4208</v>
      </c>
      <c r="I354" s="1" t="s">
        <v>4209</v>
      </c>
      <c r="J354" s="1">
        <v>3</v>
      </c>
      <c r="K354" s="1">
        <v>5</v>
      </c>
      <c r="L354" s="1">
        <v>17400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95</v>
      </c>
      <c r="V354" s="1">
        <v>135</v>
      </c>
      <c r="W354" s="1">
        <v>98</v>
      </c>
      <c r="X354" s="1">
        <v>100</v>
      </c>
      <c r="Y354" s="1">
        <v>105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120</v>
      </c>
      <c r="AF354" s="1">
        <v>100</v>
      </c>
      <c r="AG354" s="1">
        <v>107401</v>
      </c>
      <c r="AH354" s="1">
        <v>0</v>
      </c>
      <c r="AI354" s="1">
        <v>300104</v>
      </c>
      <c r="AJ354" s="1" t="s">
        <v>1413</v>
      </c>
      <c r="AK354" s="1" t="s">
        <v>330</v>
      </c>
      <c r="AL354" s="1">
        <v>13</v>
      </c>
      <c r="AM354" s="1" t="s">
        <v>4848</v>
      </c>
      <c r="AN354" s="1" t="s">
        <v>5475</v>
      </c>
      <c r="AO354" s="1" t="s">
        <v>4931</v>
      </c>
      <c r="AP354" s="1">
        <v>0</v>
      </c>
      <c r="AQ354" s="1" t="s">
        <v>1192</v>
      </c>
      <c r="AR354" s="1" t="s">
        <v>1193</v>
      </c>
      <c r="AS354" s="1" t="s">
        <v>1194</v>
      </c>
      <c r="AT354" s="1" t="s">
        <v>330</v>
      </c>
      <c r="AU354" s="1">
        <v>1004</v>
      </c>
      <c r="AV354" s="1">
        <v>1</v>
      </c>
      <c r="AW354" s="1" t="s">
        <v>5473</v>
      </c>
      <c r="AX354" s="1" t="s">
        <v>5476</v>
      </c>
      <c r="AY354" s="1">
        <v>7</v>
      </c>
      <c r="AZ354" s="1">
        <v>0</v>
      </c>
      <c r="BA354" s="1" t="s">
        <v>330</v>
      </c>
      <c r="BB354" s="1" t="s">
        <v>330</v>
      </c>
      <c r="BC354" s="1" t="s">
        <v>5472</v>
      </c>
      <c r="BD354" s="1">
        <v>0</v>
      </c>
      <c r="BE354" s="1"/>
    </row>
    <row r="355" spans="1:57" x14ac:dyDescent="0.25">
      <c r="A355" s="1">
        <v>1005</v>
      </c>
      <c r="B355" s="1" t="s">
        <v>4210</v>
      </c>
      <c r="C355" s="9" t="s">
        <v>830</v>
      </c>
      <c r="D355" s="1" t="s">
        <v>830</v>
      </c>
      <c r="E355" s="1"/>
      <c r="F355" s="1"/>
      <c r="G355" s="1" t="s">
        <v>4211</v>
      </c>
      <c r="H355" s="1" t="s">
        <v>4212</v>
      </c>
      <c r="I355" s="1" t="s">
        <v>4213</v>
      </c>
      <c r="J355" s="1">
        <v>3</v>
      </c>
      <c r="K355" s="1">
        <v>5</v>
      </c>
      <c r="L355" s="1">
        <v>17400</v>
      </c>
      <c r="M355" s="1">
        <v>15</v>
      </c>
      <c r="N355" s="1">
        <v>30</v>
      </c>
      <c r="O355" s="1">
        <v>10</v>
      </c>
      <c r="P355" s="1">
        <v>15</v>
      </c>
      <c r="Q355" s="1">
        <v>5</v>
      </c>
      <c r="R355" s="1">
        <v>2</v>
      </c>
      <c r="S355" s="1">
        <v>5</v>
      </c>
      <c r="T355" s="1">
        <v>0</v>
      </c>
      <c r="U355" s="1">
        <v>92</v>
      </c>
      <c r="V355" s="1">
        <v>122</v>
      </c>
      <c r="W355" s="1">
        <v>110</v>
      </c>
      <c r="X355" s="1">
        <v>100</v>
      </c>
      <c r="Y355" s="1">
        <v>115</v>
      </c>
      <c r="Z355" s="1">
        <v>100</v>
      </c>
      <c r="AA355" s="1">
        <v>0</v>
      </c>
      <c r="AB355" s="1">
        <v>15</v>
      </c>
      <c r="AC355" s="1">
        <v>40</v>
      </c>
      <c r="AD355" s="1">
        <v>0</v>
      </c>
      <c r="AE355" s="1">
        <v>120</v>
      </c>
      <c r="AF355" s="1">
        <v>100</v>
      </c>
      <c r="AG355" s="1">
        <v>107101</v>
      </c>
      <c r="AH355" s="1">
        <v>0</v>
      </c>
      <c r="AI355" s="1">
        <v>300104</v>
      </c>
      <c r="AJ355" s="1" t="s">
        <v>1413</v>
      </c>
      <c r="AK355" s="1" t="s">
        <v>330</v>
      </c>
      <c r="AL355" s="1">
        <v>13</v>
      </c>
      <c r="AM355" s="1" t="s">
        <v>4848</v>
      </c>
      <c r="AN355" s="1" t="s">
        <v>5199</v>
      </c>
      <c r="AO355" s="1" t="s">
        <v>4931</v>
      </c>
      <c r="AP355" s="1">
        <v>0</v>
      </c>
      <c r="AQ355" s="1" t="s">
        <v>1192</v>
      </c>
      <c r="AR355" s="1" t="s">
        <v>1193</v>
      </c>
      <c r="AS355" s="1" t="s">
        <v>1194</v>
      </c>
      <c r="AT355" s="1" t="s">
        <v>330</v>
      </c>
      <c r="AU355" s="1">
        <v>1005</v>
      </c>
      <c r="AV355" s="1">
        <v>1</v>
      </c>
      <c r="AW355" s="1" t="s">
        <v>5473</v>
      </c>
      <c r="AX355" s="1" t="s">
        <v>5476</v>
      </c>
      <c r="AY355" s="1">
        <v>7</v>
      </c>
      <c r="AZ355" s="1">
        <v>0</v>
      </c>
      <c r="BA355" s="1" t="s">
        <v>330</v>
      </c>
      <c r="BB355" s="1" t="s">
        <v>330</v>
      </c>
      <c r="BC355" s="1" t="s">
        <v>5472</v>
      </c>
      <c r="BD355" s="1">
        <v>0</v>
      </c>
      <c r="BE355" s="1"/>
    </row>
    <row r="356" spans="1:57" x14ac:dyDescent="0.25">
      <c r="A356" s="1">
        <v>1006</v>
      </c>
      <c r="B356" s="1" t="s">
        <v>4214</v>
      </c>
      <c r="C356" s="9" t="s">
        <v>831</v>
      </c>
      <c r="D356" s="1" t="s">
        <v>831</v>
      </c>
      <c r="E356" s="1"/>
      <c r="F356" s="1"/>
      <c r="G356" s="1" t="s">
        <v>4215</v>
      </c>
      <c r="H356" s="1" t="s">
        <v>4216</v>
      </c>
      <c r="I356" s="1" t="s">
        <v>4217</v>
      </c>
      <c r="J356" s="1">
        <v>1</v>
      </c>
      <c r="K356" s="1">
        <v>5</v>
      </c>
      <c r="L356" s="1">
        <v>3600</v>
      </c>
      <c r="M356" s="1">
        <v>10</v>
      </c>
      <c r="N356" s="1">
        <v>10</v>
      </c>
      <c r="O356" s="1">
        <v>5</v>
      </c>
      <c r="P356" s="1">
        <v>5</v>
      </c>
      <c r="Q356" s="1">
        <v>2</v>
      </c>
      <c r="R356" s="1">
        <v>2</v>
      </c>
      <c r="S356" s="1">
        <v>2</v>
      </c>
      <c r="T356" s="1">
        <v>0</v>
      </c>
      <c r="U356" s="1">
        <v>125</v>
      </c>
      <c r="V356" s="1">
        <v>120</v>
      </c>
      <c r="W356" s="1">
        <v>105</v>
      </c>
      <c r="X356" s="1">
        <v>100</v>
      </c>
      <c r="Y356" s="1">
        <v>105</v>
      </c>
      <c r="Z356" s="1">
        <v>120</v>
      </c>
      <c r="AA356" s="1">
        <v>0</v>
      </c>
      <c r="AB356" s="1">
        <v>15</v>
      </c>
      <c r="AC356" s="1">
        <v>20</v>
      </c>
      <c r="AD356" s="1">
        <v>0</v>
      </c>
      <c r="AE356" s="1">
        <v>104</v>
      </c>
      <c r="AF356" s="1">
        <v>100</v>
      </c>
      <c r="AG356" s="1">
        <v>107501</v>
      </c>
      <c r="AH356" s="1">
        <v>0</v>
      </c>
      <c r="AI356" s="1">
        <v>301901</v>
      </c>
      <c r="AJ356" s="1" t="s">
        <v>1184</v>
      </c>
      <c r="AK356" s="1" t="s">
        <v>1414</v>
      </c>
      <c r="AL356" s="1">
        <v>13</v>
      </c>
      <c r="AM356" s="1" t="s">
        <v>1891</v>
      </c>
      <c r="AN356" s="1" t="s">
        <v>5044</v>
      </c>
      <c r="AO356" s="1" t="s">
        <v>4903</v>
      </c>
      <c r="AP356" s="1">
        <v>0</v>
      </c>
      <c r="AQ356" s="1" t="s">
        <v>1170</v>
      </c>
      <c r="AR356" s="1" t="s">
        <v>1171</v>
      </c>
      <c r="AS356" s="1" t="s">
        <v>1172</v>
      </c>
      <c r="AT356" s="1" t="s">
        <v>330</v>
      </c>
      <c r="AU356" s="1">
        <v>1006</v>
      </c>
      <c r="AV356" s="1">
        <v>1</v>
      </c>
      <c r="AW356" s="1" t="s">
        <v>5473</v>
      </c>
      <c r="AX356" s="1" t="s">
        <v>5477</v>
      </c>
      <c r="AY356" s="1">
        <v>7</v>
      </c>
      <c r="AZ356" s="1">
        <v>0</v>
      </c>
      <c r="BA356" s="1" t="s">
        <v>330</v>
      </c>
      <c r="BB356" s="1" t="s">
        <v>330</v>
      </c>
      <c r="BC356" s="1" t="s">
        <v>5472</v>
      </c>
      <c r="BD356" s="1">
        <v>0</v>
      </c>
      <c r="BE356" s="1"/>
    </row>
    <row r="357" spans="1:57" x14ac:dyDescent="0.25">
      <c r="A357" s="1">
        <v>1007</v>
      </c>
      <c r="B357" s="1" t="s">
        <v>4218</v>
      </c>
      <c r="C357" s="9" t="s">
        <v>832</v>
      </c>
      <c r="D357" s="1" t="s">
        <v>832</v>
      </c>
      <c r="E357" s="1"/>
      <c r="F357" s="1"/>
      <c r="G357" s="1" t="s">
        <v>4219</v>
      </c>
      <c r="H357" s="1" t="s">
        <v>4220</v>
      </c>
      <c r="I357" s="1" t="s">
        <v>4221</v>
      </c>
      <c r="J357" s="1">
        <v>4</v>
      </c>
      <c r="K357" s="1">
        <v>5</v>
      </c>
      <c r="L357" s="1">
        <v>14100</v>
      </c>
      <c r="M357" s="1">
        <v>20</v>
      </c>
      <c r="N357" s="1">
        <v>20</v>
      </c>
      <c r="O357" s="1">
        <v>10</v>
      </c>
      <c r="P357" s="1">
        <v>10</v>
      </c>
      <c r="Q357" s="1">
        <v>2</v>
      </c>
      <c r="R357" s="1">
        <v>5</v>
      </c>
      <c r="S357" s="1">
        <v>5</v>
      </c>
      <c r="T357" s="1">
        <v>0</v>
      </c>
      <c r="U357" s="1">
        <v>110</v>
      </c>
      <c r="V357" s="1">
        <v>126</v>
      </c>
      <c r="W357" s="1">
        <v>95</v>
      </c>
      <c r="X357" s="1">
        <v>100</v>
      </c>
      <c r="Y357" s="1">
        <v>105</v>
      </c>
      <c r="Z357" s="1">
        <v>100</v>
      </c>
      <c r="AA357" s="1">
        <v>0</v>
      </c>
      <c r="AB357" s="1">
        <v>15</v>
      </c>
      <c r="AC357" s="1">
        <v>20</v>
      </c>
      <c r="AD357" s="1">
        <v>0</v>
      </c>
      <c r="AE357" s="1">
        <v>122</v>
      </c>
      <c r="AF357" s="1">
        <v>100</v>
      </c>
      <c r="AG357" s="1">
        <v>107601</v>
      </c>
      <c r="AH357" s="1">
        <v>0</v>
      </c>
      <c r="AI357" s="1">
        <v>302001</v>
      </c>
      <c r="AJ357" s="1" t="s">
        <v>1413</v>
      </c>
      <c r="AK357" s="1" t="s">
        <v>1415</v>
      </c>
      <c r="AL357" s="1">
        <v>13</v>
      </c>
      <c r="AM357" s="1" t="s">
        <v>4805</v>
      </c>
      <c r="AN357" s="1" t="s">
        <v>477</v>
      </c>
      <c r="AO357" s="1" t="s">
        <v>5478</v>
      </c>
      <c r="AP357" s="1">
        <v>0</v>
      </c>
      <c r="AQ357" s="1" t="s">
        <v>1182</v>
      </c>
      <c r="AR357" s="1" t="s">
        <v>1206</v>
      </c>
      <c r="AS357" s="1" t="s">
        <v>1181</v>
      </c>
      <c r="AT357" s="1" t="s">
        <v>330</v>
      </c>
      <c r="AU357" s="1">
        <v>1007</v>
      </c>
      <c r="AV357" s="1">
        <v>1</v>
      </c>
      <c r="AW357" s="1" t="s">
        <v>5473</v>
      </c>
      <c r="AX357" s="1" t="s">
        <v>5479</v>
      </c>
      <c r="AY357" s="1">
        <v>7</v>
      </c>
      <c r="AZ357" s="1">
        <v>0</v>
      </c>
      <c r="BA357" s="1" t="s">
        <v>330</v>
      </c>
      <c r="BB357" s="1" t="s">
        <v>330</v>
      </c>
      <c r="BC357" s="1" t="s">
        <v>5472</v>
      </c>
      <c r="BD357" s="1">
        <v>0</v>
      </c>
      <c r="BE357" s="1"/>
    </row>
    <row r="358" spans="1:57" x14ac:dyDescent="0.25">
      <c r="A358" s="1">
        <v>1008</v>
      </c>
      <c r="B358" s="1" t="s">
        <v>4222</v>
      </c>
      <c r="C358" s="9" t="s">
        <v>833</v>
      </c>
      <c r="D358" s="1" t="s">
        <v>833</v>
      </c>
      <c r="E358" s="1"/>
      <c r="F358" s="1"/>
      <c r="G358" s="1" t="s">
        <v>4223</v>
      </c>
      <c r="H358" s="1" t="s">
        <v>4224</v>
      </c>
      <c r="I358" s="1" t="s">
        <v>4225</v>
      </c>
      <c r="J358" s="1">
        <v>6</v>
      </c>
      <c r="K358" s="1">
        <v>5</v>
      </c>
      <c r="L358" s="1">
        <v>28800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112</v>
      </c>
      <c r="V358" s="1">
        <v>128</v>
      </c>
      <c r="W358" s="1">
        <v>108</v>
      </c>
      <c r="X358" s="1">
        <v>100</v>
      </c>
      <c r="Y358" s="1">
        <v>110</v>
      </c>
      <c r="Z358" s="1">
        <v>130</v>
      </c>
      <c r="AA358" s="1">
        <v>120</v>
      </c>
      <c r="AB358" s="1">
        <v>15</v>
      </c>
      <c r="AC358" s="1">
        <v>40</v>
      </c>
      <c r="AD358" s="1">
        <v>5</v>
      </c>
      <c r="AE358" s="1">
        <v>90</v>
      </c>
      <c r="AF358" s="1">
        <v>100</v>
      </c>
      <c r="AG358" s="1">
        <v>107001</v>
      </c>
      <c r="AH358" s="1">
        <v>0</v>
      </c>
      <c r="AI358" s="1">
        <v>300110</v>
      </c>
      <c r="AJ358" s="1" t="s">
        <v>1416</v>
      </c>
      <c r="AK358" s="1" t="s">
        <v>330</v>
      </c>
      <c r="AL358" s="1">
        <v>8</v>
      </c>
      <c r="AM358" s="1" t="s">
        <v>4802</v>
      </c>
      <c r="AN358" s="1" t="s">
        <v>400</v>
      </c>
      <c r="AO358" s="1" t="s">
        <v>5480</v>
      </c>
      <c r="AP358" s="1">
        <v>0</v>
      </c>
      <c r="AQ358" s="1" t="s">
        <v>1252</v>
      </c>
      <c r="AR358" s="1" t="s">
        <v>1253</v>
      </c>
      <c r="AS358" s="1" t="s">
        <v>1254</v>
      </c>
      <c r="AT358" s="1" t="s">
        <v>330</v>
      </c>
      <c r="AU358" s="1">
        <v>1008</v>
      </c>
      <c r="AV358" s="1">
        <v>1</v>
      </c>
      <c r="AW358" s="1" t="s">
        <v>5473</v>
      </c>
      <c r="AX358" s="1" t="s">
        <v>5477</v>
      </c>
      <c r="AY358" s="1">
        <v>7</v>
      </c>
      <c r="AZ358" s="1">
        <v>0</v>
      </c>
      <c r="BA358" s="1" t="s">
        <v>330</v>
      </c>
      <c r="BB358" s="1" t="s">
        <v>330</v>
      </c>
      <c r="BC358" s="1" t="s">
        <v>5472</v>
      </c>
      <c r="BD358" s="1">
        <v>0</v>
      </c>
      <c r="BE358" s="1"/>
    </row>
    <row r="359" spans="1:57" x14ac:dyDescent="0.25">
      <c r="A359" s="1">
        <v>1009</v>
      </c>
      <c r="B359" s="1" t="s">
        <v>4226</v>
      </c>
      <c r="C359" s="9" t="s">
        <v>195</v>
      </c>
      <c r="D359" s="1" t="s">
        <v>195</v>
      </c>
      <c r="E359" s="1"/>
      <c r="F359" s="1"/>
      <c r="G359" s="1" t="s">
        <v>4227</v>
      </c>
      <c r="H359" s="1" t="s">
        <v>4228</v>
      </c>
      <c r="I359" s="1" t="s">
        <v>4229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100</v>
      </c>
      <c r="V359" s="1">
        <v>100</v>
      </c>
      <c r="W359" s="1">
        <v>106</v>
      </c>
      <c r="X359" s="1">
        <v>100</v>
      </c>
      <c r="Y359" s="1">
        <v>108</v>
      </c>
      <c r="Z359" s="1">
        <v>103</v>
      </c>
      <c r="AA359" s="1">
        <v>0</v>
      </c>
      <c r="AB359" s="1">
        <v>15</v>
      </c>
      <c r="AC359" s="1">
        <v>20</v>
      </c>
      <c r="AD359" s="1">
        <v>0</v>
      </c>
      <c r="AE359" s="1">
        <v>140</v>
      </c>
      <c r="AF359" s="1">
        <v>100</v>
      </c>
      <c r="AG359" s="1">
        <v>109401</v>
      </c>
      <c r="AH359" s="1">
        <v>0</v>
      </c>
      <c r="AI359" s="1">
        <v>109403</v>
      </c>
      <c r="AJ359" s="1" t="s">
        <v>1417</v>
      </c>
      <c r="AK359" s="1" t="s">
        <v>1418</v>
      </c>
      <c r="AL359" s="1">
        <v>13</v>
      </c>
      <c r="AM359" s="1" t="s">
        <v>1891</v>
      </c>
      <c r="AN359" s="1" t="s">
        <v>5033</v>
      </c>
      <c r="AO359" s="1" t="s">
        <v>4903</v>
      </c>
      <c r="AP359" s="1">
        <v>0</v>
      </c>
      <c r="AQ359" s="1" t="s">
        <v>4828</v>
      </c>
      <c r="AR359" s="1" t="s">
        <v>1171</v>
      </c>
      <c r="AS359" s="1" t="s">
        <v>1172</v>
      </c>
      <c r="AT359" s="1" t="s">
        <v>330</v>
      </c>
      <c r="AU359" s="1">
        <v>1009</v>
      </c>
      <c r="AV359" s="1">
        <v>1</v>
      </c>
      <c r="AW359" s="1" t="s">
        <v>5248</v>
      </c>
      <c r="AX359" s="1" t="s">
        <v>5481</v>
      </c>
      <c r="AY359" s="1">
        <v>7</v>
      </c>
      <c r="AZ359" s="1">
        <v>0</v>
      </c>
      <c r="BA359" s="1" t="s">
        <v>330</v>
      </c>
      <c r="BB359" s="1" t="s">
        <v>330</v>
      </c>
      <c r="BC359" s="1" t="s">
        <v>5472</v>
      </c>
      <c r="BD359" s="1">
        <v>0</v>
      </c>
      <c r="BE359" s="1"/>
    </row>
    <row r="360" spans="1:57" x14ac:dyDescent="0.25">
      <c r="A360" s="1">
        <v>1010</v>
      </c>
      <c r="B360" s="1" t="s">
        <v>4230</v>
      </c>
      <c r="C360" s="9" t="s">
        <v>196</v>
      </c>
      <c r="D360" s="1" t="s">
        <v>196</v>
      </c>
      <c r="E360" s="1"/>
      <c r="F360" s="1"/>
      <c r="G360" s="1" t="s">
        <v>4231</v>
      </c>
      <c r="H360" s="1" t="s">
        <v>4232</v>
      </c>
      <c r="I360" s="1" t="s">
        <v>4233</v>
      </c>
      <c r="J360" s="1">
        <v>1</v>
      </c>
      <c r="K360" s="1">
        <v>5</v>
      </c>
      <c r="L360" s="1">
        <v>3600</v>
      </c>
      <c r="M360" s="1">
        <v>10</v>
      </c>
      <c r="N360" s="1">
        <v>10</v>
      </c>
      <c r="O360" s="1">
        <v>5</v>
      </c>
      <c r="P360" s="1">
        <v>5</v>
      </c>
      <c r="Q360" s="1">
        <v>2</v>
      </c>
      <c r="R360" s="1">
        <v>2</v>
      </c>
      <c r="S360" s="1">
        <v>2</v>
      </c>
      <c r="T360" s="1">
        <v>0</v>
      </c>
      <c r="U360" s="1">
        <v>100</v>
      </c>
      <c r="V360" s="1">
        <v>100</v>
      </c>
      <c r="W360" s="1">
        <v>106</v>
      </c>
      <c r="X360" s="1">
        <v>100</v>
      </c>
      <c r="Y360" s="1">
        <v>108</v>
      </c>
      <c r="Z360" s="1">
        <v>103</v>
      </c>
      <c r="AA360" s="1">
        <v>0</v>
      </c>
      <c r="AB360" s="1">
        <v>15</v>
      </c>
      <c r="AC360" s="1">
        <v>20</v>
      </c>
      <c r="AD360" s="1">
        <v>0</v>
      </c>
      <c r="AE360" s="1">
        <v>140</v>
      </c>
      <c r="AF360" s="1">
        <v>100</v>
      </c>
      <c r="AG360" s="1">
        <v>109501</v>
      </c>
      <c r="AH360" s="1">
        <v>0</v>
      </c>
      <c r="AI360" s="1">
        <v>109503</v>
      </c>
      <c r="AJ360" s="1" t="s">
        <v>330</v>
      </c>
      <c r="AK360" s="1" t="s">
        <v>1419</v>
      </c>
      <c r="AL360" s="1">
        <v>13</v>
      </c>
      <c r="AM360" s="1" t="s">
        <v>1891</v>
      </c>
      <c r="AN360" s="1" t="s">
        <v>4947</v>
      </c>
      <c r="AO360" s="1" t="s">
        <v>4961</v>
      </c>
      <c r="AP360" s="1">
        <v>0</v>
      </c>
      <c r="AQ360" s="1" t="s">
        <v>4828</v>
      </c>
      <c r="AR360" s="1" t="s">
        <v>1171</v>
      </c>
      <c r="AS360" s="1" t="s">
        <v>1172</v>
      </c>
      <c r="AT360" s="1" t="s">
        <v>330</v>
      </c>
      <c r="AU360" s="1">
        <v>1010</v>
      </c>
      <c r="AV360" s="1">
        <v>1</v>
      </c>
      <c r="AW360" s="1" t="s">
        <v>5248</v>
      </c>
      <c r="AX360" s="1" t="s">
        <v>5477</v>
      </c>
      <c r="AY360" s="1">
        <v>7</v>
      </c>
      <c r="AZ360" s="1">
        <v>0</v>
      </c>
      <c r="BA360" s="1" t="s">
        <v>330</v>
      </c>
      <c r="BB360" s="1" t="s">
        <v>330</v>
      </c>
      <c r="BC360" s="1" t="s">
        <v>5472</v>
      </c>
      <c r="BD360" s="1">
        <v>0</v>
      </c>
      <c r="BE360" s="1"/>
    </row>
    <row r="361" spans="1:57" x14ac:dyDescent="0.25">
      <c r="A361" s="1">
        <v>1017</v>
      </c>
      <c r="B361" s="1" t="s">
        <v>4234</v>
      </c>
      <c r="C361" s="9" t="s">
        <v>1745</v>
      </c>
      <c r="D361" s="1" t="s">
        <v>1745</v>
      </c>
      <c r="E361" s="1"/>
      <c r="F361" s="1"/>
      <c r="G361" s="1" t="s">
        <v>4235</v>
      </c>
      <c r="H361" s="1" t="s">
        <v>4236</v>
      </c>
      <c r="I361" s="1" t="s">
        <v>4237</v>
      </c>
      <c r="J361" s="1">
        <v>1</v>
      </c>
      <c r="K361" s="1">
        <v>5</v>
      </c>
      <c r="L361" s="1">
        <v>3600</v>
      </c>
      <c r="M361" s="1">
        <v>10</v>
      </c>
      <c r="N361" s="1">
        <v>10</v>
      </c>
      <c r="O361" s="1">
        <v>5</v>
      </c>
      <c r="P361" s="1">
        <v>5</v>
      </c>
      <c r="Q361" s="1">
        <v>2</v>
      </c>
      <c r="R361" s="1">
        <v>2</v>
      </c>
      <c r="S361" s="1">
        <v>2</v>
      </c>
      <c r="T361" s="1">
        <v>0</v>
      </c>
      <c r="U361" s="1">
        <v>120</v>
      </c>
      <c r="V361" s="1">
        <v>102</v>
      </c>
      <c r="W361" s="1">
        <v>100</v>
      </c>
      <c r="X361" s="1">
        <v>100</v>
      </c>
      <c r="Y361" s="1">
        <v>100</v>
      </c>
      <c r="Z361" s="1">
        <v>120</v>
      </c>
      <c r="AA361" s="1">
        <v>0</v>
      </c>
      <c r="AB361" s="1">
        <v>15</v>
      </c>
      <c r="AC361" s="1">
        <v>20</v>
      </c>
      <c r="AD361" s="1">
        <v>0</v>
      </c>
      <c r="AE361" s="1">
        <v>130</v>
      </c>
      <c r="AF361" s="1">
        <v>100</v>
      </c>
      <c r="AG361" s="1">
        <v>710101</v>
      </c>
      <c r="AH361" s="1">
        <v>0</v>
      </c>
      <c r="AI361" s="1">
        <v>710119</v>
      </c>
      <c r="AJ361" s="1" t="s">
        <v>1420</v>
      </c>
      <c r="AK361" s="1" t="s">
        <v>1421</v>
      </c>
      <c r="AL361" s="1">
        <v>13</v>
      </c>
      <c r="AM361" s="1" t="s">
        <v>1891</v>
      </c>
      <c r="AN361" s="1" t="s">
        <v>4823</v>
      </c>
      <c r="AO361" s="1" t="s">
        <v>5143</v>
      </c>
      <c r="AP361" s="1">
        <v>0</v>
      </c>
      <c r="AQ361" s="1" t="s">
        <v>4828</v>
      </c>
      <c r="AR361" s="1" t="s">
        <v>1796</v>
      </c>
      <c r="AS361" s="1" t="s">
        <v>4847</v>
      </c>
      <c r="AT361" s="1" t="s">
        <v>330</v>
      </c>
      <c r="AU361" s="1">
        <v>1003</v>
      </c>
      <c r="AV361" s="1">
        <v>1</v>
      </c>
      <c r="AW361" s="1" t="s">
        <v>5482</v>
      </c>
      <c r="AX361" s="1" t="s">
        <v>5483</v>
      </c>
      <c r="AY361" s="1">
        <v>7</v>
      </c>
      <c r="AZ361" s="1">
        <v>0</v>
      </c>
      <c r="BA361" s="1" t="s">
        <v>330</v>
      </c>
      <c r="BB361" s="1" t="s">
        <v>330</v>
      </c>
      <c r="BC361" s="1" t="s">
        <v>5472</v>
      </c>
      <c r="BD361" s="1">
        <v>0</v>
      </c>
      <c r="BE361" s="1"/>
    </row>
    <row r="362" spans="1:57" x14ac:dyDescent="0.25">
      <c r="A362" s="1">
        <v>1018</v>
      </c>
      <c r="B362" s="1" t="s">
        <v>4238</v>
      </c>
      <c r="C362" s="9" t="s">
        <v>738</v>
      </c>
      <c r="D362" s="1" t="s">
        <v>4239</v>
      </c>
      <c r="E362" s="1"/>
      <c r="F362" s="1"/>
      <c r="G362" s="1" t="s">
        <v>4240</v>
      </c>
      <c r="H362" s="1" t="s">
        <v>4241</v>
      </c>
      <c r="I362" s="1" t="s">
        <v>4242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128</v>
      </c>
      <c r="V362" s="1">
        <v>108</v>
      </c>
      <c r="W362" s="1">
        <v>100</v>
      </c>
      <c r="X362" s="1">
        <v>100</v>
      </c>
      <c r="Y362" s="1">
        <v>120</v>
      </c>
      <c r="Z362" s="1">
        <v>105</v>
      </c>
      <c r="AA362" s="1">
        <v>0</v>
      </c>
      <c r="AB362" s="1">
        <v>15</v>
      </c>
      <c r="AC362" s="1">
        <v>20</v>
      </c>
      <c r="AD362" s="1">
        <v>0</v>
      </c>
      <c r="AE362" s="1">
        <v>118</v>
      </c>
      <c r="AF362" s="1">
        <v>100</v>
      </c>
      <c r="AG362" s="1">
        <v>710401</v>
      </c>
      <c r="AH362" s="1">
        <v>0</v>
      </c>
      <c r="AI362" s="1">
        <v>710402</v>
      </c>
      <c r="AJ362" s="1" t="s">
        <v>1422</v>
      </c>
      <c r="AK362" s="1" t="s">
        <v>1423</v>
      </c>
      <c r="AL362" s="1">
        <v>13</v>
      </c>
      <c r="AM362" s="1" t="s">
        <v>1891</v>
      </c>
      <c r="AN362" s="1" t="s">
        <v>5484</v>
      </c>
      <c r="AO362" s="1" t="s">
        <v>5040</v>
      </c>
      <c r="AP362" s="1">
        <v>0</v>
      </c>
      <c r="AQ362" s="1" t="s">
        <v>1170</v>
      </c>
      <c r="AR362" s="1" t="s">
        <v>1171</v>
      </c>
      <c r="AS362" s="1" t="s">
        <v>4847</v>
      </c>
      <c r="AT362" s="1" t="s">
        <v>330</v>
      </c>
      <c r="AU362" s="1">
        <v>1006</v>
      </c>
      <c r="AV362" s="1">
        <v>1</v>
      </c>
      <c r="AW362" s="1" t="s">
        <v>5482</v>
      </c>
      <c r="AX362" s="1" t="s">
        <v>1424</v>
      </c>
      <c r="AY362" s="1">
        <v>7</v>
      </c>
      <c r="AZ362" s="1">
        <v>0</v>
      </c>
      <c r="BA362" s="1" t="s">
        <v>330</v>
      </c>
      <c r="BB362" s="1" t="s">
        <v>330</v>
      </c>
      <c r="BC362" s="1" t="s">
        <v>5472</v>
      </c>
      <c r="BD362" s="1">
        <v>0</v>
      </c>
      <c r="BE362" s="1"/>
    </row>
    <row r="363" spans="1:57" x14ac:dyDescent="0.25">
      <c r="A363" s="1">
        <v>1019</v>
      </c>
      <c r="B363" s="1" t="s">
        <v>4243</v>
      </c>
      <c r="C363" s="9" t="s">
        <v>728</v>
      </c>
      <c r="D363" s="1" t="s">
        <v>728</v>
      </c>
      <c r="E363" s="1"/>
      <c r="F363" s="1"/>
      <c r="G363" s="1" t="s">
        <v>4244</v>
      </c>
      <c r="H363" s="1" t="s">
        <v>4245</v>
      </c>
      <c r="I363" s="1" t="s">
        <v>4246</v>
      </c>
      <c r="J363" s="1">
        <v>2</v>
      </c>
      <c r="K363" s="1">
        <v>5</v>
      </c>
      <c r="L363" s="1">
        <v>8880</v>
      </c>
      <c r="M363" s="1">
        <v>25</v>
      </c>
      <c r="N363" s="1">
        <v>20</v>
      </c>
      <c r="O363" s="1">
        <v>15</v>
      </c>
      <c r="P363" s="1">
        <v>10</v>
      </c>
      <c r="Q363" s="1">
        <v>5</v>
      </c>
      <c r="R363" s="1">
        <v>5</v>
      </c>
      <c r="S363" s="1">
        <v>2</v>
      </c>
      <c r="T363" s="1">
        <v>0</v>
      </c>
      <c r="U363" s="1">
        <v>100</v>
      </c>
      <c r="V363" s="1">
        <v>95</v>
      </c>
      <c r="W363" s="1">
        <v>96</v>
      </c>
      <c r="X363" s="1">
        <v>100</v>
      </c>
      <c r="Y363" s="1">
        <v>105</v>
      </c>
      <c r="Z363" s="1">
        <v>122</v>
      </c>
      <c r="AA363" s="1">
        <v>0</v>
      </c>
      <c r="AB363" s="1">
        <v>15</v>
      </c>
      <c r="AC363" s="1">
        <v>5</v>
      </c>
      <c r="AD363" s="1">
        <v>0</v>
      </c>
      <c r="AE363" s="1">
        <v>130</v>
      </c>
      <c r="AF363" s="1">
        <v>100</v>
      </c>
      <c r="AG363" s="1">
        <v>710301</v>
      </c>
      <c r="AH363" s="1">
        <v>0</v>
      </c>
      <c r="AI363" s="1">
        <v>710307</v>
      </c>
      <c r="AJ363" s="1" t="s">
        <v>1425</v>
      </c>
      <c r="AK363" s="1" t="s">
        <v>1426</v>
      </c>
      <c r="AL363" s="1">
        <v>13</v>
      </c>
      <c r="AM363" s="1" t="s">
        <v>356</v>
      </c>
      <c r="AN363" s="1" t="s">
        <v>390</v>
      </c>
      <c r="AO363" s="1" t="s">
        <v>4961</v>
      </c>
      <c r="AP363" s="1">
        <v>0</v>
      </c>
      <c r="AQ363" s="1" t="s">
        <v>1181</v>
      </c>
      <c r="AR363" s="1" t="s">
        <v>1796</v>
      </c>
      <c r="AS363" s="1" t="s">
        <v>1182</v>
      </c>
      <c r="AT363" s="1" t="s">
        <v>330</v>
      </c>
      <c r="AU363" s="1">
        <v>224</v>
      </c>
      <c r="AV363" s="1">
        <v>1</v>
      </c>
      <c r="AW363" s="1" t="s">
        <v>5482</v>
      </c>
      <c r="AX363" s="1" t="s">
        <v>5485</v>
      </c>
      <c r="AY363" s="1">
        <v>7</v>
      </c>
      <c r="AZ363" s="1">
        <v>0</v>
      </c>
      <c r="BA363" s="1" t="s">
        <v>330</v>
      </c>
      <c r="BB363" s="1" t="s">
        <v>330</v>
      </c>
      <c r="BC363" s="1" t="s">
        <v>5472</v>
      </c>
      <c r="BD363" s="1">
        <v>0</v>
      </c>
      <c r="BE363" s="1"/>
    </row>
    <row r="364" spans="1:57" x14ac:dyDescent="0.25">
      <c r="A364" s="1">
        <v>1020</v>
      </c>
      <c r="B364" s="1" t="s">
        <v>4247</v>
      </c>
      <c r="C364" s="9" t="s">
        <v>743</v>
      </c>
      <c r="D364" s="1" t="s">
        <v>743</v>
      </c>
      <c r="E364" s="1"/>
      <c r="F364" s="1"/>
      <c r="G364" s="1" t="s">
        <v>4248</v>
      </c>
      <c r="H364" s="1" t="s">
        <v>4249</v>
      </c>
      <c r="I364" s="1" t="s">
        <v>4250</v>
      </c>
      <c r="J364" s="1">
        <v>3</v>
      </c>
      <c r="K364" s="1">
        <v>5</v>
      </c>
      <c r="L364" s="1">
        <v>17400</v>
      </c>
      <c r="M364" s="1">
        <v>15</v>
      </c>
      <c r="N364" s="1">
        <v>30</v>
      </c>
      <c r="O364" s="1">
        <v>10</v>
      </c>
      <c r="P364" s="1">
        <v>15</v>
      </c>
      <c r="Q364" s="1">
        <v>5</v>
      </c>
      <c r="R364" s="1">
        <v>2</v>
      </c>
      <c r="S364" s="1">
        <v>5</v>
      </c>
      <c r="T364" s="1">
        <v>0</v>
      </c>
      <c r="U364" s="1">
        <v>102</v>
      </c>
      <c r="V364" s="1">
        <v>102</v>
      </c>
      <c r="W364" s="1">
        <v>102</v>
      </c>
      <c r="X364" s="1">
        <v>100</v>
      </c>
      <c r="Y364" s="1">
        <v>118</v>
      </c>
      <c r="Z364" s="1">
        <v>100</v>
      </c>
      <c r="AA364" s="1">
        <v>0</v>
      </c>
      <c r="AB364" s="1">
        <v>15</v>
      </c>
      <c r="AC364" s="1">
        <v>40</v>
      </c>
      <c r="AD364" s="1">
        <v>0</v>
      </c>
      <c r="AE364" s="1">
        <v>130</v>
      </c>
      <c r="AF364" s="1">
        <v>100</v>
      </c>
      <c r="AG364" s="1">
        <v>710501</v>
      </c>
      <c r="AH364" s="1">
        <v>0</v>
      </c>
      <c r="AI364" s="1">
        <v>710502</v>
      </c>
      <c r="AJ364" s="1" t="s">
        <v>1427</v>
      </c>
      <c r="AK364" s="1" t="s">
        <v>1428</v>
      </c>
      <c r="AL364" s="1">
        <v>13</v>
      </c>
      <c r="AM364" s="1" t="s">
        <v>4848</v>
      </c>
      <c r="AN364" s="1" t="s">
        <v>4920</v>
      </c>
      <c r="AO364" s="1" t="s">
        <v>4931</v>
      </c>
      <c r="AP364" s="1">
        <v>0</v>
      </c>
      <c r="AQ364" s="1" t="s">
        <v>1192</v>
      </c>
      <c r="AR364" s="1" t="s">
        <v>1193</v>
      </c>
      <c r="AS364" s="1" t="s">
        <v>4925</v>
      </c>
      <c r="AT364" s="1" t="s">
        <v>330</v>
      </c>
      <c r="AU364" s="1">
        <v>1005</v>
      </c>
      <c r="AV364" s="1">
        <v>1</v>
      </c>
      <c r="AW364" s="1" t="s">
        <v>5482</v>
      </c>
      <c r="AX364" s="1" t="s">
        <v>1424</v>
      </c>
      <c r="AY364" s="1">
        <v>7</v>
      </c>
      <c r="AZ364" s="1">
        <v>0</v>
      </c>
      <c r="BA364" s="1" t="s">
        <v>330</v>
      </c>
      <c r="BB364" s="1" t="s">
        <v>330</v>
      </c>
      <c r="BC364" s="1" t="s">
        <v>5472</v>
      </c>
      <c r="BD364" s="1">
        <v>0</v>
      </c>
      <c r="BE364" s="1"/>
    </row>
    <row r="365" spans="1:57" x14ac:dyDescent="0.25">
      <c r="A365" s="1">
        <v>1021</v>
      </c>
      <c r="B365" s="1" t="s">
        <v>4251</v>
      </c>
      <c r="C365" s="9" t="s">
        <v>744</v>
      </c>
      <c r="D365" s="1" t="s">
        <v>744</v>
      </c>
      <c r="E365" s="1"/>
      <c r="F365" s="1"/>
      <c r="G365" s="1" t="s">
        <v>4252</v>
      </c>
      <c r="H365" s="1" t="s">
        <v>4253</v>
      </c>
      <c r="I365" s="1" t="s">
        <v>4254</v>
      </c>
      <c r="J365" s="1">
        <v>5</v>
      </c>
      <c r="K365" s="1">
        <v>5</v>
      </c>
      <c r="L365" s="1">
        <v>23760</v>
      </c>
      <c r="M365" s="1">
        <v>40</v>
      </c>
      <c r="N365" s="1">
        <v>30</v>
      </c>
      <c r="O365" s="1">
        <v>25</v>
      </c>
      <c r="P365" s="1">
        <v>15</v>
      </c>
      <c r="Q365" s="1">
        <v>5</v>
      </c>
      <c r="R365" s="1">
        <v>5</v>
      </c>
      <c r="S365" s="1">
        <v>2</v>
      </c>
      <c r="T365" s="1">
        <v>5</v>
      </c>
      <c r="U365" s="1">
        <v>118</v>
      </c>
      <c r="V365" s="1">
        <v>108</v>
      </c>
      <c r="W365" s="1">
        <v>120</v>
      </c>
      <c r="X365" s="1">
        <v>100</v>
      </c>
      <c r="Y365" s="1">
        <v>120</v>
      </c>
      <c r="Z365" s="1">
        <v>90</v>
      </c>
      <c r="AA365" s="1">
        <v>0</v>
      </c>
      <c r="AB365" s="1">
        <v>15</v>
      </c>
      <c r="AC365" s="1">
        <v>5</v>
      </c>
      <c r="AD365" s="1">
        <v>9</v>
      </c>
      <c r="AE365" s="1">
        <v>122</v>
      </c>
      <c r="AF365" s="1">
        <v>100</v>
      </c>
      <c r="AG365" s="1">
        <v>710601</v>
      </c>
      <c r="AH365" s="1">
        <v>0</v>
      </c>
      <c r="AI365" s="1">
        <v>710608</v>
      </c>
      <c r="AJ365" s="1" t="s">
        <v>1429</v>
      </c>
      <c r="AK365" s="1" t="s">
        <v>1430</v>
      </c>
      <c r="AL365" s="1">
        <v>18</v>
      </c>
      <c r="AM365" s="1" t="s">
        <v>4944</v>
      </c>
      <c r="AN365" s="1" t="s">
        <v>5023</v>
      </c>
      <c r="AO365" s="1" t="s">
        <v>5241</v>
      </c>
      <c r="AP365" s="1">
        <v>0</v>
      </c>
      <c r="AQ365" s="1" t="s">
        <v>1219</v>
      </c>
      <c r="AR365" s="1" t="s">
        <v>1220</v>
      </c>
      <c r="AS365" s="1" t="s">
        <v>4998</v>
      </c>
      <c r="AT365" s="1" t="s">
        <v>330</v>
      </c>
      <c r="AU365" s="1">
        <v>238</v>
      </c>
      <c r="AV365" s="1">
        <v>1</v>
      </c>
      <c r="AW365" s="1" t="s">
        <v>5482</v>
      </c>
      <c r="AX365" s="1" t="s">
        <v>5485</v>
      </c>
      <c r="AY365" s="1">
        <v>7</v>
      </c>
      <c r="AZ365" s="1">
        <v>0</v>
      </c>
      <c r="BA365" s="1" t="s">
        <v>330</v>
      </c>
      <c r="BB365" s="1" t="s">
        <v>330</v>
      </c>
      <c r="BC365" s="1" t="s">
        <v>5472</v>
      </c>
      <c r="BD365" s="1">
        <v>0</v>
      </c>
      <c r="BE365" s="1"/>
    </row>
    <row r="366" spans="1:57" x14ac:dyDescent="0.25">
      <c r="A366" s="1">
        <v>1022</v>
      </c>
      <c r="B366" s="1" t="s">
        <v>4255</v>
      </c>
      <c r="C366" s="9" t="s">
        <v>742</v>
      </c>
      <c r="D366" s="1" t="s">
        <v>742</v>
      </c>
      <c r="E366" s="1"/>
      <c r="F366" s="1"/>
      <c r="G366" s="1" t="s">
        <v>4256</v>
      </c>
      <c r="H366" s="1" t="s">
        <v>4257</v>
      </c>
      <c r="I366" s="1" t="s">
        <v>4258</v>
      </c>
      <c r="J366" s="1">
        <v>6</v>
      </c>
      <c r="K366" s="1">
        <v>5</v>
      </c>
      <c r="L366" s="1">
        <v>28800</v>
      </c>
      <c r="M366" s="1">
        <v>30</v>
      </c>
      <c r="N366" s="1">
        <v>40</v>
      </c>
      <c r="O366" s="1">
        <v>15</v>
      </c>
      <c r="P366" s="1">
        <v>25</v>
      </c>
      <c r="Q366" s="1">
        <v>5</v>
      </c>
      <c r="R366" s="1">
        <v>2</v>
      </c>
      <c r="S366" s="1">
        <v>5</v>
      </c>
      <c r="T366" s="1">
        <v>5</v>
      </c>
      <c r="U366" s="1">
        <v>122</v>
      </c>
      <c r="V366" s="1">
        <v>128</v>
      </c>
      <c r="W366" s="1">
        <v>95</v>
      </c>
      <c r="X366" s="1">
        <v>100</v>
      </c>
      <c r="Y366" s="1">
        <v>132</v>
      </c>
      <c r="Z366" s="1">
        <v>110</v>
      </c>
      <c r="AA366" s="1">
        <v>122</v>
      </c>
      <c r="AB366" s="1">
        <v>15</v>
      </c>
      <c r="AC366" s="1">
        <v>40</v>
      </c>
      <c r="AD366" s="1">
        <v>1</v>
      </c>
      <c r="AE366" s="1">
        <v>105</v>
      </c>
      <c r="AF366" s="1">
        <v>100</v>
      </c>
      <c r="AG366" s="1">
        <v>710201</v>
      </c>
      <c r="AH366" s="1">
        <v>0</v>
      </c>
      <c r="AI366" s="1">
        <v>710204</v>
      </c>
      <c r="AJ366" s="1" t="s">
        <v>1431</v>
      </c>
      <c r="AK366" s="1" t="s">
        <v>1432</v>
      </c>
      <c r="AL366" s="1">
        <v>8</v>
      </c>
      <c r="AM366" s="1" t="s">
        <v>4802</v>
      </c>
      <c r="AN366" s="1" t="s">
        <v>4814</v>
      </c>
      <c r="AO366" s="1" t="s">
        <v>5353</v>
      </c>
      <c r="AP366" s="1">
        <v>0</v>
      </c>
      <c r="AQ366" s="1" t="s">
        <v>5153</v>
      </c>
      <c r="AR366" s="1" t="s">
        <v>1253</v>
      </c>
      <c r="AS366" s="1" t="s">
        <v>1254</v>
      </c>
      <c r="AT366" s="1" t="s">
        <v>330</v>
      </c>
      <c r="AU366" s="1">
        <v>1008</v>
      </c>
      <c r="AV366" s="1">
        <v>1</v>
      </c>
      <c r="AW366" s="1" t="s">
        <v>5482</v>
      </c>
      <c r="AX366" s="1" t="s">
        <v>5486</v>
      </c>
      <c r="AY366" s="1">
        <v>7</v>
      </c>
      <c r="AZ366" s="1">
        <v>0</v>
      </c>
      <c r="BA366" s="1" t="s">
        <v>330</v>
      </c>
      <c r="BB366" s="1" t="s">
        <v>330</v>
      </c>
      <c r="BC366" s="1" t="s">
        <v>5472</v>
      </c>
      <c r="BD366" s="1">
        <v>0</v>
      </c>
      <c r="BE366" s="1"/>
    </row>
    <row r="367" spans="1:57" x14ac:dyDescent="0.25">
      <c r="A367" s="1">
        <v>1023</v>
      </c>
      <c r="B367" s="1" t="s">
        <v>4259</v>
      </c>
      <c r="C367" s="9" t="s">
        <v>249</v>
      </c>
      <c r="D367" s="1" t="s">
        <v>249</v>
      </c>
      <c r="E367" s="1"/>
      <c r="F367" s="1"/>
      <c r="G367" s="1" t="s">
        <v>4260</v>
      </c>
      <c r="H367" s="1" t="s">
        <v>4261</v>
      </c>
      <c r="I367" s="1" t="s">
        <v>4262</v>
      </c>
      <c r="J367" s="1">
        <v>2</v>
      </c>
      <c r="K367" s="1">
        <v>5</v>
      </c>
      <c r="L367" s="1">
        <v>8880</v>
      </c>
      <c r="M367" s="1">
        <v>25</v>
      </c>
      <c r="N367" s="1">
        <v>20</v>
      </c>
      <c r="O367" s="1">
        <v>15</v>
      </c>
      <c r="P367" s="1">
        <v>10</v>
      </c>
      <c r="Q367" s="1">
        <v>5</v>
      </c>
      <c r="R367" s="1">
        <v>5</v>
      </c>
      <c r="S367" s="1">
        <v>2</v>
      </c>
      <c r="T367" s="1">
        <v>0</v>
      </c>
      <c r="U367" s="1">
        <v>108</v>
      </c>
      <c r="V367" s="1">
        <v>112</v>
      </c>
      <c r="W367" s="1">
        <v>115</v>
      </c>
      <c r="X367" s="1">
        <v>100</v>
      </c>
      <c r="Y367" s="1">
        <v>120</v>
      </c>
      <c r="Z367" s="1">
        <v>126</v>
      </c>
      <c r="AA367" s="1">
        <v>0</v>
      </c>
      <c r="AB367" s="1">
        <v>15</v>
      </c>
      <c r="AC367" s="1">
        <v>5</v>
      </c>
      <c r="AD367" s="1">
        <v>0</v>
      </c>
      <c r="AE367" s="1">
        <v>118</v>
      </c>
      <c r="AF367" s="1">
        <v>100</v>
      </c>
      <c r="AG367" s="1">
        <v>900680</v>
      </c>
      <c r="AH367" s="1">
        <v>0</v>
      </c>
      <c r="AI367" s="1">
        <v>300102</v>
      </c>
      <c r="AJ367" s="1" t="s">
        <v>1433</v>
      </c>
      <c r="AK367" s="1" t="s">
        <v>1434</v>
      </c>
      <c r="AL367" s="1">
        <v>14</v>
      </c>
      <c r="AM367" s="1" t="s">
        <v>400</v>
      </c>
      <c r="AN367" s="1" t="s">
        <v>5487</v>
      </c>
      <c r="AO367" s="1" t="s">
        <v>4989</v>
      </c>
      <c r="AP367" s="1">
        <v>0</v>
      </c>
      <c r="AQ367" s="1" t="s">
        <v>1181</v>
      </c>
      <c r="AR367" s="1" t="s">
        <v>1171</v>
      </c>
      <c r="AS367" s="1" t="s">
        <v>1798</v>
      </c>
      <c r="AT367" s="1" t="s">
        <v>330</v>
      </c>
      <c r="AU367" s="1">
        <v>1027</v>
      </c>
      <c r="AV367" s="1">
        <v>1</v>
      </c>
      <c r="AW367" s="1" t="s">
        <v>5488</v>
      </c>
      <c r="AX367" s="1" t="s">
        <v>5489</v>
      </c>
      <c r="AY367" s="1">
        <v>7</v>
      </c>
      <c r="AZ367" s="1">
        <v>0</v>
      </c>
      <c r="BA367" s="1" t="s">
        <v>330</v>
      </c>
      <c r="BB367" s="1" t="s">
        <v>330</v>
      </c>
      <c r="BC367" s="1" t="s">
        <v>5472</v>
      </c>
      <c r="BD367" s="1">
        <v>0</v>
      </c>
      <c r="BE367" s="1"/>
    </row>
    <row r="368" spans="1:57" x14ac:dyDescent="0.25">
      <c r="A368" s="1">
        <v>1024</v>
      </c>
      <c r="B368" s="1" t="s">
        <v>4263</v>
      </c>
      <c r="C368" s="9" t="s">
        <v>250</v>
      </c>
      <c r="D368" s="1" t="s">
        <v>250</v>
      </c>
      <c r="E368" s="1"/>
      <c r="F368" s="1"/>
      <c r="G368" s="1" t="s">
        <v>4264</v>
      </c>
      <c r="H368" s="1" t="s">
        <v>4265</v>
      </c>
      <c r="I368" s="1" t="s">
        <v>4266</v>
      </c>
      <c r="J368" s="1">
        <v>3</v>
      </c>
      <c r="K368" s="1">
        <v>5</v>
      </c>
      <c r="L368" s="1">
        <v>17400</v>
      </c>
      <c r="M368" s="1">
        <v>15</v>
      </c>
      <c r="N368" s="1">
        <v>30</v>
      </c>
      <c r="O368" s="1">
        <v>10</v>
      </c>
      <c r="P368" s="1">
        <v>15</v>
      </c>
      <c r="Q368" s="1">
        <v>5</v>
      </c>
      <c r="R368" s="1">
        <v>2</v>
      </c>
      <c r="S368" s="1">
        <v>5</v>
      </c>
      <c r="T368" s="1">
        <v>0</v>
      </c>
      <c r="U368" s="1">
        <v>90</v>
      </c>
      <c r="V368" s="1">
        <v>120</v>
      </c>
      <c r="W368" s="1">
        <v>110</v>
      </c>
      <c r="X368" s="1">
        <v>100</v>
      </c>
      <c r="Y368" s="1">
        <v>120</v>
      </c>
      <c r="Z368" s="1">
        <v>100</v>
      </c>
      <c r="AA368" s="1">
        <v>0</v>
      </c>
      <c r="AB368" s="1">
        <v>15</v>
      </c>
      <c r="AC368" s="1">
        <v>40</v>
      </c>
      <c r="AD368" s="1">
        <v>0</v>
      </c>
      <c r="AE368" s="1">
        <v>120</v>
      </c>
      <c r="AF368" s="1">
        <v>100</v>
      </c>
      <c r="AG368" s="1">
        <v>900692</v>
      </c>
      <c r="AH368" s="1">
        <v>0</v>
      </c>
      <c r="AI368" s="1">
        <v>900690</v>
      </c>
      <c r="AJ368" s="1" t="s">
        <v>330</v>
      </c>
      <c r="AK368" s="1" t="s">
        <v>1435</v>
      </c>
      <c r="AL368" s="1">
        <v>17</v>
      </c>
      <c r="AM368" s="1" t="s">
        <v>4848</v>
      </c>
      <c r="AN368" s="1" t="s">
        <v>5490</v>
      </c>
      <c r="AO368" s="1" t="s">
        <v>4931</v>
      </c>
      <c r="AP368" s="1">
        <v>0</v>
      </c>
      <c r="AQ368" s="1" t="s">
        <v>1192</v>
      </c>
      <c r="AR368" s="1" t="s">
        <v>1193</v>
      </c>
      <c r="AS368" s="1" t="s">
        <v>4925</v>
      </c>
      <c r="AT368" s="1" t="s">
        <v>330</v>
      </c>
      <c r="AU368" s="1">
        <v>1005</v>
      </c>
      <c r="AV368" s="1">
        <v>1</v>
      </c>
      <c r="AW368" s="1" t="s">
        <v>5488</v>
      </c>
      <c r="AX368" s="1" t="s">
        <v>5491</v>
      </c>
      <c r="AY368" s="1">
        <v>7</v>
      </c>
      <c r="AZ368" s="1">
        <v>0</v>
      </c>
      <c r="BA368" s="1" t="s">
        <v>330</v>
      </c>
      <c r="BB368" s="1" t="s">
        <v>330</v>
      </c>
      <c r="BC368" s="1" t="s">
        <v>5472</v>
      </c>
      <c r="BD368" s="1">
        <v>0</v>
      </c>
      <c r="BE368" s="1"/>
    </row>
    <row r="369" spans="1:57" x14ac:dyDescent="0.25">
      <c r="A369" s="1">
        <v>1025</v>
      </c>
      <c r="B369" s="1" t="s">
        <v>4267</v>
      </c>
      <c r="C369" s="9" t="s">
        <v>251</v>
      </c>
      <c r="D369" s="1" t="s">
        <v>251</v>
      </c>
      <c r="E369" s="1"/>
      <c r="F369" s="1"/>
      <c r="G369" s="1" t="s">
        <v>4268</v>
      </c>
      <c r="H369" s="1" t="s">
        <v>4269</v>
      </c>
      <c r="I369" s="1" t="s">
        <v>4270</v>
      </c>
      <c r="J369" s="1">
        <v>6</v>
      </c>
      <c r="K369" s="1">
        <v>5</v>
      </c>
      <c r="L369" s="1">
        <v>28800</v>
      </c>
      <c r="M369" s="1">
        <v>30</v>
      </c>
      <c r="N369" s="1">
        <v>40</v>
      </c>
      <c r="O369" s="1">
        <v>15</v>
      </c>
      <c r="P369" s="1">
        <v>25</v>
      </c>
      <c r="Q369" s="1">
        <v>5</v>
      </c>
      <c r="R369" s="1">
        <v>2</v>
      </c>
      <c r="S369" s="1">
        <v>5</v>
      </c>
      <c r="T369" s="1">
        <v>5</v>
      </c>
      <c r="U369" s="1">
        <v>115</v>
      </c>
      <c r="V369" s="1">
        <v>120</v>
      </c>
      <c r="W369" s="1">
        <v>100</v>
      </c>
      <c r="X369" s="1">
        <v>100</v>
      </c>
      <c r="Y369" s="1">
        <v>100</v>
      </c>
      <c r="Z369" s="1">
        <v>95</v>
      </c>
      <c r="AA369" s="1">
        <v>115</v>
      </c>
      <c r="AB369" s="1">
        <v>15</v>
      </c>
      <c r="AC369" s="1">
        <v>40</v>
      </c>
      <c r="AD369" s="1">
        <v>4</v>
      </c>
      <c r="AE369" s="1">
        <v>110</v>
      </c>
      <c r="AF369" s="1">
        <v>100</v>
      </c>
      <c r="AG369" s="1">
        <v>900704</v>
      </c>
      <c r="AH369" s="1">
        <v>0</v>
      </c>
      <c r="AI369" s="1">
        <v>900700</v>
      </c>
      <c r="AJ369" s="1" t="s">
        <v>1436</v>
      </c>
      <c r="AK369" s="1" t="s">
        <v>1437</v>
      </c>
      <c r="AL369" s="1">
        <v>8</v>
      </c>
      <c r="AM369" s="1" t="s">
        <v>4802</v>
      </c>
      <c r="AN369" s="1" t="s">
        <v>5492</v>
      </c>
      <c r="AO369" s="1" t="s">
        <v>5028</v>
      </c>
      <c r="AP369" s="1">
        <v>0</v>
      </c>
      <c r="AQ369" s="1" t="s">
        <v>1252</v>
      </c>
      <c r="AR369" s="1" t="s">
        <v>5146</v>
      </c>
      <c r="AS369" s="1" t="s">
        <v>1254</v>
      </c>
      <c r="AT369" s="1" t="s">
        <v>330</v>
      </c>
      <c r="AU369" s="1">
        <v>1008</v>
      </c>
      <c r="AV369" s="1">
        <v>1</v>
      </c>
      <c r="AW369" s="1" t="s">
        <v>5488</v>
      </c>
      <c r="AX369" s="1" t="s">
        <v>5491</v>
      </c>
      <c r="AY369" s="1">
        <v>7</v>
      </c>
      <c r="AZ369" s="1">
        <v>0</v>
      </c>
      <c r="BA369" s="1" t="s">
        <v>330</v>
      </c>
      <c r="BB369" s="1" t="s">
        <v>330</v>
      </c>
      <c r="BC369" s="1" t="s">
        <v>5472</v>
      </c>
      <c r="BD369" s="1">
        <v>0</v>
      </c>
      <c r="BE369" s="1"/>
    </row>
    <row r="370" spans="1:57" x14ac:dyDescent="0.25">
      <c r="A370" s="1">
        <v>1026</v>
      </c>
      <c r="B370" s="1" t="s">
        <v>4271</v>
      </c>
      <c r="C370" s="9" t="s">
        <v>252</v>
      </c>
      <c r="D370" s="1" t="s">
        <v>252</v>
      </c>
      <c r="E370" s="1"/>
      <c r="F370" s="1"/>
      <c r="G370" s="1" t="s">
        <v>4272</v>
      </c>
      <c r="H370" s="1" t="s">
        <v>4273</v>
      </c>
      <c r="I370" s="1" t="s">
        <v>4274</v>
      </c>
      <c r="J370" s="1">
        <v>5</v>
      </c>
      <c r="K370" s="1">
        <v>5</v>
      </c>
      <c r="L370" s="1">
        <v>23760</v>
      </c>
      <c r="M370" s="1">
        <v>40</v>
      </c>
      <c r="N370" s="1">
        <v>30</v>
      </c>
      <c r="O370" s="1">
        <v>25</v>
      </c>
      <c r="P370" s="1">
        <v>15</v>
      </c>
      <c r="Q370" s="1">
        <v>5</v>
      </c>
      <c r="R370" s="1">
        <v>5</v>
      </c>
      <c r="S370" s="1">
        <v>2</v>
      </c>
      <c r="T370" s="1">
        <v>5</v>
      </c>
      <c r="U370" s="1">
        <v>95</v>
      </c>
      <c r="V370" s="1">
        <v>90</v>
      </c>
      <c r="W370" s="1">
        <v>125</v>
      </c>
      <c r="X370" s="1">
        <v>100</v>
      </c>
      <c r="Y370" s="1">
        <v>125</v>
      </c>
      <c r="Z370" s="1">
        <v>130</v>
      </c>
      <c r="AA370" s="1">
        <v>0</v>
      </c>
      <c r="AB370" s="1">
        <v>15</v>
      </c>
      <c r="AC370" s="1">
        <v>5</v>
      </c>
      <c r="AD370" s="1">
        <v>8</v>
      </c>
      <c r="AE370" s="1">
        <v>135</v>
      </c>
      <c r="AF370" s="1">
        <v>100</v>
      </c>
      <c r="AG370" s="1">
        <v>900713</v>
      </c>
      <c r="AH370" s="1">
        <v>0</v>
      </c>
      <c r="AI370" s="1">
        <v>900710</v>
      </c>
      <c r="AJ370" s="1" t="s">
        <v>1438</v>
      </c>
      <c r="AK370" s="1" t="s">
        <v>1439</v>
      </c>
      <c r="AL370" s="1">
        <v>18</v>
      </c>
      <c r="AM370" s="1" t="s">
        <v>4944</v>
      </c>
      <c r="AN370" s="1" t="s">
        <v>5023</v>
      </c>
      <c r="AO370" s="1" t="s">
        <v>5241</v>
      </c>
      <c r="AP370" s="1">
        <v>0</v>
      </c>
      <c r="AQ370" s="1" t="s">
        <v>1219</v>
      </c>
      <c r="AR370" s="1" t="s">
        <v>4997</v>
      </c>
      <c r="AS370" s="1" t="s">
        <v>1221</v>
      </c>
      <c r="AT370" s="1" t="s">
        <v>330</v>
      </c>
      <c r="AU370" s="1">
        <v>1026</v>
      </c>
      <c r="AV370" s="1">
        <v>1</v>
      </c>
      <c r="AW370" s="1" t="s">
        <v>5488</v>
      </c>
      <c r="AX370" s="1" t="s">
        <v>5493</v>
      </c>
      <c r="AY370" s="1">
        <v>7</v>
      </c>
      <c r="AZ370" s="1">
        <v>0</v>
      </c>
      <c r="BA370" s="1" t="s">
        <v>330</v>
      </c>
      <c r="BB370" s="1" t="s">
        <v>330</v>
      </c>
      <c r="BC370" s="1" t="s">
        <v>5472</v>
      </c>
      <c r="BD370" s="1">
        <v>0</v>
      </c>
      <c r="BE370" s="1"/>
    </row>
    <row r="371" spans="1:57" x14ac:dyDescent="0.25">
      <c r="A371" s="1">
        <v>1027</v>
      </c>
      <c r="B371" s="1" t="s">
        <v>4275</v>
      </c>
      <c r="C371" s="9" t="s">
        <v>253</v>
      </c>
      <c r="D371" s="1" t="s">
        <v>253</v>
      </c>
      <c r="E371" s="1"/>
      <c r="F371" s="1"/>
      <c r="G371" s="1" t="s">
        <v>4276</v>
      </c>
      <c r="H371" s="1" t="s">
        <v>4277</v>
      </c>
      <c r="I371" s="1" t="s">
        <v>4278</v>
      </c>
      <c r="J371" s="1">
        <v>4</v>
      </c>
      <c r="K371" s="1">
        <v>5</v>
      </c>
      <c r="L371" s="1">
        <v>14100</v>
      </c>
      <c r="M371" s="1">
        <v>20</v>
      </c>
      <c r="N371" s="1">
        <v>20</v>
      </c>
      <c r="O371" s="1">
        <v>10</v>
      </c>
      <c r="P371" s="1">
        <v>10</v>
      </c>
      <c r="Q371" s="1">
        <v>2</v>
      </c>
      <c r="R371" s="1">
        <v>5</v>
      </c>
      <c r="S371" s="1">
        <v>5</v>
      </c>
      <c r="T371" s="1">
        <v>0</v>
      </c>
      <c r="U371" s="1">
        <v>110</v>
      </c>
      <c r="V371" s="1">
        <v>118</v>
      </c>
      <c r="W371" s="1">
        <v>110</v>
      </c>
      <c r="X371" s="1">
        <v>100</v>
      </c>
      <c r="Y371" s="1">
        <v>132</v>
      </c>
      <c r="Z371" s="1">
        <v>105</v>
      </c>
      <c r="AA371" s="1">
        <v>0</v>
      </c>
      <c r="AB371" s="1">
        <v>15</v>
      </c>
      <c r="AC371" s="1">
        <v>30</v>
      </c>
      <c r="AD371" s="1">
        <v>0</v>
      </c>
      <c r="AE371" s="1">
        <v>125</v>
      </c>
      <c r="AF371" s="1">
        <v>100</v>
      </c>
      <c r="AG371" s="1">
        <v>900721</v>
      </c>
      <c r="AH371" s="1">
        <v>0</v>
      </c>
      <c r="AI371" s="1">
        <v>900720</v>
      </c>
      <c r="AJ371" s="1" t="s">
        <v>1440</v>
      </c>
      <c r="AK371" s="1" t="s">
        <v>1441</v>
      </c>
      <c r="AL371" s="1">
        <v>13</v>
      </c>
      <c r="AM371" s="1" t="s">
        <v>400</v>
      </c>
      <c r="AN371" s="1" t="s">
        <v>5470</v>
      </c>
      <c r="AO371" s="1" t="s">
        <v>5344</v>
      </c>
      <c r="AP371" s="1">
        <v>0</v>
      </c>
      <c r="AQ371" s="1" t="s">
        <v>1182</v>
      </c>
      <c r="AR371" s="1" t="s">
        <v>1206</v>
      </c>
      <c r="AS371" s="1" t="s">
        <v>1797</v>
      </c>
      <c r="AT371" s="1" t="s">
        <v>330</v>
      </c>
      <c r="AU371" s="1">
        <v>1007</v>
      </c>
      <c r="AV371" s="1">
        <v>1</v>
      </c>
      <c r="AW371" s="1" t="s">
        <v>5488</v>
      </c>
      <c r="AX371" s="1" t="s">
        <v>5493</v>
      </c>
      <c r="AY371" s="1">
        <v>7</v>
      </c>
      <c r="AZ371" s="1">
        <v>0</v>
      </c>
      <c r="BA371" s="1" t="s">
        <v>330</v>
      </c>
      <c r="BB371" s="1" t="s">
        <v>330</v>
      </c>
      <c r="BC371" s="1" t="s">
        <v>5472</v>
      </c>
      <c r="BD371" s="1">
        <v>0</v>
      </c>
      <c r="BE371" s="1"/>
    </row>
    <row r="372" spans="1:57" x14ac:dyDescent="0.25">
      <c r="A372" s="1">
        <v>1028</v>
      </c>
      <c r="B372" s="1" t="s">
        <v>4279</v>
      </c>
      <c r="C372" s="9" t="s">
        <v>1741</v>
      </c>
      <c r="D372" s="1" t="s">
        <v>4280</v>
      </c>
      <c r="E372" s="1"/>
      <c r="F372" s="1"/>
      <c r="G372" s="1" t="s">
        <v>4281</v>
      </c>
      <c r="H372" s="1" t="s">
        <v>4282</v>
      </c>
      <c r="I372" s="1" t="s">
        <v>4283</v>
      </c>
      <c r="J372" s="1">
        <v>2</v>
      </c>
      <c r="K372" s="1">
        <v>5</v>
      </c>
      <c r="L372" s="1">
        <v>9300</v>
      </c>
      <c r="M372" s="1">
        <v>25</v>
      </c>
      <c r="N372" s="1">
        <v>20</v>
      </c>
      <c r="O372" s="1">
        <v>15</v>
      </c>
      <c r="P372" s="1">
        <v>10</v>
      </c>
      <c r="Q372" s="1">
        <v>5</v>
      </c>
      <c r="R372" s="1">
        <v>5</v>
      </c>
      <c r="S372" s="1">
        <v>2</v>
      </c>
      <c r="T372" s="1">
        <v>0</v>
      </c>
      <c r="U372" s="1">
        <v>105</v>
      </c>
      <c r="V372" s="1">
        <v>115</v>
      </c>
      <c r="W372" s="1">
        <v>130</v>
      </c>
      <c r="X372" s="1">
        <v>100</v>
      </c>
      <c r="Y372" s="1">
        <v>90</v>
      </c>
      <c r="Z372" s="1">
        <v>120</v>
      </c>
      <c r="AA372" s="1">
        <v>0</v>
      </c>
      <c r="AB372" s="1">
        <v>15</v>
      </c>
      <c r="AC372" s="1">
        <v>5</v>
      </c>
      <c r="AD372" s="1">
        <v>0</v>
      </c>
      <c r="AE372" s="1">
        <v>105</v>
      </c>
      <c r="AF372" s="1">
        <v>100</v>
      </c>
      <c r="AG372" s="1">
        <v>900991</v>
      </c>
      <c r="AH372" s="1">
        <v>0</v>
      </c>
      <c r="AI372" s="1">
        <v>300102</v>
      </c>
      <c r="AJ372" s="1" t="s">
        <v>330</v>
      </c>
      <c r="AK372" s="1" t="s">
        <v>1442</v>
      </c>
      <c r="AL372" s="1">
        <v>13</v>
      </c>
      <c r="AM372" s="1" t="s">
        <v>4876</v>
      </c>
      <c r="AN372" s="1" t="s">
        <v>5079</v>
      </c>
      <c r="AO372" s="1" t="s">
        <v>5270</v>
      </c>
      <c r="AP372" s="1">
        <v>0</v>
      </c>
      <c r="AQ372" s="1" t="s">
        <v>1797</v>
      </c>
      <c r="AR372" s="1" t="s">
        <v>1796</v>
      </c>
      <c r="AS372" s="1" t="s">
        <v>1798</v>
      </c>
      <c r="AT372" s="1" t="s">
        <v>330</v>
      </c>
      <c r="AU372" s="1">
        <v>1028</v>
      </c>
      <c r="AV372" s="1">
        <v>1</v>
      </c>
      <c r="AW372" s="1" t="s">
        <v>5494</v>
      </c>
      <c r="AX372" s="1" t="s">
        <v>5495</v>
      </c>
      <c r="AY372" s="1">
        <v>7</v>
      </c>
      <c r="AZ372" s="1">
        <v>0</v>
      </c>
      <c r="BA372" s="1" t="s">
        <v>330</v>
      </c>
      <c r="BB372" s="1" t="s">
        <v>330</v>
      </c>
      <c r="BC372" s="1" t="s">
        <v>5472</v>
      </c>
      <c r="BD372" s="1">
        <v>0</v>
      </c>
      <c r="BE372" s="1"/>
    </row>
    <row r="373" spans="1:57" x14ac:dyDescent="0.25">
      <c r="A373" s="1">
        <v>1029</v>
      </c>
      <c r="B373" s="1" t="s">
        <v>4284</v>
      </c>
      <c r="C373" s="9" t="s">
        <v>1742</v>
      </c>
      <c r="D373" s="1" t="s">
        <v>4285</v>
      </c>
      <c r="E373" s="1"/>
      <c r="F373" s="1"/>
      <c r="G373" s="1" t="s">
        <v>4286</v>
      </c>
      <c r="H373" s="1" t="s">
        <v>4287</v>
      </c>
      <c r="I373" s="1" t="s">
        <v>4288</v>
      </c>
      <c r="J373" s="1">
        <v>4</v>
      </c>
      <c r="K373" s="1">
        <v>5</v>
      </c>
      <c r="L373" s="1">
        <v>14100</v>
      </c>
      <c r="M373" s="1">
        <v>20</v>
      </c>
      <c r="N373" s="1">
        <v>20</v>
      </c>
      <c r="O373" s="1">
        <v>10</v>
      </c>
      <c r="P373" s="1">
        <v>10</v>
      </c>
      <c r="Q373" s="1">
        <v>2</v>
      </c>
      <c r="R373" s="1">
        <v>5</v>
      </c>
      <c r="S373" s="1">
        <v>5</v>
      </c>
      <c r="T373" s="1">
        <v>0</v>
      </c>
      <c r="U373" s="1">
        <v>110</v>
      </c>
      <c r="V373" s="1">
        <v>115</v>
      </c>
      <c r="W373" s="1">
        <v>115</v>
      </c>
      <c r="X373" s="1">
        <v>100</v>
      </c>
      <c r="Y373" s="1">
        <v>115</v>
      </c>
      <c r="Z373" s="1">
        <v>110</v>
      </c>
      <c r="AA373" s="1">
        <v>0</v>
      </c>
      <c r="AB373" s="1">
        <v>15</v>
      </c>
      <c r="AC373" s="1">
        <v>20</v>
      </c>
      <c r="AD373" s="1">
        <v>0</v>
      </c>
      <c r="AE373" s="1">
        <v>115</v>
      </c>
      <c r="AF373" s="1">
        <v>100</v>
      </c>
      <c r="AG373" s="1">
        <v>901011</v>
      </c>
      <c r="AH373" s="1">
        <v>0</v>
      </c>
      <c r="AI373" s="1">
        <v>300103</v>
      </c>
      <c r="AJ373" s="1" t="s">
        <v>330</v>
      </c>
      <c r="AK373" s="1" t="s">
        <v>1443</v>
      </c>
      <c r="AL373" s="1">
        <v>13</v>
      </c>
      <c r="AM373" s="1" t="s">
        <v>4805</v>
      </c>
      <c r="AN373" s="1" t="s">
        <v>4915</v>
      </c>
      <c r="AO373" s="1" t="s">
        <v>5255</v>
      </c>
      <c r="AP373" s="1">
        <v>0</v>
      </c>
      <c r="AQ373" s="1" t="s">
        <v>1798</v>
      </c>
      <c r="AR373" s="1" t="s">
        <v>4954</v>
      </c>
      <c r="AS373" s="1" t="s">
        <v>1797</v>
      </c>
      <c r="AT373" s="1" t="s">
        <v>330</v>
      </c>
      <c r="AU373" s="1">
        <v>1029</v>
      </c>
      <c r="AV373" s="1">
        <v>1</v>
      </c>
      <c r="AW373" s="1" t="s">
        <v>5494</v>
      </c>
      <c r="AX373" s="1" t="s">
        <v>5496</v>
      </c>
      <c r="AY373" s="1">
        <v>7</v>
      </c>
      <c r="AZ373" s="1">
        <v>0</v>
      </c>
      <c r="BA373" s="1" t="s">
        <v>330</v>
      </c>
      <c r="BB373" s="1" t="s">
        <v>330</v>
      </c>
      <c r="BC373" s="1" t="s">
        <v>5472</v>
      </c>
      <c r="BD373" s="1">
        <v>0</v>
      </c>
      <c r="BE373" s="1"/>
    </row>
    <row r="374" spans="1:57" x14ac:dyDescent="0.25">
      <c r="A374" s="1">
        <v>1030</v>
      </c>
      <c r="B374" s="1" t="s">
        <v>4289</v>
      </c>
      <c r="C374" s="9" t="s">
        <v>1744</v>
      </c>
      <c r="D374" s="1" t="s">
        <v>4290</v>
      </c>
      <c r="E374" s="1"/>
      <c r="F374" s="1"/>
      <c r="G374" s="1" t="s">
        <v>4291</v>
      </c>
      <c r="H374" s="1" t="s">
        <v>4292</v>
      </c>
      <c r="I374" s="1" t="s">
        <v>4293</v>
      </c>
      <c r="J374" s="1">
        <v>2</v>
      </c>
      <c r="K374" s="1">
        <v>5</v>
      </c>
      <c r="L374" s="1">
        <v>8880</v>
      </c>
      <c r="M374" s="1">
        <v>25</v>
      </c>
      <c r="N374" s="1">
        <v>20</v>
      </c>
      <c r="O374" s="1">
        <v>15</v>
      </c>
      <c r="P374" s="1">
        <v>10</v>
      </c>
      <c r="Q374" s="1">
        <v>5</v>
      </c>
      <c r="R374" s="1">
        <v>5</v>
      </c>
      <c r="S374" s="1">
        <v>2</v>
      </c>
      <c r="T374" s="1">
        <v>0</v>
      </c>
      <c r="U374" s="1">
        <v>115</v>
      </c>
      <c r="V374" s="1">
        <v>90</v>
      </c>
      <c r="W374" s="1">
        <v>100</v>
      </c>
      <c r="X374" s="1">
        <v>100</v>
      </c>
      <c r="Y374" s="1">
        <v>95</v>
      </c>
      <c r="Z374" s="1">
        <v>110</v>
      </c>
      <c r="AA374" s="1">
        <v>0</v>
      </c>
      <c r="AB374" s="1">
        <v>15</v>
      </c>
      <c r="AC374" s="1">
        <v>5</v>
      </c>
      <c r="AD374" s="1">
        <v>0</v>
      </c>
      <c r="AE374" s="1">
        <v>125</v>
      </c>
      <c r="AF374" s="1">
        <v>100</v>
      </c>
      <c r="AG374" s="1">
        <v>116401</v>
      </c>
      <c r="AH374" s="1">
        <v>0</v>
      </c>
      <c r="AI374" s="1">
        <v>116402</v>
      </c>
      <c r="AJ374" s="1" t="s">
        <v>1444</v>
      </c>
      <c r="AK374" s="1" t="s">
        <v>330</v>
      </c>
      <c r="AL374" s="1">
        <v>13</v>
      </c>
      <c r="AM374" s="1" t="s">
        <v>400</v>
      </c>
      <c r="AN374" s="1" t="s">
        <v>4881</v>
      </c>
      <c r="AO374" s="1" t="s">
        <v>5497</v>
      </c>
      <c r="AP374" s="1">
        <v>0</v>
      </c>
      <c r="AQ374" s="1" t="s">
        <v>1797</v>
      </c>
      <c r="AR374" s="1" t="s">
        <v>1171</v>
      </c>
      <c r="AS374" s="1" t="s">
        <v>1182</v>
      </c>
      <c r="AT374" s="1" t="s">
        <v>330</v>
      </c>
      <c r="AU374" s="1">
        <v>48</v>
      </c>
      <c r="AV374" s="1">
        <v>1</v>
      </c>
      <c r="AW374" s="1" t="s">
        <v>5498</v>
      </c>
      <c r="AX374" s="1" t="s">
        <v>5499</v>
      </c>
      <c r="AY374" s="1">
        <v>7</v>
      </c>
      <c r="AZ374" s="1">
        <v>0</v>
      </c>
      <c r="BA374" s="1" t="s">
        <v>330</v>
      </c>
      <c r="BB374" s="1" t="s">
        <v>330</v>
      </c>
      <c r="BC374" s="1" t="s">
        <v>5472</v>
      </c>
      <c r="BD374" s="1">
        <v>0</v>
      </c>
      <c r="BE374" s="1"/>
    </row>
    <row r="375" spans="1:57" x14ac:dyDescent="0.25">
      <c r="A375" s="1">
        <v>1031</v>
      </c>
      <c r="B375" s="1" t="s">
        <v>4294</v>
      </c>
      <c r="C375" s="9" t="s">
        <v>1445</v>
      </c>
      <c r="D375" s="1" t="s">
        <v>4295</v>
      </c>
      <c r="E375" s="1"/>
      <c r="F375" s="1"/>
      <c r="G375" s="1" t="s">
        <v>4296</v>
      </c>
      <c r="H375" s="1" t="s">
        <v>4297</v>
      </c>
      <c r="I375" s="1" t="s">
        <v>4298</v>
      </c>
      <c r="J375" s="1">
        <v>3</v>
      </c>
      <c r="K375" s="1">
        <v>5</v>
      </c>
      <c r="L375" s="1">
        <v>17400</v>
      </c>
      <c r="M375" s="1">
        <v>15</v>
      </c>
      <c r="N375" s="1">
        <v>30</v>
      </c>
      <c r="O375" s="1">
        <v>10</v>
      </c>
      <c r="P375" s="1">
        <v>15</v>
      </c>
      <c r="Q375" s="1">
        <v>5</v>
      </c>
      <c r="R375" s="1">
        <v>2</v>
      </c>
      <c r="S375" s="1">
        <v>5</v>
      </c>
      <c r="T375" s="1">
        <v>0</v>
      </c>
      <c r="U375" s="1">
        <v>100</v>
      </c>
      <c r="V375" s="1">
        <v>100</v>
      </c>
      <c r="W375" s="1">
        <v>100</v>
      </c>
      <c r="X375" s="1">
        <v>100</v>
      </c>
      <c r="Y375" s="1">
        <v>100</v>
      </c>
      <c r="Z375" s="1">
        <v>100</v>
      </c>
      <c r="AA375" s="1">
        <v>0</v>
      </c>
      <c r="AB375" s="1">
        <v>15</v>
      </c>
      <c r="AC375" s="1">
        <v>40</v>
      </c>
      <c r="AD375" s="1">
        <v>0</v>
      </c>
      <c r="AE375" s="1">
        <v>150</v>
      </c>
      <c r="AF375" s="1">
        <v>100</v>
      </c>
      <c r="AG375" s="1">
        <v>116701</v>
      </c>
      <c r="AH375" s="1">
        <v>0</v>
      </c>
      <c r="AI375" s="1">
        <v>116705</v>
      </c>
      <c r="AJ375" s="1" t="s">
        <v>1446</v>
      </c>
      <c r="AK375" s="1" t="s">
        <v>1447</v>
      </c>
      <c r="AL375" s="1">
        <v>13</v>
      </c>
      <c r="AM375" s="1" t="s">
        <v>4848</v>
      </c>
      <c r="AN375" s="1" t="s">
        <v>4920</v>
      </c>
      <c r="AO375" s="1" t="s">
        <v>4931</v>
      </c>
      <c r="AP375" s="1">
        <v>0</v>
      </c>
      <c r="AQ375" s="1" t="s">
        <v>1192</v>
      </c>
      <c r="AR375" s="1" t="s">
        <v>1193</v>
      </c>
      <c r="AS375" s="1" t="s">
        <v>4925</v>
      </c>
      <c r="AT375" s="1" t="s">
        <v>330</v>
      </c>
      <c r="AU375" s="1">
        <v>150</v>
      </c>
      <c r="AV375" s="1">
        <v>1</v>
      </c>
      <c r="AW375" s="1" t="s">
        <v>5498</v>
      </c>
      <c r="AX375" s="1" t="s">
        <v>5500</v>
      </c>
      <c r="AY375" s="1">
        <v>7</v>
      </c>
      <c r="AZ375" s="1">
        <v>0</v>
      </c>
      <c r="BA375" s="1" t="s">
        <v>330</v>
      </c>
      <c r="BB375" s="1" t="s">
        <v>330</v>
      </c>
      <c r="BC375" s="1" t="s">
        <v>5472</v>
      </c>
      <c r="BD375" s="1">
        <v>0</v>
      </c>
      <c r="BE375" s="1"/>
    </row>
    <row r="376" spans="1:57" x14ac:dyDescent="0.25">
      <c r="A376" s="1">
        <v>1032</v>
      </c>
      <c r="B376" s="1" t="s">
        <v>4299</v>
      </c>
      <c r="C376" s="9" t="s">
        <v>1448</v>
      </c>
      <c r="D376" s="1" t="s">
        <v>1448</v>
      </c>
      <c r="E376" s="1"/>
      <c r="F376" s="1"/>
      <c r="G376" s="1" t="s">
        <v>4300</v>
      </c>
      <c r="H376" s="1" t="s">
        <v>4301</v>
      </c>
      <c r="I376" s="1" t="s">
        <v>4302</v>
      </c>
      <c r="J376" s="1">
        <v>4</v>
      </c>
      <c r="K376" s="1">
        <v>5</v>
      </c>
      <c r="L376" s="1">
        <v>14100</v>
      </c>
      <c r="M376" s="1">
        <v>20</v>
      </c>
      <c r="N376" s="1">
        <v>20</v>
      </c>
      <c r="O376" s="1">
        <v>10</v>
      </c>
      <c r="P376" s="1">
        <v>10</v>
      </c>
      <c r="Q376" s="1">
        <v>2</v>
      </c>
      <c r="R376" s="1">
        <v>5</v>
      </c>
      <c r="S376" s="1">
        <v>5</v>
      </c>
      <c r="T376" s="1">
        <v>0</v>
      </c>
      <c r="U376" s="1">
        <v>110</v>
      </c>
      <c r="V376" s="1">
        <v>122</v>
      </c>
      <c r="W376" s="1">
        <v>105</v>
      </c>
      <c r="X376" s="1">
        <v>100</v>
      </c>
      <c r="Y376" s="1">
        <v>128</v>
      </c>
      <c r="Z376" s="1">
        <v>105</v>
      </c>
      <c r="AA376" s="1">
        <v>0</v>
      </c>
      <c r="AB376" s="1">
        <v>15</v>
      </c>
      <c r="AC376" s="1">
        <v>30</v>
      </c>
      <c r="AD376" s="1">
        <v>0</v>
      </c>
      <c r="AE376" s="1">
        <v>130</v>
      </c>
      <c r="AF376" s="1">
        <v>100</v>
      </c>
      <c r="AG376" s="1">
        <v>116601</v>
      </c>
      <c r="AH376" s="1">
        <v>0</v>
      </c>
      <c r="AI376" s="1">
        <v>116603</v>
      </c>
      <c r="AJ376" s="1" t="s">
        <v>330</v>
      </c>
      <c r="AK376" s="1" t="s">
        <v>1449</v>
      </c>
      <c r="AL376" s="1">
        <v>13</v>
      </c>
      <c r="AM376" s="1" t="s">
        <v>400</v>
      </c>
      <c r="AN376" s="1" t="s">
        <v>5470</v>
      </c>
      <c r="AO376" s="1" t="s">
        <v>5344</v>
      </c>
      <c r="AP376" s="1">
        <v>0</v>
      </c>
      <c r="AQ376" s="1" t="s">
        <v>1182</v>
      </c>
      <c r="AR376" s="1" t="s">
        <v>1206</v>
      </c>
      <c r="AS376" s="1" t="s">
        <v>1797</v>
      </c>
      <c r="AT376" s="1" t="s">
        <v>330</v>
      </c>
      <c r="AU376" s="1">
        <v>241</v>
      </c>
      <c r="AV376" s="1">
        <v>1</v>
      </c>
      <c r="AW376" s="1" t="s">
        <v>5498</v>
      </c>
      <c r="AX376" s="1" t="s">
        <v>5501</v>
      </c>
      <c r="AY376" s="1">
        <v>7</v>
      </c>
      <c r="AZ376" s="1">
        <v>0</v>
      </c>
      <c r="BA376" s="1" t="s">
        <v>330</v>
      </c>
      <c r="BB376" s="1" t="s">
        <v>330</v>
      </c>
      <c r="BC376" s="1" t="s">
        <v>5472</v>
      </c>
      <c r="BD376" s="1">
        <v>0</v>
      </c>
      <c r="BE376" s="1"/>
    </row>
    <row r="377" spans="1:57" x14ac:dyDescent="0.25">
      <c r="A377" s="1">
        <v>1033</v>
      </c>
      <c r="B377" s="1" t="s">
        <v>4303</v>
      </c>
      <c r="C377" s="9" t="s">
        <v>1743</v>
      </c>
      <c r="D377" s="1" t="s">
        <v>1743</v>
      </c>
      <c r="E377" s="1"/>
      <c r="F377" s="1"/>
      <c r="G377" s="1" t="s">
        <v>4304</v>
      </c>
      <c r="H377" s="1" t="s">
        <v>4305</v>
      </c>
      <c r="I377" s="1" t="s">
        <v>4306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110</v>
      </c>
      <c r="V377" s="1">
        <v>115</v>
      </c>
      <c r="W377" s="1">
        <v>120</v>
      </c>
      <c r="X377" s="1">
        <v>100</v>
      </c>
      <c r="Y377" s="1">
        <v>115</v>
      </c>
      <c r="Z377" s="1">
        <v>95</v>
      </c>
      <c r="AA377" s="1">
        <v>0</v>
      </c>
      <c r="AB377" s="1">
        <v>15</v>
      </c>
      <c r="AC377" s="1">
        <v>5</v>
      </c>
      <c r="AD377" s="1">
        <v>10</v>
      </c>
      <c r="AE377" s="1">
        <v>118</v>
      </c>
      <c r="AF377" s="1">
        <v>100</v>
      </c>
      <c r="AG377" s="1">
        <v>116501</v>
      </c>
      <c r="AH377" s="1">
        <v>0</v>
      </c>
      <c r="AI377" s="1">
        <v>116503</v>
      </c>
      <c r="AJ377" s="1" t="s">
        <v>1450</v>
      </c>
      <c r="AK377" s="1" t="s">
        <v>1451</v>
      </c>
      <c r="AL377" s="1">
        <v>18</v>
      </c>
      <c r="AM377" s="1" t="s">
        <v>4944</v>
      </c>
      <c r="AN377" s="1" t="s">
        <v>5023</v>
      </c>
      <c r="AO377" s="1" t="s">
        <v>5241</v>
      </c>
      <c r="AP377" s="1">
        <v>0</v>
      </c>
      <c r="AQ377" s="1" t="s">
        <v>1219</v>
      </c>
      <c r="AR377" s="1" t="s">
        <v>4997</v>
      </c>
      <c r="AS377" s="1" t="s">
        <v>1221</v>
      </c>
      <c r="AT377" s="1" t="s">
        <v>330</v>
      </c>
      <c r="AU377" s="1">
        <v>48</v>
      </c>
      <c r="AV377" s="1">
        <v>1</v>
      </c>
      <c r="AW377" s="1" t="s">
        <v>5498</v>
      </c>
      <c r="AX377" s="1" t="s">
        <v>5499</v>
      </c>
      <c r="AY377" s="1">
        <v>7</v>
      </c>
      <c r="AZ377" s="1">
        <v>0</v>
      </c>
      <c r="BA377" s="1" t="s">
        <v>330</v>
      </c>
      <c r="BB377" s="1" t="s">
        <v>330</v>
      </c>
      <c r="BC377" s="1" t="s">
        <v>5472</v>
      </c>
      <c r="BD377" s="1">
        <v>0</v>
      </c>
      <c r="BE377" s="1"/>
    </row>
    <row r="378" spans="1:57" x14ac:dyDescent="0.25">
      <c r="A378" s="1">
        <v>1034</v>
      </c>
      <c r="B378" s="1" t="s">
        <v>4307</v>
      </c>
      <c r="C378" s="9" t="s">
        <v>1452</v>
      </c>
      <c r="D378" s="1" t="s">
        <v>4308</v>
      </c>
      <c r="E378" s="1"/>
      <c r="F378" s="1"/>
      <c r="G378" s="1" t="s">
        <v>4309</v>
      </c>
      <c r="H378" s="1" t="s">
        <v>4310</v>
      </c>
      <c r="I378" s="1" t="s">
        <v>4311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130</v>
      </c>
      <c r="V378" s="1">
        <v>130</v>
      </c>
      <c r="W378" s="1">
        <v>90</v>
      </c>
      <c r="X378" s="1">
        <v>100</v>
      </c>
      <c r="Y378" s="1">
        <v>95</v>
      </c>
      <c r="Z378" s="1">
        <v>90</v>
      </c>
      <c r="AA378" s="1">
        <v>122</v>
      </c>
      <c r="AB378" s="1">
        <v>15</v>
      </c>
      <c r="AC378" s="1">
        <v>40</v>
      </c>
      <c r="AD378" s="1">
        <v>4</v>
      </c>
      <c r="AE378" s="1">
        <v>108</v>
      </c>
      <c r="AF378" s="1">
        <v>100</v>
      </c>
      <c r="AG378" s="1">
        <v>116801</v>
      </c>
      <c r="AH378" s="1">
        <v>0</v>
      </c>
      <c r="AI378" s="1">
        <v>116806</v>
      </c>
      <c r="AJ378" s="1" t="s">
        <v>1453</v>
      </c>
      <c r="AK378" s="1" t="s">
        <v>1454</v>
      </c>
      <c r="AL378" s="1">
        <v>8</v>
      </c>
      <c r="AM378" s="1" t="s">
        <v>4802</v>
      </c>
      <c r="AN378" s="1" t="s">
        <v>4814</v>
      </c>
      <c r="AO378" s="1" t="s">
        <v>5353</v>
      </c>
      <c r="AP378" s="1">
        <v>0</v>
      </c>
      <c r="AQ378" s="1" t="s">
        <v>1252</v>
      </c>
      <c r="AR378" s="1" t="s">
        <v>1253</v>
      </c>
      <c r="AS378" s="1" t="s">
        <v>5148</v>
      </c>
      <c r="AT378" s="1" t="s">
        <v>330</v>
      </c>
      <c r="AU378" s="1">
        <v>238</v>
      </c>
      <c r="AV378" s="1">
        <v>1</v>
      </c>
      <c r="AW378" s="1" t="s">
        <v>5498</v>
      </c>
      <c r="AX378" s="1" t="s">
        <v>5501</v>
      </c>
      <c r="AY378" s="1">
        <v>7</v>
      </c>
      <c r="AZ378" s="1">
        <v>0</v>
      </c>
      <c r="BA378" s="1" t="s">
        <v>330</v>
      </c>
      <c r="BB378" s="1" t="s">
        <v>330</v>
      </c>
      <c r="BC378" s="1" t="s">
        <v>5472</v>
      </c>
      <c r="BD378" s="1">
        <v>0</v>
      </c>
      <c r="BE378" s="1"/>
    </row>
    <row r="379" spans="1:57" x14ac:dyDescent="0.25">
      <c r="A379" s="1">
        <v>20001</v>
      </c>
      <c r="B379" s="1" t="s">
        <v>4312</v>
      </c>
      <c r="C379" s="9" t="s">
        <v>268</v>
      </c>
      <c r="D379" s="1" t="s">
        <v>4313</v>
      </c>
      <c r="E379" s="1"/>
      <c r="F379" s="1"/>
      <c r="G379" s="1" t="s">
        <v>4314</v>
      </c>
      <c r="H379" s="1" t="s">
        <v>4315</v>
      </c>
      <c r="I379" s="1" t="s">
        <v>4316</v>
      </c>
      <c r="J379" s="1">
        <v>1</v>
      </c>
      <c r="K379" s="1">
        <v>5</v>
      </c>
      <c r="L379" s="1">
        <v>3000</v>
      </c>
      <c r="M379" s="1">
        <v>10</v>
      </c>
      <c r="N379" s="1">
        <v>10</v>
      </c>
      <c r="O379" s="1">
        <v>5</v>
      </c>
      <c r="P379" s="1">
        <v>5</v>
      </c>
      <c r="Q379" s="1">
        <v>2</v>
      </c>
      <c r="R379" s="1">
        <v>2</v>
      </c>
      <c r="S379" s="1">
        <v>2</v>
      </c>
      <c r="T379" s="1">
        <v>0</v>
      </c>
      <c r="U379" s="1">
        <v>122</v>
      </c>
      <c r="V379" s="1">
        <v>125</v>
      </c>
      <c r="W379" s="1">
        <v>89</v>
      </c>
      <c r="X379" s="1">
        <v>100</v>
      </c>
      <c r="Y379" s="1">
        <v>90</v>
      </c>
      <c r="Z379" s="1">
        <v>95</v>
      </c>
      <c r="AA379" s="1">
        <v>0</v>
      </c>
      <c r="AB379" s="1">
        <v>15</v>
      </c>
      <c r="AC379" s="1">
        <v>20</v>
      </c>
      <c r="AD379" s="1">
        <v>0</v>
      </c>
      <c r="AE379" s="1">
        <v>130</v>
      </c>
      <c r="AF379" s="1">
        <v>95</v>
      </c>
      <c r="AG379" s="1">
        <v>801702</v>
      </c>
      <c r="AH379" s="1">
        <v>801701</v>
      </c>
      <c r="AI379" s="1">
        <v>300115</v>
      </c>
      <c r="AJ379" s="1" t="s">
        <v>330</v>
      </c>
      <c r="AK379" s="1" t="s">
        <v>330</v>
      </c>
      <c r="AL379" s="1">
        <v>13</v>
      </c>
      <c r="AM379" s="1" t="s">
        <v>1891</v>
      </c>
      <c r="AN379" s="1" t="s">
        <v>4826</v>
      </c>
      <c r="AO379" s="1" t="s">
        <v>5152</v>
      </c>
      <c r="AP379" s="1">
        <v>0</v>
      </c>
      <c r="AQ379" s="1" t="s">
        <v>4828</v>
      </c>
      <c r="AR379" s="1" t="s">
        <v>1171</v>
      </c>
      <c r="AS379" s="1" t="s">
        <v>1172</v>
      </c>
      <c r="AT379" s="1" t="s">
        <v>330</v>
      </c>
      <c r="AU379" s="1">
        <v>1</v>
      </c>
      <c r="AV379" s="1">
        <v>0</v>
      </c>
      <c r="AW379" s="1" t="s">
        <v>4577</v>
      </c>
      <c r="AX379" s="1" t="s">
        <v>5502</v>
      </c>
      <c r="AY379" s="1">
        <v>5</v>
      </c>
      <c r="AZ379" s="1">
        <v>3001</v>
      </c>
      <c r="BA379" s="1" t="s">
        <v>330</v>
      </c>
      <c r="BB379" s="1" t="s">
        <v>372</v>
      </c>
      <c r="BC379" s="1" t="s">
        <v>4806</v>
      </c>
      <c r="BD379" s="1">
        <v>0</v>
      </c>
      <c r="BE379" s="1"/>
    </row>
    <row r="380" spans="1:57" x14ac:dyDescent="0.25">
      <c r="A380" s="1">
        <v>20002</v>
      </c>
      <c r="B380" s="1" t="s">
        <v>4317</v>
      </c>
      <c r="C380" s="9" t="s">
        <v>254</v>
      </c>
      <c r="D380" s="1" t="s">
        <v>254</v>
      </c>
      <c r="E380" s="1"/>
      <c r="F380" s="1"/>
      <c r="G380" s="1" t="s">
        <v>4318</v>
      </c>
      <c r="H380" s="1" t="s">
        <v>4319</v>
      </c>
      <c r="I380" s="1" t="s">
        <v>4320</v>
      </c>
      <c r="J380" s="1">
        <v>1</v>
      </c>
      <c r="K380" s="1">
        <v>4</v>
      </c>
      <c r="L380" s="1">
        <v>1200</v>
      </c>
      <c r="M380" s="1">
        <v>10</v>
      </c>
      <c r="N380" s="1">
        <v>10</v>
      </c>
      <c r="O380" s="1">
        <v>5</v>
      </c>
      <c r="P380" s="1">
        <v>5</v>
      </c>
      <c r="Q380" s="1">
        <v>2</v>
      </c>
      <c r="R380" s="1">
        <v>2</v>
      </c>
      <c r="S380" s="1">
        <v>2</v>
      </c>
      <c r="T380" s="1">
        <v>0</v>
      </c>
      <c r="U380" s="1">
        <v>110</v>
      </c>
      <c r="V380" s="1">
        <v>100</v>
      </c>
      <c r="W380" s="1">
        <v>106</v>
      </c>
      <c r="X380" s="1">
        <v>100</v>
      </c>
      <c r="Y380" s="1">
        <v>100</v>
      </c>
      <c r="Z380" s="1">
        <v>100</v>
      </c>
      <c r="AA380" s="1">
        <v>0</v>
      </c>
      <c r="AB380" s="1">
        <v>15</v>
      </c>
      <c r="AC380" s="1">
        <v>20</v>
      </c>
      <c r="AD380" s="1">
        <v>0</v>
      </c>
      <c r="AE380" s="1">
        <v>120</v>
      </c>
      <c r="AF380" s="1">
        <v>105</v>
      </c>
      <c r="AG380" s="1">
        <v>800101</v>
      </c>
      <c r="AH380" s="1">
        <v>800102</v>
      </c>
      <c r="AI380" s="1">
        <v>300101</v>
      </c>
      <c r="AJ380" s="1" t="s">
        <v>1216</v>
      </c>
      <c r="AK380" s="1" t="s">
        <v>1456</v>
      </c>
      <c r="AL380" s="1">
        <v>13</v>
      </c>
      <c r="AM380" s="1" t="s">
        <v>1891</v>
      </c>
      <c r="AN380" s="1" t="s">
        <v>4826</v>
      </c>
      <c r="AO380" s="1" t="s">
        <v>5503</v>
      </c>
      <c r="AP380" s="1">
        <v>0</v>
      </c>
      <c r="AQ380" s="1" t="s">
        <v>1170</v>
      </c>
      <c r="AR380" s="1" t="s">
        <v>1796</v>
      </c>
      <c r="AS380" s="1" t="s">
        <v>1172</v>
      </c>
      <c r="AT380" s="1" t="s">
        <v>330</v>
      </c>
      <c r="AU380" s="1">
        <v>2</v>
      </c>
      <c r="AV380" s="1">
        <v>0</v>
      </c>
      <c r="AW380" s="1" t="s">
        <v>4577</v>
      </c>
      <c r="AX380" s="1" t="s">
        <v>5502</v>
      </c>
      <c r="AY380" s="1">
        <v>4</v>
      </c>
      <c r="AZ380" s="1">
        <v>3002</v>
      </c>
      <c r="BA380" s="1" t="s">
        <v>330</v>
      </c>
      <c r="BB380" s="1" t="s">
        <v>4832</v>
      </c>
      <c r="BC380" s="1" t="s">
        <v>4806</v>
      </c>
      <c r="BD380" s="1">
        <v>0</v>
      </c>
      <c r="BE380" s="1"/>
    </row>
    <row r="381" spans="1:57" x14ac:dyDescent="0.25">
      <c r="A381" s="1">
        <v>20005</v>
      </c>
      <c r="B381" s="1" t="s">
        <v>4321</v>
      </c>
      <c r="C381" s="9" t="s">
        <v>793</v>
      </c>
      <c r="D381" s="1" t="s">
        <v>793</v>
      </c>
      <c r="E381" s="1"/>
      <c r="F381" s="1"/>
      <c r="G381" s="1" t="s">
        <v>4322</v>
      </c>
      <c r="H381" s="1" t="s">
        <v>4323</v>
      </c>
      <c r="I381" s="1" t="s">
        <v>4324</v>
      </c>
      <c r="J381" s="1">
        <v>1</v>
      </c>
      <c r="K381" s="1">
        <v>4</v>
      </c>
      <c r="L381" s="1">
        <v>1200</v>
      </c>
      <c r="M381" s="1">
        <v>10</v>
      </c>
      <c r="N381" s="1">
        <v>10</v>
      </c>
      <c r="O381" s="1">
        <v>5</v>
      </c>
      <c r="P381" s="1">
        <v>5</v>
      </c>
      <c r="Q381" s="1">
        <v>2</v>
      </c>
      <c r="R381" s="1">
        <v>2</v>
      </c>
      <c r="S381" s="1">
        <v>2</v>
      </c>
      <c r="T381" s="1">
        <v>0</v>
      </c>
      <c r="U381" s="1">
        <v>105</v>
      </c>
      <c r="V381" s="1">
        <v>115</v>
      </c>
      <c r="W381" s="1">
        <v>80</v>
      </c>
      <c r="X381" s="1">
        <v>100</v>
      </c>
      <c r="Y381" s="1">
        <v>85</v>
      </c>
      <c r="Z381" s="1">
        <v>120</v>
      </c>
      <c r="AA381" s="1">
        <v>0</v>
      </c>
      <c r="AB381" s="1">
        <v>15</v>
      </c>
      <c r="AC381" s="1">
        <v>20</v>
      </c>
      <c r="AD381" s="1">
        <v>0</v>
      </c>
      <c r="AE381" s="1">
        <v>130</v>
      </c>
      <c r="AF381" s="1">
        <v>80</v>
      </c>
      <c r="AG381" s="1">
        <v>800505</v>
      </c>
      <c r="AH381" s="1">
        <v>800504</v>
      </c>
      <c r="AI381" s="1">
        <v>800503</v>
      </c>
      <c r="AJ381" s="1" t="s">
        <v>1457</v>
      </c>
      <c r="AK381" s="1" t="s">
        <v>330</v>
      </c>
      <c r="AL381" s="1">
        <v>13</v>
      </c>
      <c r="AM381" s="1" t="s">
        <v>1891</v>
      </c>
      <c r="AN381" s="1" t="s">
        <v>4840</v>
      </c>
      <c r="AO381" s="1" t="s">
        <v>5504</v>
      </c>
      <c r="AP381" s="1">
        <v>0</v>
      </c>
      <c r="AQ381" s="1" t="s">
        <v>4828</v>
      </c>
      <c r="AR381" s="1" t="s">
        <v>1171</v>
      </c>
      <c r="AS381" s="1" t="s">
        <v>1172</v>
      </c>
      <c r="AT381" s="1" t="s">
        <v>330</v>
      </c>
      <c r="AU381" s="1">
        <v>5</v>
      </c>
      <c r="AV381" s="1">
        <v>0</v>
      </c>
      <c r="AW381" s="1" t="s">
        <v>4577</v>
      </c>
      <c r="AX381" s="1" t="s">
        <v>5502</v>
      </c>
      <c r="AY381" s="1">
        <v>4</v>
      </c>
      <c r="AZ381" s="1">
        <v>3005</v>
      </c>
      <c r="BA381" s="1" t="s">
        <v>330</v>
      </c>
      <c r="BB381" s="1" t="s">
        <v>4842</v>
      </c>
      <c r="BC381" s="1" t="s">
        <v>4843</v>
      </c>
      <c r="BD381" s="1">
        <v>0</v>
      </c>
      <c r="BE381" s="1"/>
    </row>
    <row r="382" spans="1:57" x14ac:dyDescent="0.25">
      <c r="A382" s="1">
        <v>20007</v>
      </c>
      <c r="B382" s="1" t="s">
        <v>4325</v>
      </c>
      <c r="C382" s="9" t="s">
        <v>746</v>
      </c>
      <c r="D382" s="1" t="s">
        <v>4326</v>
      </c>
      <c r="E382" s="1"/>
      <c r="F382" s="1"/>
      <c r="G382" s="1" t="s">
        <v>4327</v>
      </c>
      <c r="H382" s="1" t="s">
        <v>4328</v>
      </c>
      <c r="I382" s="1" t="s">
        <v>4329</v>
      </c>
      <c r="J382" s="1">
        <v>1</v>
      </c>
      <c r="K382" s="1">
        <v>5</v>
      </c>
      <c r="L382" s="1">
        <v>3300</v>
      </c>
      <c r="M382" s="1">
        <v>10</v>
      </c>
      <c r="N382" s="1">
        <v>10</v>
      </c>
      <c r="O382" s="1">
        <v>5</v>
      </c>
      <c r="P382" s="1">
        <v>5</v>
      </c>
      <c r="Q382" s="1">
        <v>2</v>
      </c>
      <c r="R382" s="1">
        <v>2</v>
      </c>
      <c r="S382" s="1">
        <v>2</v>
      </c>
      <c r="T382" s="1">
        <v>0</v>
      </c>
      <c r="U382" s="1">
        <v>125</v>
      </c>
      <c r="V382" s="1">
        <v>115</v>
      </c>
      <c r="W382" s="1">
        <v>125</v>
      </c>
      <c r="X382" s="1">
        <v>100</v>
      </c>
      <c r="Y382" s="1">
        <v>105</v>
      </c>
      <c r="Z382" s="1">
        <v>95</v>
      </c>
      <c r="AA382" s="1">
        <v>0</v>
      </c>
      <c r="AB382" s="1">
        <v>15</v>
      </c>
      <c r="AC382" s="1">
        <v>20</v>
      </c>
      <c r="AD382" s="1">
        <v>0</v>
      </c>
      <c r="AE382" s="1">
        <v>110</v>
      </c>
      <c r="AF382" s="1">
        <v>100</v>
      </c>
      <c r="AG382" s="1">
        <v>900270</v>
      </c>
      <c r="AH382" s="1">
        <v>900274</v>
      </c>
      <c r="AI382" s="1">
        <v>900271</v>
      </c>
      <c r="AJ382" s="1" t="s">
        <v>330</v>
      </c>
      <c r="AK382" s="1" t="s">
        <v>1458</v>
      </c>
      <c r="AL382" s="1">
        <v>13</v>
      </c>
      <c r="AM382" s="1" t="s">
        <v>1891</v>
      </c>
      <c r="AN382" s="1" t="s">
        <v>4833</v>
      </c>
      <c r="AO382" s="1" t="s">
        <v>5505</v>
      </c>
      <c r="AP382" s="1">
        <v>0</v>
      </c>
      <c r="AQ382" s="1" t="s">
        <v>4828</v>
      </c>
      <c r="AR382" s="1" t="s">
        <v>1171</v>
      </c>
      <c r="AS382" s="1" t="s">
        <v>4847</v>
      </c>
      <c r="AT382" s="1" t="s">
        <v>330</v>
      </c>
      <c r="AU382" s="1">
        <v>7</v>
      </c>
      <c r="AV382" s="1">
        <v>0</v>
      </c>
      <c r="AW382" s="1" t="s">
        <v>4577</v>
      </c>
      <c r="AX382" s="1" t="s">
        <v>5502</v>
      </c>
      <c r="AY382" s="1">
        <v>5</v>
      </c>
      <c r="AZ382" s="1">
        <v>3007</v>
      </c>
      <c r="BA382" s="1" t="s">
        <v>330</v>
      </c>
      <c r="BB382" s="1" t="s">
        <v>486</v>
      </c>
      <c r="BC382" s="1" t="s">
        <v>4843</v>
      </c>
      <c r="BD382" s="1">
        <v>0</v>
      </c>
      <c r="BE382" s="1"/>
    </row>
    <row r="383" spans="1:57" x14ac:dyDescent="0.25">
      <c r="A383" s="1">
        <v>20008</v>
      </c>
      <c r="B383" s="1" t="s">
        <v>4330</v>
      </c>
      <c r="C383" s="9" t="s">
        <v>956</v>
      </c>
      <c r="D383" s="1" t="s">
        <v>4331</v>
      </c>
      <c r="E383" s="1"/>
      <c r="F383" s="1"/>
      <c r="G383" s="1" t="s">
        <v>4332</v>
      </c>
      <c r="H383" s="1" t="s">
        <v>4333</v>
      </c>
      <c r="I383" s="1" t="s">
        <v>4334</v>
      </c>
      <c r="J383" s="1">
        <v>1</v>
      </c>
      <c r="K383" s="1">
        <v>4</v>
      </c>
      <c r="L383" s="1">
        <v>2400</v>
      </c>
      <c r="M383" s="1">
        <v>10</v>
      </c>
      <c r="N383" s="1">
        <v>10</v>
      </c>
      <c r="O383" s="1">
        <v>5</v>
      </c>
      <c r="P383" s="1">
        <v>5</v>
      </c>
      <c r="Q383" s="1">
        <v>2</v>
      </c>
      <c r="R383" s="1">
        <v>2</v>
      </c>
      <c r="S383" s="1">
        <v>2</v>
      </c>
      <c r="T383" s="1">
        <v>0</v>
      </c>
      <c r="U383" s="1">
        <v>100</v>
      </c>
      <c r="V383" s="1">
        <v>97</v>
      </c>
      <c r="W383" s="1">
        <v>110</v>
      </c>
      <c r="X383" s="1">
        <v>100</v>
      </c>
      <c r="Y383" s="1">
        <v>115</v>
      </c>
      <c r="Z383" s="1">
        <v>125</v>
      </c>
      <c r="AA383" s="1">
        <v>0</v>
      </c>
      <c r="AB383" s="1">
        <v>15</v>
      </c>
      <c r="AC383" s="1">
        <v>20</v>
      </c>
      <c r="AD383" s="1">
        <v>0</v>
      </c>
      <c r="AE383" s="1">
        <v>130</v>
      </c>
      <c r="AF383" s="1">
        <v>100</v>
      </c>
      <c r="AG383" s="1">
        <v>803601</v>
      </c>
      <c r="AH383" s="1">
        <v>803604</v>
      </c>
      <c r="AI383" s="1">
        <v>300115</v>
      </c>
      <c r="AJ383" s="1" t="s">
        <v>1459</v>
      </c>
      <c r="AK383" s="1" t="s">
        <v>1460</v>
      </c>
      <c r="AL383" s="1">
        <v>13</v>
      </c>
      <c r="AM383" s="1" t="s">
        <v>1891</v>
      </c>
      <c r="AN383" s="1" t="s">
        <v>5506</v>
      </c>
      <c r="AO383" s="1" t="s">
        <v>5507</v>
      </c>
      <c r="AP383" s="1">
        <v>0</v>
      </c>
      <c r="AQ383" s="1" t="s">
        <v>4828</v>
      </c>
      <c r="AR383" s="1" t="s">
        <v>1796</v>
      </c>
      <c r="AS383" s="1" t="s">
        <v>1172</v>
      </c>
      <c r="AT383" s="1" t="s">
        <v>330</v>
      </c>
      <c r="AU383" s="1">
        <v>8</v>
      </c>
      <c r="AV383" s="1">
        <v>0</v>
      </c>
      <c r="AW383" s="1" t="s">
        <v>4577</v>
      </c>
      <c r="AX383" s="1" t="s">
        <v>5502</v>
      </c>
      <c r="AY383" s="1">
        <v>4</v>
      </c>
      <c r="AZ383" s="1">
        <v>3008</v>
      </c>
      <c r="BA383" s="1" t="s">
        <v>330</v>
      </c>
      <c r="BB383" s="1" t="s">
        <v>4852</v>
      </c>
      <c r="BC383" s="1" t="s">
        <v>4843</v>
      </c>
      <c r="BD383" s="1">
        <v>0</v>
      </c>
      <c r="BE383" s="1"/>
    </row>
    <row r="384" spans="1:57" x14ac:dyDescent="0.25">
      <c r="A384" s="1">
        <v>20012</v>
      </c>
      <c r="B384" s="1" t="s">
        <v>4335</v>
      </c>
      <c r="C384" s="9" t="s">
        <v>752</v>
      </c>
      <c r="D384" s="1" t="s">
        <v>752</v>
      </c>
      <c r="E384" s="1"/>
      <c r="F384" s="1"/>
      <c r="G384" s="1" t="s">
        <v>4336</v>
      </c>
      <c r="H384" s="1" t="s">
        <v>4337</v>
      </c>
      <c r="I384" s="1" t="s">
        <v>4338</v>
      </c>
      <c r="J384" s="1">
        <v>1</v>
      </c>
      <c r="K384" s="1">
        <v>4</v>
      </c>
      <c r="L384" s="1">
        <v>1800</v>
      </c>
      <c r="M384" s="1">
        <v>10</v>
      </c>
      <c r="N384" s="1">
        <v>10</v>
      </c>
      <c r="O384" s="1">
        <v>5</v>
      </c>
      <c r="P384" s="1">
        <v>5</v>
      </c>
      <c r="Q384" s="1">
        <v>2</v>
      </c>
      <c r="R384" s="1">
        <v>2</v>
      </c>
      <c r="S384" s="1">
        <v>2</v>
      </c>
      <c r="T384" s="1">
        <v>0</v>
      </c>
      <c r="U384" s="1">
        <v>125</v>
      </c>
      <c r="V384" s="1">
        <v>118</v>
      </c>
      <c r="W384" s="1">
        <v>120</v>
      </c>
      <c r="X384" s="1">
        <v>100</v>
      </c>
      <c r="Y384" s="1">
        <v>108</v>
      </c>
      <c r="Z384" s="1">
        <v>100</v>
      </c>
      <c r="AA384" s="1">
        <v>0</v>
      </c>
      <c r="AB384" s="1">
        <v>15</v>
      </c>
      <c r="AC384" s="1">
        <v>20</v>
      </c>
      <c r="AD384" s="1">
        <v>0</v>
      </c>
      <c r="AE384" s="1">
        <v>108</v>
      </c>
      <c r="AF384" s="1">
        <v>135</v>
      </c>
      <c r="AG384" s="1">
        <v>900268</v>
      </c>
      <c r="AH384" s="1">
        <v>900269</v>
      </c>
      <c r="AI384" s="1">
        <v>300101</v>
      </c>
      <c r="AJ384" s="1" t="s">
        <v>330</v>
      </c>
      <c r="AK384" s="1" t="s">
        <v>330</v>
      </c>
      <c r="AL384" s="1">
        <v>13</v>
      </c>
      <c r="AM384" s="1" t="s">
        <v>1891</v>
      </c>
      <c r="AN384" s="1" t="s">
        <v>4862</v>
      </c>
      <c r="AO384" s="1" t="s">
        <v>5508</v>
      </c>
      <c r="AP384" s="1">
        <v>0</v>
      </c>
      <c r="AQ384" s="1" t="s">
        <v>4828</v>
      </c>
      <c r="AR384" s="1" t="s">
        <v>1171</v>
      </c>
      <c r="AS384" s="1" t="s">
        <v>1172</v>
      </c>
      <c r="AT384" s="1" t="s">
        <v>330</v>
      </c>
      <c r="AU384" s="1">
        <v>12</v>
      </c>
      <c r="AV384" s="1">
        <v>0</v>
      </c>
      <c r="AW384" s="1" t="s">
        <v>4577</v>
      </c>
      <c r="AX384" s="1" t="s">
        <v>5502</v>
      </c>
      <c r="AY384" s="1">
        <v>4</v>
      </c>
      <c r="AZ384" s="1">
        <v>3012</v>
      </c>
      <c r="BA384" s="1" t="s">
        <v>330</v>
      </c>
      <c r="BB384" s="1" t="s">
        <v>4864</v>
      </c>
      <c r="BC384" s="1" t="s">
        <v>4855</v>
      </c>
      <c r="BD384" s="1">
        <v>0</v>
      </c>
      <c r="BE384" s="1"/>
    </row>
    <row r="385" spans="1:57" x14ac:dyDescent="0.25">
      <c r="A385" s="1">
        <v>20026</v>
      </c>
      <c r="B385" s="1" t="s">
        <v>4339</v>
      </c>
      <c r="C385" s="9" t="s">
        <v>1461</v>
      </c>
      <c r="D385" s="1" t="s">
        <v>1461</v>
      </c>
      <c r="E385" s="1"/>
      <c r="F385" s="1"/>
      <c r="G385" s="1" t="s">
        <v>4340</v>
      </c>
      <c r="H385" s="1" t="s">
        <v>4341</v>
      </c>
      <c r="I385" s="1" t="s">
        <v>4342</v>
      </c>
      <c r="J385" s="1">
        <v>2</v>
      </c>
      <c r="K385" s="1">
        <v>5</v>
      </c>
      <c r="L385" s="1">
        <v>8400</v>
      </c>
      <c r="M385" s="1">
        <v>25</v>
      </c>
      <c r="N385" s="1">
        <v>20</v>
      </c>
      <c r="O385" s="1">
        <v>15</v>
      </c>
      <c r="P385" s="1">
        <v>10</v>
      </c>
      <c r="Q385" s="1">
        <v>5</v>
      </c>
      <c r="R385" s="1">
        <v>5</v>
      </c>
      <c r="S385" s="1">
        <v>2</v>
      </c>
      <c r="T385" s="1">
        <v>0</v>
      </c>
      <c r="U385" s="1">
        <v>100</v>
      </c>
      <c r="V385" s="1">
        <v>120</v>
      </c>
      <c r="W385" s="1">
        <v>115</v>
      </c>
      <c r="X385" s="1">
        <v>100</v>
      </c>
      <c r="Y385" s="1">
        <v>115</v>
      </c>
      <c r="Z385" s="1">
        <v>115</v>
      </c>
      <c r="AA385" s="1">
        <v>0</v>
      </c>
      <c r="AB385" s="1">
        <v>15</v>
      </c>
      <c r="AC385" s="1">
        <v>5</v>
      </c>
      <c r="AD385" s="1">
        <v>0</v>
      </c>
      <c r="AE385" s="1">
        <v>105</v>
      </c>
      <c r="AF385" s="1">
        <v>120</v>
      </c>
      <c r="AG385" s="1">
        <v>802301</v>
      </c>
      <c r="AH385" s="1">
        <v>802303</v>
      </c>
      <c r="AI385" s="1">
        <v>300102</v>
      </c>
      <c r="AJ385" s="1" t="s">
        <v>1462</v>
      </c>
      <c r="AK385" s="1" t="s">
        <v>330</v>
      </c>
      <c r="AL385" s="1">
        <v>13</v>
      </c>
      <c r="AM385" s="1" t="s">
        <v>356</v>
      </c>
      <c r="AN385" s="1" t="s">
        <v>390</v>
      </c>
      <c r="AO385" s="1" t="s">
        <v>5509</v>
      </c>
      <c r="AP385" s="1">
        <v>0</v>
      </c>
      <c r="AQ385" s="1" t="s">
        <v>1797</v>
      </c>
      <c r="AR385" s="1" t="s">
        <v>1171</v>
      </c>
      <c r="AS385" s="1" t="s">
        <v>1798</v>
      </c>
      <c r="AT385" s="1" t="s">
        <v>330</v>
      </c>
      <c r="AU385" s="1">
        <v>26</v>
      </c>
      <c r="AV385" s="1">
        <v>0</v>
      </c>
      <c r="AW385" s="1" t="s">
        <v>4577</v>
      </c>
      <c r="AX385" s="1" t="s">
        <v>5502</v>
      </c>
      <c r="AY385" s="1">
        <v>5</v>
      </c>
      <c r="AZ385" s="1">
        <v>3026</v>
      </c>
      <c r="BA385" s="1" t="s">
        <v>330</v>
      </c>
      <c r="BB385" s="1" t="s">
        <v>4899</v>
      </c>
      <c r="BC385" s="1" t="s">
        <v>4855</v>
      </c>
      <c r="BD385" s="1">
        <v>0</v>
      </c>
      <c r="BE385" s="1"/>
    </row>
    <row r="386" spans="1:57" x14ac:dyDescent="0.25">
      <c r="A386" s="1">
        <v>20029</v>
      </c>
      <c r="B386" s="1" t="s">
        <v>4343</v>
      </c>
      <c r="C386" s="9" t="s">
        <v>837</v>
      </c>
      <c r="D386" s="1" t="s">
        <v>4344</v>
      </c>
      <c r="E386" s="1"/>
      <c r="F386" s="1"/>
      <c r="G386" s="1" t="s">
        <v>4345</v>
      </c>
      <c r="H386" s="1" t="s">
        <v>4346</v>
      </c>
      <c r="I386" s="1" t="s">
        <v>4347</v>
      </c>
      <c r="J386" s="1">
        <v>2</v>
      </c>
      <c r="K386" s="1">
        <v>4</v>
      </c>
      <c r="L386" s="1">
        <v>6000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108</v>
      </c>
      <c r="V386" s="1">
        <v>100</v>
      </c>
      <c r="W386" s="1">
        <v>105</v>
      </c>
      <c r="X386" s="1">
        <v>100</v>
      </c>
      <c r="Y386" s="1">
        <v>120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110</v>
      </c>
      <c r="AG386" s="1">
        <v>802001</v>
      </c>
      <c r="AH386" s="1">
        <v>802002</v>
      </c>
      <c r="AI386" s="1">
        <v>300102</v>
      </c>
      <c r="AJ386" s="1" t="s">
        <v>1463</v>
      </c>
      <c r="AK386" s="1" t="s">
        <v>330</v>
      </c>
      <c r="AL386" s="1">
        <v>13</v>
      </c>
      <c r="AM386" s="1" t="s">
        <v>4876</v>
      </c>
      <c r="AN386" s="1" t="s">
        <v>4881</v>
      </c>
      <c r="AO386" s="1" t="s">
        <v>5510</v>
      </c>
      <c r="AP386" s="1">
        <v>0</v>
      </c>
      <c r="AQ386" s="1" t="s">
        <v>1181</v>
      </c>
      <c r="AR386" s="1" t="s">
        <v>1171</v>
      </c>
      <c r="AS386" s="1" t="s">
        <v>1798</v>
      </c>
      <c r="AT386" s="1" t="s">
        <v>330</v>
      </c>
      <c r="AU386" s="1">
        <v>29</v>
      </c>
      <c r="AV386" s="1">
        <v>0</v>
      </c>
      <c r="AW386" s="1" t="s">
        <v>4577</v>
      </c>
      <c r="AX386" s="1" t="s">
        <v>5502</v>
      </c>
      <c r="AY386" s="1">
        <v>4</v>
      </c>
      <c r="AZ386" s="1">
        <v>3029</v>
      </c>
      <c r="BA386" s="1" t="s">
        <v>330</v>
      </c>
      <c r="BB386" s="1" t="s">
        <v>4908</v>
      </c>
      <c r="BC386" s="1" t="s">
        <v>330</v>
      </c>
      <c r="BD386" s="1">
        <v>0</v>
      </c>
      <c r="BE386" s="1"/>
    </row>
    <row r="387" spans="1:57" x14ac:dyDescent="0.25">
      <c r="A387" s="1">
        <v>20031</v>
      </c>
      <c r="B387" s="1" t="s">
        <v>4348</v>
      </c>
      <c r="C387" s="9" t="s">
        <v>720</v>
      </c>
      <c r="D387" s="1" t="s">
        <v>4349</v>
      </c>
      <c r="E387" s="1"/>
      <c r="F387" s="1"/>
      <c r="G387" s="1" t="s">
        <v>4350</v>
      </c>
      <c r="H387" s="1" t="s">
        <v>4351</v>
      </c>
      <c r="I387" s="1" t="s">
        <v>4352</v>
      </c>
      <c r="J387" s="1">
        <v>2</v>
      </c>
      <c r="K387" s="1">
        <v>4</v>
      </c>
      <c r="L387" s="1">
        <v>5400</v>
      </c>
      <c r="M387" s="1">
        <v>25</v>
      </c>
      <c r="N387" s="1">
        <v>20</v>
      </c>
      <c r="O387" s="1">
        <v>15</v>
      </c>
      <c r="P387" s="1">
        <v>10</v>
      </c>
      <c r="Q387" s="1">
        <v>5</v>
      </c>
      <c r="R387" s="1">
        <v>5</v>
      </c>
      <c r="S387" s="1">
        <v>2</v>
      </c>
      <c r="T387" s="1">
        <v>0</v>
      </c>
      <c r="U387" s="1">
        <v>120</v>
      </c>
      <c r="V387" s="1">
        <v>125</v>
      </c>
      <c r="W387" s="1">
        <v>100</v>
      </c>
      <c r="X387" s="1">
        <v>100</v>
      </c>
      <c r="Y387" s="1">
        <v>95</v>
      </c>
      <c r="Z387" s="1">
        <v>94</v>
      </c>
      <c r="AA387" s="1">
        <v>0</v>
      </c>
      <c r="AB387" s="1">
        <v>15</v>
      </c>
      <c r="AC387" s="1">
        <v>5</v>
      </c>
      <c r="AD387" s="1">
        <v>0</v>
      </c>
      <c r="AE387" s="1">
        <v>110</v>
      </c>
      <c r="AF387" s="1">
        <v>130</v>
      </c>
      <c r="AG387" s="1">
        <v>900266</v>
      </c>
      <c r="AH387" s="1">
        <v>900267</v>
      </c>
      <c r="AI387" s="1">
        <v>300102</v>
      </c>
      <c r="AJ387" s="1" t="s">
        <v>330</v>
      </c>
      <c r="AK387" s="1" t="s">
        <v>1189</v>
      </c>
      <c r="AL387" s="1">
        <v>13</v>
      </c>
      <c r="AM387" s="1" t="s">
        <v>356</v>
      </c>
      <c r="AN387" s="1" t="s">
        <v>390</v>
      </c>
      <c r="AO387" s="1" t="s">
        <v>5163</v>
      </c>
      <c r="AP387" s="1">
        <v>0</v>
      </c>
      <c r="AQ387" s="1" t="s">
        <v>1181</v>
      </c>
      <c r="AR387" s="1" t="s">
        <v>1171</v>
      </c>
      <c r="AS387" s="1" t="s">
        <v>1798</v>
      </c>
      <c r="AT387" s="1" t="s">
        <v>330</v>
      </c>
      <c r="AU387" s="1">
        <v>31</v>
      </c>
      <c r="AV387" s="1">
        <v>0</v>
      </c>
      <c r="AW387" s="1" t="s">
        <v>4577</v>
      </c>
      <c r="AX387" s="1" t="s">
        <v>5502</v>
      </c>
      <c r="AY387" s="1">
        <v>4</v>
      </c>
      <c r="AZ387" s="1">
        <v>3031</v>
      </c>
      <c r="BA387" s="1" t="s">
        <v>330</v>
      </c>
      <c r="BB387" s="1" t="s">
        <v>330</v>
      </c>
      <c r="BC387" s="1" t="s">
        <v>4825</v>
      </c>
      <c r="BD387" s="1">
        <v>0</v>
      </c>
      <c r="BE387" s="1"/>
    </row>
    <row r="388" spans="1:57" x14ac:dyDescent="0.25">
      <c r="A388" s="1">
        <v>20032</v>
      </c>
      <c r="B388" s="1" t="s">
        <v>4353</v>
      </c>
      <c r="C388" s="9" t="s">
        <v>255</v>
      </c>
      <c r="D388" s="1" t="s">
        <v>4354</v>
      </c>
      <c r="E388" s="1"/>
      <c r="F388" s="1"/>
      <c r="G388" s="1" t="s">
        <v>4355</v>
      </c>
      <c r="H388" s="1" t="s">
        <v>4356</v>
      </c>
      <c r="I388" s="1" t="s">
        <v>4357</v>
      </c>
      <c r="J388" s="1">
        <v>2</v>
      </c>
      <c r="K388" s="1">
        <v>4</v>
      </c>
      <c r="L388" s="1">
        <v>6000</v>
      </c>
      <c r="M388" s="1">
        <v>25</v>
      </c>
      <c r="N388" s="1">
        <v>20</v>
      </c>
      <c r="O388" s="1">
        <v>15</v>
      </c>
      <c r="P388" s="1">
        <v>10</v>
      </c>
      <c r="Q388" s="1">
        <v>5</v>
      </c>
      <c r="R388" s="1">
        <v>5</v>
      </c>
      <c r="S388" s="1">
        <v>2</v>
      </c>
      <c r="T388" s="1">
        <v>0</v>
      </c>
      <c r="U388" s="1">
        <v>98</v>
      </c>
      <c r="V388" s="1">
        <v>93</v>
      </c>
      <c r="W388" s="1">
        <v>130</v>
      </c>
      <c r="X388" s="1">
        <v>100</v>
      </c>
      <c r="Y388" s="1">
        <v>95</v>
      </c>
      <c r="Z388" s="1">
        <v>125</v>
      </c>
      <c r="AA388" s="1">
        <v>0</v>
      </c>
      <c r="AB388" s="1">
        <v>15</v>
      </c>
      <c r="AC388" s="1">
        <v>5</v>
      </c>
      <c r="AD388" s="1">
        <v>0</v>
      </c>
      <c r="AE388" s="1">
        <v>115</v>
      </c>
      <c r="AF388" s="1">
        <v>110</v>
      </c>
      <c r="AG388" s="1">
        <v>802701</v>
      </c>
      <c r="AH388" s="1">
        <v>802710</v>
      </c>
      <c r="AI388" s="1">
        <v>300102</v>
      </c>
      <c r="AJ388" s="1" t="s">
        <v>1216</v>
      </c>
      <c r="AK388" s="1" t="s">
        <v>1464</v>
      </c>
      <c r="AL388" s="1">
        <v>13</v>
      </c>
      <c r="AM388" s="1" t="s">
        <v>4876</v>
      </c>
      <c r="AN388" s="1" t="s">
        <v>5511</v>
      </c>
      <c r="AO388" s="1" t="s">
        <v>5512</v>
      </c>
      <c r="AP388" s="1">
        <v>0</v>
      </c>
      <c r="AQ388" s="1" t="s">
        <v>1181</v>
      </c>
      <c r="AR388" s="1" t="s">
        <v>1171</v>
      </c>
      <c r="AS388" s="1" t="s">
        <v>1798</v>
      </c>
      <c r="AT388" s="1" t="s">
        <v>330</v>
      </c>
      <c r="AU388" s="1">
        <v>32</v>
      </c>
      <c r="AV388" s="1">
        <v>0</v>
      </c>
      <c r="AW388" s="1" t="s">
        <v>4577</v>
      </c>
      <c r="AX388" s="1" t="s">
        <v>5502</v>
      </c>
      <c r="AY388" s="1">
        <v>4</v>
      </c>
      <c r="AZ388" s="1">
        <v>3032</v>
      </c>
      <c r="BA388" s="1" t="s">
        <v>330</v>
      </c>
      <c r="BB388" s="1" t="s">
        <v>372</v>
      </c>
      <c r="BC388" s="1" t="s">
        <v>330</v>
      </c>
      <c r="BD388" s="1">
        <v>0</v>
      </c>
      <c r="BE388" s="1"/>
    </row>
    <row r="389" spans="1:57" x14ac:dyDescent="0.25">
      <c r="A389" s="1">
        <v>20037</v>
      </c>
      <c r="B389" s="1" t="s">
        <v>4358</v>
      </c>
      <c r="C389" s="9" t="s">
        <v>256</v>
      </c>
      <c r="D389" s="1" t="s">
        <v>256</v>
      </c>
      <c r="E389" s="1"/>
      <c r="F389" s="1"/>
      <c r="G389" s="1" t="s">
        <v>4359</v>
      </c>
      <c r="H389" s="1" t="s">
        <v>4360</v>
      </c>
      <c r="I389" s="1" t="s">
        <v>4361</v>
      </c>
      <c r="J389" s="1">
        <v>3</v>
      </c>
      <c r="K389" s="1">
        <v>4</v>
      </c>
      <c r="L389" s="1">
        <v>13200</v>
      </c>
      <c r="M389" s="1">
        <v>15</v>
      </c>
      <c r="N389" s="1">
        <v>30</v>
      </c>
      <c r="O389" s="1">
        <v>10</v>
      </c>
      <c r="P389" s="1">
        <v>15</v>
      </c>
      <c r="Q389" s="1">
        <v>5</v>
      </c>
      <c r="R389" s="1">
        <v>2</v>
      </c>
      <c r="S389" s="1">
        <v>5</v>
      </c>
      <c r="T389" s="1">
        <v>0</v>
      </c>
      <c r="U389" s="1">
        <v>95</v>
      </c>
      <c r="V389" s="1">
        <v>105</v>
      </c>
      <c r="W389" s="1">
        <v>130</v>
      </c>
      <c r="X389" s="1">
        <v>100</v>
      </c>
      <c r="Y389" s="1">
        <v>115</v>
      </c>
      <c r="Z389" s="1">
        <v>85</v>
      </c>
      <c r="AA389" s="1">
        <v>0</v>
      </c>
      <c r="AB389" s="1">
        <v>15</v>
      </c>
      <c r="AC389" s="1">
        <v>40</v>
      </c>
      <c r="AD389" s="1">
        <v>0</v>
      </c>
      <c r="AE389" s="1">
        <v>110</v>
      </c>
      <c r="AF389" s="1">
        <v>90</v>
      </c>
      <c r="AG389" s="1">
        <v>801901</v>
      </c>
      <c r="AH389" s="1">
        <v>801902</v>
      </c>
      <c r="AI389" s="1">
        <v>300104</v>
      </c>
      <c r="AJ389" s="1" t="s">
        <v>330</v>
      </c>
      <c r="AK389" s="1" t="s">
        <v>330</v>
      </c>
      <c r="AL389" s="1">
        <v>13</v>
      </c>
      <c r="AM389" s="1" t="s">
        <v>4848</v>
      </c>
      <c r="AN389" s="1" t="s">
        <v>4920</v>
      </c>
      <c r="AO389" s="1" t="s">
        <v>4918</v>
      </c>
      <c r="AP389" s="1">
        <v>0</v>
      </c>
      <c r="AQ389" s="1" t="s">
        <v>1192</v>
      </c>
      <c r="AR389" s="1" t="s">
        <v>4921</v>
      </c>
      <c r="AS389" s="1" t="s">
        <v>1194</v>
      </c>
      <c r="AT389" s="1" t="s">
        <v>330</v>
      </c>
      <c r="AU389" s="1">
        <v>37</v>
      </c>
      <c r="AV389" s="1">
        <v>0</v>
      </c>
      <c r="AW389" s="1" t="s">
        <v>4577</v>
      </c>
      <c r="AX389" s="1" t="s">
        <v>5502</v>
      </c>
      <c r="AY389" s="1">
        <v>4</v>
      </c>
      <c r="AZ389" s="1">
        <v>3037</v>
      </c>
      <c r="BA389" s="1" t="s">
        <v>330</v>
      </c>
      <c r="BB389" s="1" t="s">
        <v>4922</v>
      </c>
      <c r="BC389" s="1" t="s">
        <v>4806</v>
      </c>
      <c r="BD389" s="1">
        <v>0</v>
      </c>
      <c r="BE389" s="1"/>
    </row>
    <row r="390" spans="1:57" x14ac:dyDescent="0.25">
      <c r="A390" s="1">
        <v>20039</v>
      </c>
      <c r="B390" s="1" t="s">
        <v>4362</v>
      </c>
      <c r="C390" s="9" t="s">
        <v>1732</v>
      </c>
      <c r="D390" s="1" t="s">
        <v>4363</v>
      </c>
      <c r="E390" s="1"/>
      <c r="F390" s="1"/>
      <c r="G390" s="1" t="s">
        <v>4364</v>
      </c>
      <c r="H390" s="1" t="s">
        <v>4365</v>
      </c>
      <c r="I390" s="1" t="s">
        <v>4366</v>
      </c>
      <c r="J390" s="1">
        <v>3</v>
      </c>
      <c r="K390" s="1">
        <v>5</v>
      </c>
      <c r="L390" s="1">
        <v>15000</v>
      </c>
      <c r="M390" s="1">
        <v>15</v>
      </c>
      <c r="N390" s="1">
        <v>30</v>
      </c>
      <c r="O390" s="1">
        <v>10</v>
      </c>
      <c r="P390" s="1">
        <v>15</v>
      </c>
      <c r="Q390" s="1">
        <v>5</v>
      </c>
      <c r="R390" s="1">
        <v>2</v>
      </c>
      <c r="S390" s="1">
        <v>5</v>
      </c>
      <c r="T390" s="1">
        <v>0</v>
      </c>
      <c r="U390" s="1">
        <v>100</v>
      </c>
      <c r="V390" s="1">
        <v>115</v>
      </c>
      <c r="W390" s="1">
        <v>85</v>
      </c>
      <c r="X390" s="1">
        <v>100</v>
      </c>
      <c r="Y390" s="1">
        <v>120</v>
      </c>
      <c r="Z390" s="1">
        <v>105</v>
      </c>
      <c r="AA390" s="1">
        <v>0</v>
      </c>
      <c r="AB390" s="1">
        <v>15</v>
      </c>
      <c r="AC390" s="1">
        <v>40</v>
      </c>
      <c r="AD390" s="1">
        <v>0</v>
      </c>
      <c r="AE390" s="1">
        <v>130</v>
      </c>
      <c r="AF390" s="1">
        <v>100</v>
      </c>
      <c r="AG390" s="1">
        <v>800605</v>
      </c>
      <c r="AH390" s="1">
        <v>800602</v>
      </c>
      <c r="AI390" s="1">
        <v>800601</v>
      </c>
      <c r="AJ390" s="1" t="s">
        <v>1197</v>
      </c>
      <c r="AK390" s="1" t="s">
        <v>1465</v>
      </c>
      <c r="AL390" s="1">
        <v>13</v>
      </c>
      <c r="AM390" s="1" t="s">
        <v>4848</v>
      </c>
      <c r="AN390" s="1" t="s">
        <v>4896</v>
      </c>
      <c r="AO390" s="1" t="s">
        <v>4931</v>
      </c>
      <c r="AP390" s="1">
        <v>0</v>
      </c>
      <c r="AQ390" s="1" t="s">
        <v>1192</v>
      </c>
      <c r="AR390" s="1" t="s">
        <v>4921</v>
      </c>
      <c r="AS390" s="1" t="s">
        <v>4925</v>
      </c>
      <c r="AT390" s="1" t="s">
        <v>330</v>
      </c>
      <c r="AU390" s="1">
        <v>39</v>
      </c>
      <c r="AV390" s="1">
        <v>0</v>
      </c>
      <c r="AW390" s="1" t="s">
        <v>4577</v>
      </c>
      <c r="AX390" s="1" t="s">
        <v>5502</v>
      </c>
      <c r="AY390" s="1">
        <v>5</v>
      </c>
      <c r="AZ390" s="1">
        <v>3039</v>
      </c>
      <c r="BA390" s="1" t="s">
        <v>330</v>
      </c>
      <c r="BB390" s="1" t="s">
        <v>4926</v>
      </c>
      <c r="BC390" s="1" t="s">
        <v>4843</v>
      </c>
      <c r="BD390" s="1">
        <v>0</v>
      </c>
      <c r="BE390" s="1"/>
    </row>
    <row r="391" spans="1:57" x14ac:dyDescent="0.25">
      <c r="A391" s="1">
        <v>20044</v>
      </c>
      <c r="B391" s="1" t="s">
        <v>4367</v>
      </c>
      <c r="C391" s="9" t="s">
        <v>1733</v>
      </c>
      <c r="D391" s="1" t="s">
        <v>1733</v>
      </c>
      <c r="E391" s="1"/>
      <c r="F391" s="1"/>
      <c r="G391" s="1" t="s">
        <v>4368</v>
      </c>
      <c r="H391" s="1" t="s">
        <v>4369</v>
      </c>
      <c r="I391" s="1" t="s">
        <v>4370</v>
      </c>
      <c r="J391" s="1">
        <v>3</v>
      </c>
      <c r="K391" s="1">
        <v>4</v>
      </c>
      <c r="L391" s="1">
        <v>13200</v>
      </c>
      <c r="M391" s="1">
        <v>15</v>
      </c>
      <c r="N391" s="1">
        <v>30</v>
      </c>
      <c r="O391" s="1">
        <v>10</v>
      </c>
      <c r="P391" s="1">
        <v>15</v>
      </c>
      <c r="Q391" s="1">
        <v>5</v>
      </c>
      <c r="R391" s="1">
        <v>2</v>
      </c>
      <c r="S391" s="1">
        <v>5</v>
      </c>
      <c r="T391" s="1">
        <v>0</v>
      </c>
      <c r="U391" s="1">
        <v>95</v>
      </c>
      <c r="V391" s="1">
        <v>118</v>
      </c>
      <c r="W391" s="1">
        <v>110</v>
      </c>
      <c r="X391" s="1">
        <v>100</v>
      </c>
      <c r="Y391" s="1">
        <v>122</v>
      </c>
      <c r="Z391" s="1">
        <v>85</v>
      </c>
      <c r="AA391" s="1">
        <v>0</v>
      </c>
      <c r="AB391" s="1">
        <v>15</v>
      </c>
      <c r="AC391" s="1">
        <v>40</v>
      </c>
      <c r="AD391" s="1">
        <v>0</v>
      </c>
      <c r="AE391" s="1">
        <v>115</v>
      </c>
      <c r="AF391" s="1">
        <v>110</v>
      </c>
      <c r="AG391" s="1">
        <v>801417</v>
      </c>
      <c r="AH391" s="1">
        <v>801414</v>
      </c>
      <c r="AI391" s="1">
        <v>300104</v>
      </c>
      <c r="AJ391" s="1" t="s">
        <v>1466</v>
      </c>
      <c r="AK391" s="1" t="s">
        <v>1467</v>
      </c>
      <c r="AL391" s="1">
        <v>13</v>
      </c>
      <c r="AM391" s="1" t="s">
        <v>4848</v>
      </c>
      <c r="AN391" s="1" t="s">
        <v>467</v>
      </c>
      <c r="AO391" s="1" t="s">
        <v>4918</v>
      </c>
      <c r="AP391" s="1">
        <v>0</v>
      </c>
      <c r="AQ391" s="1" t="s">
        <v>1192</v>
      </c>
      <c r="AR391" s="1" t="s">
        <v>1193</v>
      </c>
      <c r="AS391" s="1" t="s">
        <v>4925</v>
      </c>
      <c r="AT391" s="1" t="s">
        <v>330</v>
      </c>
      <c r="AU391" s="1">
        <v>44</v>
      </c>
      <c r="AV391" s="1">
        <v>0</v>
      </c>
      <c r="AW391" s="1" t="s">
        <v>4577</v>
      </c>
      <c r="AX391" s="1" t="s">
        <v>5502</v>
      </c>
      <c r="AY391" s="1">
        <v>4</v>
      </c>
      <c r="AZ391" s="1">
        <v>3044</v>
      </c>
      <c r="BA391" s="1" t="s">
        <v>330</v>
      </c>
      <c r="BB391" s="1" t="s">
        <v>4930</v>
      </c>
      <c r="BC391" s="1" t="s">
        <v>4843</v>
      </c>
      <c r="BD391" s="1">
        <v>0</v>
      </c>
      <c r="BE391" s="1"/>
    </row>
    <row r="392" spans="1:57" x14ac:dyDescent="0.25">
      <c r="A392" s="1">
        <v>20049</v>
      </c>
      <c r="B392" s="1" t="s">
        <v>4371</v>
      </c>
      <c r="C392" s="9" t="s">
        <v>838</v>
      </c>
      <c r="D392" s="1" t="s">
        <v>4372</v>
      </c>
      <c r="E392" s="1"/>
      <c r="F392" s="1"/>
      <c r="G392" s="1" t="s">
        <v>4373</v>
      </c>
      <c r="H392" s="1" t="s">
        <v>4374</v>
      </c>
      <c r="I392" s="1" t="s">
        <v>4375</v>
      </c>
      <c r="J392" s="1">
        <v>3</v>
      </c>
      <c r="K392" s="1">
        <v>4</v>
      </c>
      <c r="L392" s="1">
        <v>13800</v>
      </c>
      <c r="M392" s="1">
        <v>15</v>
      </c>
      <c r="N392" s="1">
        <v>30</v>
      </c>
      <c r="O392" s="1">
        <v>10</v>
      </c>
      <c r="P392" s="1">
        <v>15</v>
      </c>
      <c r="Q392" s="1">
        <v>5</v>
      </c>
      <c r="R392" s="1">
        <v>2</v>
      </c>
      <c r="S392" s="1">
        <v>5</v>
      </c>
      <c r="T392" s="1">
        <v>0</v>
      </c>
      <c r="U392" s="1">
        <v>105</v>
      </c>
      <c r="V392" s="1">
        <v>105</v>
      </c>
      <c r="W392" s="1">
        <v>110</v>
      </c>
      <c r="X392" s="1">
        <v>100</v>
      </c>
      <c r="Y392" s="1">
        <v>110</v>
      </c>
      <c r="Z392" s="1">
        <v>115</v>
      </c>
      <c r="AA392" s="1">
        <v>0</v>
      </c>
      <c r="AB392" s="1">
        <v>15</v>
      </c>
      <c r="AC392" s="1">
        <v>40</v>
      </c>
      <c r="AD392" s="1">
        <v>0</v>
      </c>
      <c r="AE392" s="1">
        <v>110</v>
      </c>
      <c r="AF392" s="1">
        <v>100</v>
      </c>
      <c r="AG392" s="1">
        <v>992232</v>
      </c>
      <c r="AH392" s="1">
        <v>902233</v>
      </c>
      <c r="AI392" s="1">
        <v>902228</v>
      </c>
      <c r="AJ392" s="1" t="s">
        <v>1468</v>
      </c>
      <c r="AK392" s="1" t="s">
        <v>330</v>
      </c>
      <c r="AL392" s="1">
        <v>13</v>
      </c>
      <c r="AM392" s="1" t="s">
        <v>4848</v>
      </c>
      <c r="AN392" s="1" t="s">
        <v>4859</v>
      </c>
      <c r="AO392" s="1" t="s">
        <v>4918</v>
      </c>
      <c r="AP392" s="1">
        <v>0</v>
      </c>
      <c r="AQ392" s="1" t="s">
        <v>1799</v>
      </c>
      <c r="AR392" s="1" t="s">
        <v>1193</v>
      </c>
      <c r="AS392" s="1" t="s">
        <v>1194</v>
      </c>
      <c r="AT392" s="1" t="s">
        <v>330</v>
      </c>
      <c r="AU392" s="1">
        <v>49</v>
      </c>
      <c r="AV392" s="1">
        <v>0</v>
      </c>
      <c r="AW392" s="1" t="s">
        <v>4934</v>
      </c>
      <c r="AX392" s="1" t="s">
        <v>5502</v>
      </c>
      <c r="AY392" s="1">
        <v>4</v>
      </c>
      <c r="AZ392" s="1">
        <v>3049</v>
      </c>
      <c r="BA392" s="1" t="s">
        <v>330</v>
      </c>
      <c r="BB392" s="1" t="s">
        <v>4936</v>
      </c>
      <c r="BC392" s="1" t="s">
        <v>4869</v>
      </c>
      <c r="BD392" s="1">
        <v>0</v>
      </c>
      <c r="BE392" s="1"/>
    </row>
    <row r="393" spans="1:57" x14ac:dyDescent="0.25">
      <c r="A393" s="1">
        <v>20051</v>
      </c>
      <c r="B393" s="1" t="s">
        <v>4376</v>
      </c>
      <c r="C393" s="9" t="s">
        <v>1469</v>
      </c>
      <c r="D393" s="1" t="s">
        <v>1469</v>
      </c>
      <c r="E393" s="1"/>
      <c r="F393" s="1"/>
      <c r="G393" s="1" t="s">
        <v>4377</v>
      </c>
      <c r="H393" s="1" t="s">
        <v>4378</v>
      </c>
      <c r="I393" s="1" t="s">
        <v>4379</v>
      </c>
      <c r="J393" s="1">
        <v>3</v>
      </c>
      <c r="K393" s="1">
        <v>4</v>
      </c>
      <c r="L393" s="1">
        <v>11400</v>
      </c>
      <c r="M393" s="1">
        <v>15</v>
      </c>
      <c r="N393" s="1">
        <v>30</v>
      </c>
      <c r="O393" s="1">
        <v>10</v>
      </c>
      <c r="P393" s="1">
        <v>15</v>
      </c>
      <c r="Q393" s="1">
        <v>5</v>
      </c>
      <c r="R393" s="1">
        <v>2</v>
      </c>
      <c r="S393" s="1">
        <v>5</v>
      </c>
      <c r="T393" s="1">
        <v>0</v>
      </c>
      <c r="U393" s="1">
        <v>105</v>
      </c>
      <c r="V393" s="1">
        <v>110</v>
      </c>
      <c r="W393" s="1">
        <v>100</v>
      </c>
      <c r="X393" s="1">
        <v>100</v>
      </c>
      <c r="Y393" s="1">
        <v>95</v>
      </c>
      <c r="Z393" s="1">
        <v>100</v>
      </c>
      <c r="AA393" s="1">
        <v>0</v>
      </c>
      <c r="AB393" s="1">
        <v>15</v>
      </c>
      <c r="AC393" s="1">
        <v>40</v>
      </c>
      <c r="AD393" s="1">
        <v>0</v>
      </c>
      <c r="AE393" s="1">
        <v>115</v>
      </c>
      <c r="AF393" s="1">
        <v>105</v>
      </c>
      <c r="AG393" s="1">
        <v>800901</v>
      </c>
      <c r="AH393" s="1">
        <v>800902</v>
      </c>
      <c r="AI393" s="1">
        <v>300104</v>
      </c>
      <c r="AJ393" s="1" t="s">
        <v>330</v>
      </c>
      <c r="AK393" s="1" t="s">
        <v>330</v>
      </c>
      <c r="AL393" s="1">
        <v>13</v>
      </c>
      <c r="AM393" s="1" t="s">
        <v>4848</v>
      </c>
      <c r="AN393" s="1" t="s">
        <v>4920</v>
      </c>
      <c r="AO393" s="1" t="s">
        <v>4918</v>
      </c>
      <c r="AP393" s="1">
        <v>0</v>
      </c>
      <c r="AQ393" s="1" t="s">
        <v>1192</v>
      </c>
      <c r="AR393" s="1" t="s">
        <v>4921</v>
      </c>
      <c r="AS393" s="1" t="s">
        <v>1194</v>
      </c>
      <c r="AT393" s="1" t="s">
        <v>330</v>
      </c>
      <c r="AU393" s="1">
        <v>51</v>
      </c>
      <c r="AV393" s="1">
        <v>0</v>
      </c>
      <c r="AW393" s="1" t="s">
        <v>4577</v>
      </c>
      <c r="AX393" s="1" t="s">
        <v>5502</v>
      </c>
      <c r="AY393" s="1">
        <v>4</v>
      </c>
      <c r="AZ393" s="1">
        <v>3051</v>
      </c>
      <c r="BA393" s="1" t="s">
        <v>330</v>
      </c>
      <c r="BB393" s="1" t="s">
        <v>4938</v>
      </c>
      <c r="BC393" s="1" t="s">
        <v>4939</v>
      </c>
      <c r="BD393" s="1">
        <v>0</v>
      </c>
      <c r="BE393" s="1"/>
    </row>
    <row r="394" spans="1:57" x14ac:dyDescent="0.25">
      <c r="A394" s="1">
        <v>20053</v>
      </c>
      <c r="B394" s="1" t="s">
        <v>4380</v>
      </c>
      <c r="C394" s="9" t="s">
        <v>1734</v>
      </c>
      <c r="D394" s="1" t="s">
        <v>1734</v>
      </c>
      <c r="E394" s="1"/>
      <c r="F394" s="1"/>
      <c r="G394" s="1" t="s">
        <v>4381</v>
      </c>
      <c r="H394" s="1" t="s">
        <v>4382</v>
      </c>
      <c r="I394" s="1" t="s">
        <v>4383</v>
      </c>
      <c r="J394" s="1">
        <v>3</v>
      </c>
      <c r="K394" s="1">
        <v>6</v>
      </c>
      <c r="L394" s="1">
        <v>17100</v>
      </c>
      <c r="M394" s="1">
        <v>15</v>
      </c>
      <c r="N394" s="1">
        <v>30</v>
      </c>
      <c r="O394" s="1">
        <v>10</v>
      </c>
      <c r="P394" s="1">
        <v>15</v>
      </c>
      <c r="Q394" s="1">
        <v>5</v>
      </c>
      <c r="R394" s="1">
        <v>2</v>
      </c>
      <c r="S394" s="1">
        <v>5</v>
      </c>
      <c r="T394" s="1">
        <v>0</v>
      </c>
      <c r="U394" s="1">
        <v>105</v>
      </c>
      <c r="V394" s="1">
        <v>145</v>
      </c>
      <c r="W394" s="1">
        <v>90</v>
      </c>
      <c r="X394" s="1">
        <v>100</v>
      </c>
      <c r="Y394" s="1">
        <v>110</v>
      </c>
      <c r="Z394" s="1">
        <v>80</v>
      </c>
      <c r="AA394" s="1">
        <v>0</v>
      </c>
      <c r="AB394" s="1">
        <v>15</v>
      </c>
      <c r="AC394" s="1">
        <v>40</v>
      </c>
      <c r="AD394" s="1">
        <v>0</v>
      </c>
      <c r="AE394" s="1">
        <v>130</v>
      </c>
      <c r="AF394" s="1">
        <v>160</v>
      </c>
      <c r="AG394" s="1">
        <v>803101</v>
      </c>
      <c r="AH394" s="1">
        <v>803105</v>
      </c>
      <c r="AI394" s="1">
        <v>803106</v>
      </c>
      <c r="AJ394" s="1" t="s">
        <v>1470</v>
      </c>
      <c r="AK394" s="1" t="s">
        <v>1471</v>
      </c>
      <c r="AL394" s="1">
        <v>13</v>
      </c>
      <c r="AM394" s="1" t="s">
        <v>4848</v>
      </c>
      <c r="AN394" s="1" t="s">
        <v>4915</v>
      </c>
      <c r="AO394" s="1" t="s">
        <v>5513</v>
      </c>
      <c r="AP394" s="1">
        <v>0</v>
      </c>
      <c r="AQ394" s="1" t="s">
        <v>1799</v>
      </c>
      <c r="AR394" s="1" t="s">
        <v>1193</v>
      </c>
      <c r="AS394" s="1" t="s">
        <v>1194</v>
      </c>
      <c r="AT394" s="1" t="s">
        <v>330</v>
      </c>
      <c r="AU394" s="1">
        <v>53</v>
      </c>
      <c r="AV394" s="1">
        <v>0</v>
      </c>
      <c r="AW394" s="1" t="s">
        <v>4577</v>
      </c>
      <c r="AX394" s="1" t="s">
        <v>5502</v>
      </c>
      <c r="AY394" s="1">
        <v>6</v>
      </c>
      <c r="AZ394" s="1">
        <v>3053</v>
      </c>
      <c r="BA394" s="1" t="s">
        <v>330</v>
      </c>
      <c r="BB394" s="1" t="s">
        <v>4942</v>
      </c>
      <c r="BC394" s="1" t="s">
        <v>330</v>
      </c>
      <c r="BD394" s="1">
        <v>0</v>
      </c>
      <c r="BE394" s="1"/>
    </row>
    <row r="395" spans="1:57" x14ac:dyDescent="0.25">
      <c r="A395" s="1">
        <v>20055</v>
      </c>
      <c r="B395" s="1" t="s">
        <v>4384</v>
      </c>
      <c r="C395" s="9" t="s">
        <v>257</v>
      </c>
      <c r="D395" s="1" t="s">
        <v>257</v>
      </c>
      <c r="E395" s="1"/>
      <c r="F395" s="1"/>
      <c r="G395" s="1" t="s">
        <v>4385</v>
      </c>
      <c r="H395" s="1" t="s">
        <v>4386</v>
      </c>
      <c r="I395" s="1" t="s">
        <v>4387</v>
      </c>
      <c r="J395" s="1">
        <v>4</v>
      </c>
      <c r="K395" s="1">
        <v>5</v>
      </c>
      <c r="L395" s="1">
        <v>12900</v>
      </c>
      <c r="M395" s="1">
        <v>20</v>
      </c>
      <c r="N395" s="1">
        <v>20</v>
      </c>
      <c r="O395" s="1">
        <v>10</v>
      </c>
      <c r="P395" s="1">
        <v>10</v>
      </c>
      <c r="Q395" s="1">
        <v>2</v>
      </c>
      <c r="R395" s="1">
        <v>5</v>
      </c>
      <c r="S395" s="1">
        <v>5</v>
      </c>
      <c r="T395" s="1">
        <v>0</v>
      </c>
      <c r="U395" s="1">
        <v>100</v>
      </c>
      <c r="V395" s="1">
        <v>110</v>
      </c>
      <c r="W395" s="1">
        <v>120</v>
      </c>
      <c r="X395" s="1">
        <v>100</v>
      </c>
      <c r="Y395" s="1">
        <v>120</v>
      </c>
      <c r="Z395" s="1">
        <v>120</v>
      </c>
      <c r="AA395" s="1">
        <v>0</v>
      </c>
      <c r="AB395" s="1">
        <v>15</v>
      </c>
      <c r="AC395" s="1">
        <v>20</v>
      </c>
      <c r="AD395" s="1">
        <v>0</v>
      </c>
      <c r="AE395" s="1">
        <v>115</v>
      </c>
      <c r="AF395" s="1">
        <v>115</v>
      </c>
      <c r="AG395" s="1">
        <v>801101</v>
      </c>
      <c r="AH395" s="1">
        <v>801108</v>
      </c>
      <c r="AI395" s="1">
        <v>801102</v>
      </c>
      <c r="AJ395" s="1" t="s">
        <v>1472</v>
      </c>
      <c r="AK395" s="1" t="s">
        <v>1455</v>
      </c>
      <c r="AL395" s="1">
        <v>13</v>
      </c>
      <c r="AM395" s="1" t="s">
        <v>4876</v>
      </c>
      <c r="AN395" s="1" t="s">
        <v>4947</v>
      </c>
      <c r="AO395" s="1" t="s">
        <v>5514</v>
      </c>
      <c r="AP395" s="1">
        <v>0</v>
      </c>
      <c r="AQ395" s="1" t="s">
        <v>1182</v>
      </c>
      <c r="AR395" s="1" t="s">
        <v>1206</v>
      </c>
      <c r="AS395" s="1" t="s">
        <v>1797</v>
      </c>
      <c r="AT395" s="1" t="s">
        <v>330</v>
      </c>
      <c r="AU395" s="1">
        <v>55</v>
      </c>
      <c r="AV395" s="1">
        <v>0</v>
      </c>
      <c r="AW395" s="1" t="s">
        <v>4577</v>
      </c>
      <c r="AX395" s="1" t="s">
        <v>5502</v>
      </c>
      <c r="AY395" s="1">
        <v>5</v>
      </c>
      <c r="AZ395" s="1">
        <v>3055</v>
      </c>
      <c r="BA395" s="1" t="s">
        <v>330</v>
      </c>
      <c r="BB395" s="1" t="s">
        <v>4949</v>
      </c>
      <c r="BC395" s="1" t="s">
        <v>5235</v>
      </c>
      <c r="BD395" s="1">
        <v>0</v>
      </c>
      <c r="BE395" s="1"/>
    </row>
    <row r="396" spans="1:57" x14ac:dyDescent="0.25">
      <c r="A396" s="1">
        <v>20056</v>
      </c>
      <c r="B396" s="1" t="s">
        <v>4388</v>
      </c>
      <c r="C396" s="9" t="s">
        <v>258</v>
      </c>
      <c r="D396" s="1" t="s">
        <v>258</v>
      </c>
      <c r="E396" s="1"/>
      <c r="F396" s="1"/>
      <c r="G396" s="1" t="s">
        <v>4389</v>
      </c>
      <c r="H396" s="1" t="s">
        <v>4390</v>
      </c>
      <c r="I396" s="1" t="s">
        <v>4391</v>
      </c>
      <c r="J396" s="1">
        <v>4</v>
      </c>
      <c r="K396" s="1">
        <v>5</v>
      </c>
      <c r="L396" s="1">
        <v>12900</v>
      </c>
      <c r="M396" s="1">
        <v>20</v>
      </c>
      <c r="N396" s="1">
        <v>20</v>
      </c>
      <c r="O396" s="1">
        <v>10</v>
      </c>
      <c r="P396" s="1">
        <v>10</v>
      </c>
      <c r="Q396" s="1">
        <v>2</v>
      </c>
      <c r="R396" s="1">
        <v>5</v>
      </c>
      <c r="S396" s="1">
        <v>5</v>
      </c>
      <c r="T396" s="1">
        <v>0</v>
      </c>
      <c r="U396" s="1">
        <v>100</v>
      </c>
      <c r="V396" s="1">
        <v>118</v>
      </c>
      <c r="W396" s="1">
        <v>120</v>
      </c>
      <c r="X396" s="1">
        <v>100</v>
      </c>
      <c r="Y396" s="1">
        <v>125</v>
      </c>
      <c r="Z396" s="1">
        <v>115</v>
      </c>
      <c r="AA396" s="1">
        <v>0</v>
      </c>
      <c r="AB396" s="1">
        <v>15</v>
      </c>
      <c r="AC396" s="1">
        <v>30</v>
      </c>
      <c r="AD396" s="1">
        <v>0</v>
      </c>
      <c r="AE396" s="1">
        <v>110</v>
      </c>
      <c r="AF396" s="1">
        <v>115</v>
      </c>
      <c r="AG396" s="1">
        <v>801601</v>
      </c>
      <c r="AH396" s="1">
        <v>801602</v>
      </c>
      <c r="AI396" s="1">
        <v>300103</v>
      </c>
      <c r="AJ396" s="1" t="s">
        <v>1473</v>
      </c>
      <c r="AK396" s="1" t="s">
        <v>1474</v>
      </c>
      <c r="AL396" s="1">
        <v>13</v>
      </c>
      <c r="AM396" s="1" t="s">
        <v>4805</v>
      </c>
      <c r="AN396" s="1" t="s">
        <v>4950</v>
      </c>
      <c r="AO396" s="1" t="s">
        <v>4966</v>
      </c>
      <c r="AP396" s="1">
        <v>0</v>
      </c>
      <c r="AQ396" s="1" t="s">
        <v>4952</v>
      </c>
      <c r="AR396" s="1" t="s">
        <v>4952</v>
      </c>
      <c r="AS396" s="1" t="s">
        <v>1206</v>
      </c>
      <c r="AT396" s="1" t="s">
        <v>330</v>
      </c>
      <c r="AU396" s="1">
        <v>56</v>
      </c>
      <c r="AV396" s="1">
        <v>0</v>
      </c>
      <c r="AW396" s="1" t="s">
        <v>4577</v>
      </c>
      <c r="AX396" s="1" t="s">
        <v>5502</v>
      </c>
      <c r="AY396" s="1">
        <v>5</v>
      </c>
      <c r="AZ396" s="1">
        <v>3056</v>
      </c>
      <c r="BA396" s="1" t="s">
        <v>330</v>
      </c>
      <c r="BB396" s="1" t="s">
        <v>476</v>
      </c>
      <c r="BC396" s="1" t="s">
        <v>4946</v>
      </c>
      <c r="BD396" s="1">
        <v>0</v>
      </c>
      <c r="BE396" s="1"/>
    </row>
    <row r="397" spans="1:57" x14ac:dyDescent="0.25">
      <c r="A397" s="1">
        <v>20057</v>
      </c>
      <c r="B397" s="1" t="s">
        <v>4392</v>
      </c>
      <c r="C397" s="9" t="s">
        <v>1735</v>
      </c>
      <c r="D397" s="1" t="s">
        <v>4393</v>
      </c>
      <c r="E397" s="1"/>
      <c r="F397" s="1"/>
      <c r="G397" s="1" t="s">
        <v>4394</v>
      </c>
      <c r="H397" s="1" t="s">
        <v>4395</v>
      </c>
      <c r="I397" s="1" t="s">
        <v>4396</v>
      </c>
      <c r="J397" s="1">
        <v>4</v>
      </c>
      <c r="K397" s="1">
        <v>5</v>
      </c>
      <c r="L397" s="1">
        <v>12900</v>
      </c>
      <c r="M397" s="1">
        <v>20</v>
      </c>
      <c r="N397" s="1">
        <v>20</v>
      </c>
      <c r="O397" s="1">
        <v>10</v>
      </c>
      <c r="P397" s="1">
        <v>10</v>
      </c>
      <c r="Q397" s="1">
        <v>2</v>
      </c>
      <c r="R397" s="1">
        <v>5</v>
      </c>
      <c r="S397" s="1">
        <v>5</v>
      </c>
      <c r="T397" s="1">
        <v>0</v>
      </c>
      <c r="U397" s="1">
        <v>95</v>
      </c>
      <c r="V397" s="1">
        <v>106</v>
      </c>
      <c r="W397" s="1">
        <v>115</v>
      </c>
      <c r="X397" s="1">
        <v>100</v>
      </c>
      <c r="Y397" s="1">
        <v>125</v>
      </c>
      <c r="Z397" s="1">
        <v>120</v>
      </c>
      <c r="AA397" s="1">
        <v>0</v>
      </c>
      <c r="AB397" s="1">
        <v>15</v>
      </c>
      <c r="AC397" s="1">
        <v>20</v>
      </c>
      <c r="AD397" s="1">
        <v>0</v>
      </c>
      <c r="AE397" s="1">
        <v>120</v>
      </c>
      <c r="AF397" s="1">
        <v>125</v>
      </c>
      <c r="AG397" s="1">
        <v>801003</v>
      </c>
      <c r="AH397" s="1">
        <v>801002</v>
      </c>
      <c r="AI397" s="1">
        <v>801001</v>
      </c>
      <c r="AJ397" s="1" t="s">
        <v>1475</v>
      </c>
      <c r="AK397" s="1" t="s">
        <v>1476</v>
      </c>
      <c r="AL397" s="1">
        <v>13</v>
      </c>
      <c r="AM397" s="1" t="s">
        <v>4805</v>
      </c>
      <c r="AN397" s="1" t="s">
        <v>4950</v>
      </c>
      <c r="AO397" s="1" t="s">
        <v>5084</v>
      </c>
      <c r="AP397" s="1">
        <v>0</v>
      </c>
      <c r="AQ397" s="1" t="s">
        <v>4952</v>
      </c>
      <c r="AR397" s="1" t="s">
        <v>4952</v>
      </c>
      <c r="AS397" s="1" t="s">
        <v>4954</v>
      </c>
      <c r="AT397" s="1" t="s">
        <v>330</v>
      </c>
      <c r="AU397" s="1">
        <v>57</v>
      </c>
      <c r="AV397" s="1">
        <v>0</v>
      </c>
      <c r="AW397" s="1" t="s">
        <v>4577</v>
      </c>
      <c r="AX397" s="1" t="s">
        <v>5502</v>
      </c>
      <c r="AY397" s="1">
        <v>5</v>
      </c>
      <c r="AZ397" s="1">
        <v>3057</v>
      </c>
      <c r="BA397" s="1" t="s">
        <v>330</v>
      </c>
      <c r="BB397" s="1" t="s">
        <v>4955</v>
      </c>
      <c r="BC397" s="1" t="s">
        <v>5235</v>
      </c>
      <c r="BD397" s="1">
        <v>0</v>
      </c>
      <c r="BE397" s="1"/>
    </row>
    <row r="398" spans="1:57" x14ac:dyDescent="0.25">
      <c r="A398" s="1">
        <v>20060</v>
      </c>
      <c r="B398" s="1" t="s">
        <v>4397</v>
      </c>
      <c r="C398" s="9" t="s">
        <v>259</v>
      </c>
      <c r="D398" s="1" t="s">
        <v>4398</v>
      </c>
      <c r="E398" s="1"/>
      <c r="F398" s="1"/>
      <c r="G398" s="1" t="s">
        <v>4399</v>
      </c>
      <c r="H398" s="1" t="s">
        <v>4400</v>
      </c>
      <c r="I398" s="1" t="s">
        <v>4401</v>
      </c>
      <c r="J398" s="1">
        <v>4</v>
      </c>
      <c r="K398" s="1">
        <v>5</v>
      </c>
      <c r="L398" s="1">
        <v>12600</v>
      </c>
      <c r="M398" s="1">
        <v>20</v>
      </c>
      <c r="N398" s="1">
        <v>20</v>
      </c>
      <c r="O398" s="1">
        <v>10</v>
      </c>
      <c r="P398" s="1">
        <v>10</v>
      </c>
      <c r="Q398" s="1">
        <v>2</v>
      </c>
      <c r="R398" s="1">
        <v>5</v>
      </c>
      <c r="S398" s="1">
        <v>5</v>
      </c>
      <c r="T398" s="1">
        <v>0</v>
      </c>
      <c r="U398" s="1">
        <v>120</v>
      </c>
      <c r="V398" s="1">
        <v>94</v>
      </c>
      <c r="W398" s="1">
        <v>115</v>
      </c>
      <c r="X398" s="1">
        <v>100</v>
      </c>
      <c r="Y398" s="1">
        <v>125</v>
      </c>
      <c r="Z398" s="1">
        <v>125</v>
      </c>
      <c r="AA398" s="1">
        <v>0</v>
      </c>
      <c r="AB398" s="1">
        <v>15</v>
      </c>
      <c r="AC398" s="1">
        <v>20</v>
      </c>
      <c r="AD398" s="1">
        <v>0</v>
      </c>
      <c r="AE398" s="1">
        <v>110</v>
      </c>
      <c r="AF398" s="1">
        <v>85</v>
      </c>
      <c r="AG398" s="1">
        <v>802601</v>
      </c>
      <c r="AH398" s="1">
        <v>802602</v>
      </c>
      <c r="AI398" s="1">
        <v>802603</v>
      </c>
      <c r="AJ398" s="1" t="s">
        <v>330</v>
      </c>
      <c r="AK398" s="1" t="s">
        <v>1477</v>
      </c>
      <c r="AL398" s="1">
        <v>13</v>
      </c>
      <c r="AM398" s="1" t="s">
        <v>4805</v>
      </c>
      <c r="AN398" s="1" t="s">
        <v>452</v>
      </c>
      <c r="AO398" s="1" t="s">
        <v>5238</v>
      </c>
      <c r="AP398" s="1">
        <v>0</v>
      </c>
      <c r="AQ398" s="1" t="s">
        <v>1182</v>
      </c>
      <c r="AR398" s="1" t="s">
        <v>4954</v>
      </c>
      <c r="AS398" s="1" t="s">
        <v>1181</v>
      </c>
      <c r="AT398" s="1" t="s">
        <v>330</v>
      </c>
      <c r="AU398" s="1">
        <v>60</v>
      </c>
      <c r="AV398" s="1">
        <v>0</v>
      </c>
      <c r="AW398" s="1" t="s">
        <v>4577</v>
      </c>
      <c r="AX398" s="1" t="s">
        <v>5502</v>
      </c>
      <c r="AY398" s="1">
        <v>5</v>
      </c>
      <c r="AZ398" s="1">
        <v>3060</v>
      </c>
      <c r="BA398" s="1" t="s">
        <v>330</v>
      </c>
      <c r="BB398" s="1" t="s">
        <v>4964</v>
      </c>
      <c r="BC398" s="1" t="s">
        <v>4843</v>
      </c>
      <c r="BD398" s="1">
        <v>0</v>
      </c>
      <c r="BE398" s="1"/>
    </row>
    <row r="399" spans="1:57" x14ac:dyDescent="0.25">
      <c r="A399" s="1">
        <v>20061</v>
      </c>
      <c r="B399" s="1" t="s">
        <v>4402</v>
      </c>
      <c r="C399" s="9" t="s">
        <v>839</v>
      </c>
      <c r="D399" s="1" t="s">
        <v>4403</v>
      </c>
      <c r="E399" s="1"/>
      <c r="F399" s="1"/>
      <c r="G399" s="1" t="s">
        <v>4404</v>
      </c>
      <c r="H399" s="1" t="s">
        <v>4405</v>
      </c>
      <c r="I399" s="1" t="s">
        <v>4406</v>
      </c>
      <c r="J399" s="1">
        <v>4</v>
      </c>
      <c r="K399" s="1">
        <v>4</v>
      </c>
      <c r="L399" s="1">
        <v>10800</v>
      </c>
      <c r="M399" s="1">
        <v>20</v>
      </c>
      <c r="N399" s="1">
        <v>20</v>
      </c>
      <c r="O399" s="1">
        <v>10</v>
      </c>
      <c r="P399" s="1">
        <v>10</v>
      </c>
      <c r="Q399" s="1">
        <v>2</v>
      </c>
      <c r="R399" s="1">
        <v>5</v>
      </c>
      <c r="S399" s="1">
        <v>5</v>
      </c>
      <c r="T399" s="1">
        <v>0</v>
      </c>
      <c r="U399" s="1">
        <v>115</v>
      </c>
      <c r="V399" s="1">
        <v>125</v>
      </c>
      <c r="W399" s="1">
        <v>96</v>
      </c>
      <c r="X399" s="1">
        <v>100</v>
      </c>
      <c r="Y399" s="1">
        <v>115</v>
      </c>
      <c r="Z399" s="1">
        <v>85</v>
      </c>
      <c r="AA399" s="1">
        <v>0</v>
      </c>
      <c r="AB399" s="1">
        <v>15</v>
      </c>
      <c r="AC399" s="1">
        <v>20</v>
      </c>
      <c r="AD399" s="1">
        <v>0</v>
      </c>
      <c r="AE399" s="1">
        <v>120</v>
      </c>
      <c r="AF399" s="1">
        <v>125</v>
      </c>
      <c r="AG399" s="1">
        <v>802502</v>
      </c>
      <c r="AH399" s="1">
        <v>802504</v>
      </c>
      <c r="AI399" s="1">
        <v>300103</v>
      </c>
      <c r="AJ399" s="1" t="s">
        <v>1216</v>
      </c>
      <c r="AK399" s="1" t="s">
        <v>1478</v>
      </c>
      <c r="AL399" s="1">
        <v>13</v>
      </c>
      <c r="AM399" s="1" t="s">
        <v>400</v>
      </c>
      <c r="AN399" s="1" t="s">
        <v>4859</v>
      </c>
      <c r="AO399" s="1" t="s">
        <v>4965</v>
      </c>
      <c r="AP399" s="1">
        <v>0</v>
      </c>
      <c r="AQ399" s="1" t="s">
        <v>1182</v>
      </c>
      <c r="AR399" s="1" t="s">
        <v>4954</v>
      </c>
      <c r="AS399" s="1" t="s">
        <v>1181</v>
      </c>
      <c r="AT399" s="1" t="s">
        <v>330</v>
      </c>
      <c r="AU399" s="1">
        <v>61</v>
      </c>
      <c r="AV399" s="1">
        <v>0</v>
      </c>
      <c r="AW399" s="1" t="s">
        <v>4577</v>
      </c>
      <c r="AX399" s="1" t="s">
        <v>5502</v>
      </c>
      <c r="AY399" s="1">
        <v>4</v>
      </c>
      <c r="AZ399" s="1">
        <v>3061</v>
      </c>
      <c r="BA399" s="1" t="s">
        <v>330</v>
      </c>
      <c r="BB399" s="1" t="s">
        <v>4861</v>
      </c>
      <c r="BC399" s="1" t="s">
        <v>4855</v>
      </c>
      <c r="BD399" s="1">
        <v>0</v>
      </c>
      <c r="BE399" s="1"/>
    </row>
    <row r="400" spans="1:57" x14ac:dyDescent="0.25">
      <c r="A400" s="1">
        <v>20063</v>
      </c>
      <c r="B400" s="1" t="s">
        <v>4407</v>
      </c>
      <c r="C400" s="9" t="s">
        <v>1479</v>
      </c>
      <c r="D400" s="1" t="s">
        <v>1479</v>
      </c>
      <c r="E400" s="1"/>
      <c r="F400" s="1"/>
      <c r="G400" s="1" t="s">
        <v>4408</v>
      </c>
      <c r="H400" s="1" t="s">
        <v>4409</v>
      </c>
      <c r="I400" s="1" t="s">
        <v>4410</v>
      </c>
      <c r="J400" s="1">
        <v>4</v>
      </c>
      <c r="K400" s="1">
        <v>4</v>
      </c>
      <c r="L400" s="1">
        <v>10200</v>
      </c>
      <c r="M400" s="1">
        <v>20</v>
      </c>
      <c r="N400" s="1">
        <v>20</v>
      </c>
      <c r="O400" s="1">
        <v>10</v>
      </c>
      <c r="P400" s="1">
        <v>10</v>
      </c>
      <c r="Q400" s="1">
        <v>2</v>
      </c>
      <c r="R400" s="1">
        <v>5</v>
      </c>
      <c r="S400" s="1">
        <v>5</v>
      </c>
      <c r="T400" s="1">
        <v>0</v>
      </c>
      <c r="U400" s="1">
        <v>100</v>
      </c>
      <c r="V400" s="1">
        <v>125</v>
      </c>
      <c r="W400" s="1">
        <v>95</v>
      </c>
      <c r="X400" s="1">
        <v>100</v>
      </c>
      <c r="Y400" s="1">
        <v>125</v>
      </c>
      <c r="Z400" s="1">
        <v>90</v>
      </c>
      <c r="AA400" s="1">
        <v>0</v>
      </c>
      <c r="AB400" s="1">
        <v>15</v>
      </c>
      <c r="AC400" s="1">
        <v>20</v>
      </c>
      <c r="AD400" s="1">
        <v>0</v>
      </c>
      <c r="AE400" s="1">
        <v>120</v>
      </c>
      <c r="AF400" s="1">
        <v>110</v>
      </c>
      <c r="AG400" s="1">
        <v>801302</v>
      </c>
      <c r="AH400" s="1">
        <v>801303</v>
      </c>
      <c r="AI400" s="1">
        <v>300103</v>
      </c>
      <c r="AJ400" s="1" t="s">
        <v>1480</v>
      </c>
      <c r="AK400" s="1" t="s">
        <v>330</v>
      </c>
      <c r="AL400" s="1">
        <v>13</v>
      </c>
      <c r="AM400" s="1" t="s">
        <v>4805</v>
      </c>
      <c r="AN400" s="1" t="s">
        <v>452</v>
      </c>
      <c r="AO400" s="1" t="s">
        <v>5515</v>
      </c>
      <c r="AP400" s="1">
        <v>0</v>
      </c>
      <c r="AQ400" s="1" t="s">
        <v>1798</v>
      </c>
      <c r="AR400" s="1" t="s">
        <v>1206</v>
      </c>
      <c r="AS400" s="1" t="s">
        <v>1181</v>
      </c>
      <c r="AT400" s="1" t="s">
        <v>330</v>
      </c>
      <c r="AU400" s="1">
        <v>63</v>
      </c>
      <c r="AV400" s="1">
        <v>0</v>
      </c>
      <c r="AW400" s="1" t="s">
        <v>4577</v>
      </c>
      <c r="AX400" s="1" t="s">
        <v>5502</v>
      </c>
      <c r="AY400" s="1">
        <v>4</v>
      </c>
      <c r="AZ400" s="1">
        <v>3063</v>
      </c>
      <c r="BA400" s="1" t="s">
        <v>330</v>
      </c>
      <c r="BB400" s="1" t="s">
        <v>4969</v>
      </c>
      <c r="BC400" s="1" t="s">
        <v>4855</v>
      </c>
      <c r="BD400" s="1">
        <v>0</v>
      </c>
      <c r="BE400" s="1"/>
    </row>
    <row r="401" spans="1:57" x14ac:dyDescent="0.25">
      <c r="A401" s="1">
        <v>20064</v>
      </c>
      <c r="B401" s="1" t="s">
        <v>4411</v>
      </c>
      <c r="C401" s="9" t="s">
        <v>1481</v>
      </c>
      <c r="D401" s="1" t="s">
        <v>1481</v>
      </c>
      <c r="E401" s="1"/>
      <c r="F401" s="1"/>
      <c r="G401" s="1" t="s">
        <v>4412</v>
      </c>
      <c r="H401" s="1" t="s">
        <v>4413</v>
      </c>
      <c r="I401" s="1" t="s">
        <v>4414</v>
      </c>
      <c r="J401" s="1">
        <v>4</v>
      </c>
      <c r="K401" s="1">
        <v>5</v>
      </c>
      <c r="L401" s="1">
        <v>13200</v>
      </c>
      <c r="M401" s="1">
        <v>20</v>
      </c>
      <c r="N401" s="1">
        <v>20</v>
      </c>
      <c r="O401" s="1">
        <v>10</v>
      </c>
      <c r="P401" s="1">
        <v>10</v>
      </c>
      <c r="Q401" s="1">
        <v>2</v>
      </c>
      <c r="R401" s="1">
        <v>5</v>
      </c>
      <c r="S401" s="1">
        <v>5</v>
      </c>
      <c r="T401" s="1">
        <v>0</v>
      </c>
      <c r="U401" s="1">
        <v>115</v>
      </c>
      <c r="V401" s="1">
        <v>114</v>
      </c>
      <c r="W401" s="1">
        <v>114</v>
      </c>
      <c r="X401" s="1">
        <v>100</v>
      </c>
      <c r="Y401" s="1">
        <v>120</v>
      </c>
      <c r="Z401" s="1">
        <v>110</v>
      </c>
      <c r="AA401" s="1">
        <v>0</v>
      </c>
      <c r="AB401" s="1">
        <v>15</v>
      </c>
      <c r="AC401" s="1">
        <v>20</v>
      </c>
      <c r="AD401" s="1">
        <v>0</v>
      </c>
      <c r="AE401" s="1">
        <v>110</v>
      </c>
      <c r="AF401" s="1">
        <v>100</v>
      </c>
      <c r="AG401" s="1">
        <v>802101</v>
      </c>
      <c r="AH401" s="1">
        <v>802102</v>
      </c>
      <c r="AI401" s="1">
        <v>300103</v>
      </c>
      <c r="AJ401" s="1" t="s">
        <v>330</v>
      </c>
      <c r="AK401" s="1" t="s">
        <v>1482</v>
      </c>
      <c r="AL401" s="1">
        <v>13</v>
      </c>
      <c r="AM401" s="1" t="s">
        <v>4805</v>
      </c>
      <c r="AN401" s="1" t="s">
        <v>4970</v>
      </c>
      <c r="AO401" s="1" t="s">
        <v>5516</v>
      </c>
      <c r="AP401" s="1">
        <v>0</v>
      </c>
      <c r="AQ401" s="1" t="s">
        <v>1798</v>
      </c>
      <c r="AR401" s="1" t="s">
        <v>1206</v>
      </c>
      <c r="AS401" s="1" t="s">
        <v>1181</v>
      </c>
      <c r="AT401" s="1" t="s">
        <v>330</v>
      </c>
      <c r="AU401" s="1">
        <v>64</v>
      </c>
      <c r="AV401" s="1">
        <v>0</v>
      </c>
      <c r="AW401" s="1" t="s">
        <v>4577</v>
      </c>
      <c r="AX401" s="1" t="s">
        <v>5502</v>
      </c>
      <c r="AY401" s="1">
        <v>5</v>
      </c>
      <c r="AZ401" s="1">
        <v>3064</v>
      </c>
      <c r="BA401" s="1" t="s">
        <v>330</v>
      </c>
      <c r="BB401" s="1" t="s">
        <v>4972</v>
      </c>
      <c r="BC401" s="1" t="s">
        <v>4855</v>
      </c>
      <c r="BD401" s="1">
        <v>0</v>
      </c>
      <c r="BE401" s="1"/>
    </row>
    <row r="402" spans="1:57" x14ac:dyDescent="0.25">
      <c r="A402" s="1">
        <v>20065</v>
      </c>
      <c r="B402" s="1" t="s">
        <v>4415</v>
      </c>
      <c r="C402" s="9" t="s">
        <v>260</v>
      </c>
      <c r="D402" s="1" t="s">
        <v>260</v>
      </c>
      <c r="E402" s="1"/>
      <c r="F402" s="1"/>
      <c r="G402" s="1" t="s">
        <v>4416</v>
      </c>
      <c r="H402" s="1" t="s">
        <v>4417</v>
      </c>
      <c r="I402" s="1" t="s">
        <v>4418</v>
      </c>
      <c r="J402" s="1">
        <v>4</v>
      </c>
      <c r="K402" s="1">
        <v>6</v>
      </c>
      <c r="L402" s="1">
        <v>14100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110</v>
      </c>
      <c r="V402" s="1">
        <v>118</v>
      </c>
      <c r="W402" s="1">
        <v>116</v>
      </c>
      <c r="X402" s="1">
        <v>100</v>
      </c>
      <c r="Y402" s="1">
        <v>120</v>
      </c>
      <c r="Z402" s="1">
        <v>110</v>
      </c>
      <c r="AA402" s="1">
        <v>0</v>
      </c>
      <c r="AB402" s="1">
        <v>15</v>
      </c>
      <c r="AC402" s="1">
        <v>20</v>
      </c>
      <c r="AD402" s="1">
        <v>0</v>
      </c>
      <c r="AE402" s="1">
        <v>118</v>
      </c>
      <c r="AF402" s="1">
        <v>100</v>
      </c>
      <c r="AG402" s="1">
        <v>802901</v>
      </c>
      <c r="AH402" s="1">
        <v>802902</v>
      </c>
      <c r="AI402" s="1">
        <v>300103</v>
      </c>
      <c r="AJ402" s="1" t="s">
        <v>1483</v>
      </c>
      <c r="AK402" s="1" t="s">
        <v>330</v>
      </c>
      <c r="AL402" s="1">
        <v>13</v>
      </c>
      <c r="AM402" s="1" t="s">
        <v>4805</v>
      </c>
      <c r="AN402" s="1" t="s">
        <v>4915</v>
      </c>
      <c r="AO402" s="1" t="s">
        <v>5517</v>
      </c>
      <c r="AP402" s="1">
        <v>0</v>
      </c>
      <c r="AQ402" s="1" t="s">
        <v>1798</v>
      </c>
      <c r="AR402" s="1" t="s">
        <v>1206</v>
      </c>
      <c r="AS402" s="1" t="s">
        <v>1797</v>
      </c>
      <c r="AT402" s="1" t="s">
        <v>330</v>
      </c>
      <c r="AU402" s="1">
        <v>65</v>
      </c>
      <c r="AV402" s="1">
        <v>0</v>
      </c>
      <c r="AW402" s="1" t="s">
        <v>4577</v>
      </c>
      <c r="AX402" s="1" t="s">
        <v>5502</v>
      </c>
      <c r="AY402" s="1">
        <v>6</v>
      </c>
      <c r="AZ402" s="1">
        <v>3065</v>
      </c>
      <c r="BA402" s="1" t="s">
        <v>330</v>
      </c>
      <c r="BB402" s="1" t="s">
        <v>4974</v>
      </c>
      <c r="BC402" s="1" t="s">
        <v>4975</v>
      </c>
      <c r="BD402" s="1">
        <v>0</v>
      </c>
      <c r="BE402" s="1"/>
    </row>
    <row r="403" spans="1:57" x14ac:dyDescent="0.25">
      <c r="A403" s="1">
        <v>20071</v>
      </c>
      <c r="B403" s="1" t="s">
        <v>4419</v>
      </c>
      <c r="C403" s="9" t="s">
        <v>840</v>
      </c>
      <c r="D403" s="1" t="s">
        <v>4420</v>
      </c>
      <c r="E403" s="1"/>
      <c r="F403" s="1"/>
      <c r="G403" s="1" t="s">
        <v>4421</v>
      </c>
      <c r="H403" s="1" t="s">
        <v>4422</v>
      </c>
      <c r="I403" s="1" t="s">
        <v>4423</v>
      </c>
      <c r="J403" s="1">
        <v>4</v>
      </c>
      <c r="K403" s="1">
        <v>4</v>
      </c>
      <c r="L403" s="1">
        <v>9600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112</v>
      </c>
      <c r="V403" s="1">
        <v>108</v>
      </c>
      <c r="W403" s="1">
        <v>95</v>
      </c>
      <c r="X403" s="1">
        <v>100</v>
      </c>
      <c r="Y403" s="1">
        <v>105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130</v>
      </c>
      <c r="AF403" s="1">
        <v>105</v>
      </c>
      <c r="AG403" s="1">
        <v>902130</v>
      </c>
      <c r="AH403" s="1">
        <v>902132</v>
      </c>
      <c r="AI403" s="1">
        <v>902131</v>
      </c>
      <c r="AJ403" s="1" t="s">
        <v>330</v>
      </c>
      <c r="AK403" s="1" t="s">
        <v>1484</v>
      </c>
      <c r="AL403" s="1">
        <v>13</v>
      </c>
      <c r="AM403" s="1" t="s">
        <v>400</v>
      </c>
      <c r="AN403" s="1" t="s">
        <v>5518</v>
      </c>
      <c r="AO403" s="1" t="s">
        <v>5519</v>
      </c>
      <c r="AP403" s="1">
        <v>0</v>
      </c>
      <c r="AQ403" s="1" t="s">
        <v>1182</v>
      </c>
      <c r="AR403" s="1" t="s">
        <v>1206</v>
      </c>
      <c r="AS403" s="1" t="s">
        <v>1797</v>
      </c>
      <c r="AT403" s="1" t="s">
        <v>330</v>
      </c>
      <c r="AU403" s="1">
        <v>71</v>
      </c>
      <c r="AV403" s="1">
        <v>0</v>
      </c>
      <c r="AW403" s="1" t="s">
        <v>4577</v>
      </c>
      <c r="AX403" s="1" t="s">
        <v>5502</v>
      </c>
      <c r="AY403" s="1">
        <v>4</v>
      </c>
      <c r="AZ403" s="1">
        <v>3071</v>
      </c>
      <c r="BA403" s="1" t="s">
        <v>330</v>
      </c>
      <c r="BB403" s="1" t="s">
        <v>4985</v>
      </c>
      <c r="BC403" s="1" t="s">
        <v>330</v>
      </c>
      <c r="BD403" s="1">
        <v>0</v>
      </c>
      <c r="BE403" s="1"/>
    </row>
    <row r="404" spans="1:57" x14ac:dyDescent="0.25">
      <c r="A404" s="1">
        <v>20075</v>
      </c>
      <c r="B404" s="1" t="s">
        <v>4424</v>
      </c>
      <c r="C404" s="9" t="s">
        <v>261</v>
      </c>
      <c r="D404" s="1" t="s">
        <v>261</v>
      </c>
      <c r="E404" s="1"/>
      <c r="F404" s="1"/>
      <c r="G404" s="1" t="s">
        <v>4425</v>
      </c>
      <c r="H404" s="1" t="s">
        <v>4426</v>
      </c>
      <c r="I404" s="1" t="s">
        <v>4427</v>
      </c>
      <c r="J404" s="1">
        <v>5</v>
      </c>
      <c r="K404" s="1">
        <v>5</v>
      </c>
      <c r="L404" s="1">
        <v>23100</v>
      </c>
      <c r="M404" s="1">
        <v>40</v>
      </c>
      <c r="N404" s="1">
        <v>30</v>
      </c>
      <c r="O404" s="1">
        <v>25</v>
      </c>
      <c r="P404" s="1">
        <v>15</v>
      </c>
      <c r="Q404" s="1">
        <v>5</v>
      </c>
      <c r="R404" s="1">
        <v>5</v>
      </c>
      <c r="S404" s="1">
        <v>2</v>
      </c>
      <c r="T404" s="1">
        <v>5</v>
      </c>
      <c r="U404" s="1">
        <v>95</v>
      </c>
      <c r="V404" s="1">
        <v>118</v>
      </c>
      <c r="W404" s="1">
        <v>105</v>
      </c>
      <c r="X404" s="1">
        <v>100</v>
      </c>
      <c r="Y404" s="1">
        <v>125</v>
      </c>
      <c r="Z404" s="1">
        <v>125</v>
      </c>
      <c r="AA404" s="1">
        <v>0</v>
      </c>
      <c r="AB404" s="1">
        <v>15</v>
      </c>
      <c r="AC404" s="1">
        <v>5</v>
      </c>
      <c r="AD404" s="1">
        <v>8</v>
      </c>
      <c r="AE404" s="1">
        <v>125</v>
      </c>
      <c r="AF404" s="1">
        <v>120</v>
      </c>
      <c r="AG404" s="1">
        <v>800303</v>
      </c>
      <c r="AH404" s="1">
        <v>800304</v>
      </c>
      <c r="AI404" s="1">
        <v>300105</v>
      </c>
      <c r="AJ404" s="1" t="s">
        <v>1485</v>
      </c>
      <c r="AK404" s="1" t="s">
        <v>1486</v>
      </c>
      <c r="AL404" s="1">
        <v>18</v>
      </c>
      <c r="AM404" s="1" t="s">
        <v>4944</v>
      </c>
      <c r="AN404" s="1" t="s">
        <v>4995</v>
      </c>
      <c r="AO404" s="1" t="s">
        <v>5520</v>
      </c>
      <c r="AP404" s="1">
        <v>0</v>
      </c>
      <c r="AQ404" s="1" t="s">
        <v>1219</v>
      </c>
      <c r="AR404" s="1" t="s">
        <v>4997</v>
      </c>
      <c r="AS404" s="1" t="s">
        <v>4998</v>
      </c>
      <c r="AT404" s="1" t="s">
        <v>330</v>
      </c>
      <c r="AU404" s="1">
        <v>75</v>
      </c>
      <c r="AV404" s="1">
        <v>0</v>
      </c>
      <c r="AW404" s="1" t="s">
        <v>4577</v>
      </c>
      <c r="AX404" s="1" t="s">
        <v>5502</v>
      </c>
      <c r="AY404" s="1">
        <v>5</v>
      </c>
      <c r="AZ404" s="1">
        <v>3075</v>
      </c>
      <c r="BA404" s="1" t="s">
        <v>330</v>
      </c>
      <c r="BB404" s="1" t="s">
        <v>4999</v>
      </c>
      <c r="BC404" s="1" t="s">
        <v>4806</v>
      </c>
      <c r="BD404" s="1">
        <v>0</v>
      </c>
      <c r="BE404" s="1"/>
    </row>
    <row r="405" spans="1:57" x14ac:dyDescent="0.25">
      <c r="A405" s="1">
        <v>20081</v>
      </c>
      <c r="B405" s="1" t="s">
        <v>4428</v>
      </c>
      <c r="C405" s="9" t="s">
        <v>262</v>
      </c>
      <c r="D405" s="1" t="s">
        <v>262</v>
      </c>
      <c r="E405" s="1"/>
      <c r="F405" s="1"/>
      <c r="G405" s="1" t="s">
        <v>4429</v>
      </c>
      <c r="H405" s="1" t="s">
        <v>4430</v>
      </c>
      <c r="I405" s="1" t="s">
        <v>4431</v>
      </c>
      <c r="J405" s="1">
        <v>5</v>
      </c>
      <c r="K405" s="1">
        <v>4</v>
      </c>
      <c r="L405" s="1">
        <v>18600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105</v>
      </c>
      <c r="V405" s="1">
        <v>138</v>
      </c>
      <c r="W405" s="1">
        <v>90</v>
      </c>
      <c r="X405" s="1">
        <v>100</v>
      </c>
      <c r="Y405" s="1">
        <v>120</v>
      </c>
      <c r="Z405" s="1">
        <v>105</v>
      </c>
      <c r="AA405" s="1">
        <v>0</v>
      </c>
      <c r="AB405" s="1">
        <v>15</v>
      </c>
      <c r="AC405" s="1">
        <v>5</v>
      </c>
      <c r="AD405" s="1">
        <v>10</v>
      </c>
      <c r="AE405" s="1">
        <v>100</v>
      </c>
      <c r="AF405" s="1">
        <v>100</v>
      </c>
      <c r="AG405" s="1">
        <v>802201</v>
      </c>
      <c r="AH405" s="1">
        <v>802203</v>
      </c>
      <c r="AI405" s="1">
        <v>802202</v>
      </c>
      <c r="AJ405" s="1" t="s">
        <v>1487</v>
      </c>
      <c r="AK405" s="1" t="s">
        <v>1488</v>
      </c>
      <c r="AL405" s="1">
        <v>18</v>
      </c>
      <c r="AM405" s="1" t="s">
        <v>4944</v>
      </c>
      <c r="AN405" s="1" t="s">
        <v>4995</v>
      </c>
      <c r="AO405" s="1" t="s">
        <v>5521</v>
      </c>
      <c r="AP405" s="1">
        <v>0</v>
      </c>
      <c r="AQ405" s="1" t="s">
        <v>1219</v>
      </c>
      <c r="AR405" s="1" t="s">
        <v>4997</v>
      </c>
      <c r="AS405" s="1" t="s">
        <v>1221</v>
      </c>
      <c r="AT405" s="1" t="s">
        <v>330</v>
      </c>
      <c r="AU405" s="1">
        <v>81</v>
      </c>
      <c r="AV405" s="1">
        <v>0</v>
      </c>
      <c r="AW405" s="1" t="s">
        <v>4577</v>
      </c>
      <c r="AX405" s="1" t="s">
        <v>5502</v>
      </c>
      <c r="AY405" s="1">
        <v>4</v>
      </c>
      <c r="AZ405" s="1">
        <v>3081</v>
      </c>
      <c r="BA405" s="1" t="s">
        <v>330</v>
      </c>
      <c r="BB405" s="1" t="s">
        <v>5013</v>
      </c>
      <c r="BC405" s="1" t="s">
        <v>4806</v>
      </c>
      <c r="BD405" s="1">
        <v>0</v>
      </c>
      <c r="BE405" s="1"/>
    </row>
    <row r="406" spans="1:57" x14ac:dyDescent="0.25">
      <c r="A406" s="1">
        <v>20089</v>
      </c>
      <c r="B406" s="1" t="s">
        <v>4432</v>
      </c>
      <c r="C406" s="9" t="s">
        <v>750</v>
      </c>
      <c r="D406" s="1" t="s">
        <v>4433</v>
      </c>
      <c r="E406" s="1"/>
      <c r="F406" s="1"/>
      <c r="G406" s="1" t="s">
        <v>4434</v>
      </c>
      <c r="H406" s="1" t="s">
        <v>4435</v>
      </c>
      <c r="I406" s="1" t="s">
        <v>4436</v>
      </c>
      <c r="J406" s="1">
        <v>5</v>
      </c>
      <c r="K406" s="1">
        <v>4</v>
      </c>
      <c r="L406" s="1">
        <v>19200</v>
      </c>
      <c r="M406" s="1">
        <v>40</v>
      </c>
      <c r="N406" s="1">
        <v>30</v>
      </c>
      <c r="O406" s="1">
        <v>25</v>
      </c>
      <c r="P406" s="1">
        <v>15</v>
      </c>
      <c r="Q406" s="1">
        <v>5</v>
      </c>
      <c r="R406" s="1">
        <v>5</v>
      </c>
      <c r="S406" s="1">
        <v>2</v>
      </c>
      <c r="T406" s="1">
        <v>5</v>
      </c>
      <c r="U406" s="1">
        <v>105</v>
      </c>
      <c r="V406" s="1">
        <v>115</v>
      </c>
      <c r="W406" s="1">
        <v>95</v>
      </c>
      <c r="X406" s="1">
        <v>100</v>
      </c>
      <c r="Y406" s="1">
        <v>130</v>
      </c>
      <c r="Z406" s="1">
        <v>110</v>
      </c>
      <c r="AA406" s="1">
        <v>0</v>
      </c>
      <c r="AB406" s="1">
        <v>15</v>
      </c>
      <c r="AC406" s="1">
        <v>5</v>
      </c>
      <c r="AD406" s="1">
        <v>8</v>
      </c>
      <c r="AE406" s="1">
        <v>120</v>
      </c>
      <c r="AF406" s="1">
        <v>85</v>
      </c>
      <c r="AG406" s="1">
        <v>801501</v>
      </c>
      <c r="AH406" s="1">
        <v>801502</v>
      </c>
      <c r="AI406" s="1">
        <v>300105</v>
      </c>
      <c r="AJ406" s="1" t="s">
        <v>1348</v>
      </c>
      <c r="AK406" s="1" t="s">
        <v>330</v>
      </c>
      <c r="AL406" s="1">
        <v>17</v>
      </c>
      <c r="AM406" s="1" t="s">
        <v>4944</v>
      </c>
      <c r="AN406" s="1" t="s">
        <v>5002</v>
      </c>
      <c r="AO406" s="1" t="s">
        <v>5522</v>
      </c>
      <c r="AP406" s="1">
        <v>0</v>
      </c>
      <c r="AQ406" s="1" t="s">
        <v>1219</v>
      </c>
      <c r="AR406" s="1" t="s">
        <v>4997</v>
      </c>
      <c r="AS406" s="1" t="s">
        <v>1221</v>
      </c>
      <c r="AT406" s="1" t="s">
        <v>330</v>
      </c>
      <c r="AU406" s="1">
        <v>89</v>
      </c>
      <c r="AV406" s="1">
        <v>0</v>
      </c>
      <c r="AW406" s="1" t="s">
        <v>4577</v>
      </c>
      <c r="AX406" s="1" t="s">
        <v>5502</v>
      </c>
      <c r="AY406" s="1">
        <v>4</v>
      </c>
      <c r="AZ406" s="1">
        <v>3089</v>
      </c>
      <c r="BA406" s="1" t="s">
        <v>330</v>
      </c>
      <c r="BB406" s="1" t="s">
        <v>5031</v>
      </c>
      <c r="BC406" s="1" t="s">
        <v>330</v>
      </c>
      <c r="BD406" s="1">
        <v>0</v>
      </c>
      <c r="BE406" s="1"/>
    </row>
    <row r="407" spans="1:57" x14ac:dyDescent="0.25">
      <c r="A407" s="1">
        <v>20091</v>
      </c>
      <c r="B407" s="1" t="s">
        <v>4437</v>
      </c>
      <c r="C407" s="9" t="s">
        <v>1736</v>
      </c>
      <c r="D407" s="1" t="s">
        <v>1736</v>
      </c>
      <c r="E407" s="1"/>
      <c r="F407" s="1"/>
      <c r="G407" s="1" t="s">
        <v>4438</v>
      </c>
      <c r="H407" s="1" t="s">
        <v>4439</v>
      </c>
      <c r="I407" s="1" t="s">
        <v>4440</v>
      </c>
      <c r="J407" s="1">
        <v>1</v>
      </c>
      <c r="K407" s="1">
        <v>4</v>
      </c>
      <c r="L407" s="1">
        <v>1500</v>
      </c>
      <c r="M407" s="1">
        <v>10</v>
      </c>
      <c r="N407" s="1">
        <v>10</v>
      </c>
      <c r="O407" s="1">
        <v>5</v>
      </c>
      <c r="P407" s="1">
        <v>5</v>
      </c>
      <c r="Q407" s="1">
        <v>2</v>
      </c>
      <c r="R407" s="1">
        <v>2</v>
      </c>
      <c r="S407" s="1">
        <v>2</v>
      </c>
      <c r="T407" s="1">
        <v>0</v>
      </c>
      <c r="U407" s="1">
        <v>100</v>
      </c>
      <c r="V407" s="1">
        <v>105</v>
      </c>
      <c r="W407" s="1">
        <v>110</v>
      </c>
      <c r="X407" s="1">
        <v>100</v>
      </c>
      <c r="Y407" s="1">
        <v>110</v>
      </c>
      <c r="Z407" s="1">
        <v>102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100</v>
      </c>
      <c r="AG407" s="1">
        <v>800401</v>
      </c>
      <c r="AH407" s="1">
        <v>800402</v>
      </c>
      <c r="AI407" s="1">
        <v>300101</v>
      </c>
      <c r="AJ407" s="1" t="s">
        <v>1489</v>
      </c>
      <c r="AK407" s="1" t="s">
        <v>330</v>
      </c>
      <c r="AL407" s="1">
        <v>13</v>
      </c>
      <c r="AM407" s="1" t="s">
        <v>1891</v>
      </c>
      <c r="AN407" s="1" t="s">
        <v>5033</v>
      </c>
      <c r="AO407" s="1" t="s">
        <v>4910</v>
      </c>
      <c r="AP407" s="1">
        <v>0</v>
      </c>
      <c r="AQ407" s="1" t="s">
        <v>4828</v>
      </c>
      <c r="AR407" s="1" t="s">
        <v>1171</v>
      </c>
      <c r="AS407" s="1" t="s">
        <v>1172</v>
      </c>
      <c r="AT407" s="1" t="s">
        <v>330</v>
      </c>
      <c r="AU407" s="1">
        <v>91</v>
      </c>
      <c r="AV407" s="1">
        <v>0</v>
      </c>
      <c r="AW407" s="1" t="s">
        <v>4577</v>
      </c>
      <c r="AX407" s="1" t="s">
        <v>5502</v>
      </c>
      <c r="AY407" s="1">
        <v>4</v>
      </c>
      <c r="AZ407" s="1">
        <v>3091</v>
      </c>
      <c r="BA407" s="1" t="s">
        <v>330</v>
      </c>
      <c r="BB407" s="1" t="s">
        <v>415</v>
      </c>
      <c r="BC407" s="1" t="s">
        <v>4843</v>
      </c>
      <c r="BD407" s="1">
        <v>0</v>
      </c>
      <c r="BE407" s="1"/>
    </row>
    <row r="408" spans="1:57" x14ac:dyDescent="0.25">
      <c r="A408" s="1">
        <v>20093</v>
      </c>
      <c r="B408" s="1" t="s">
        <v>4441</v>
      </c>
      <c r="C408" s="9" t="s">
        <v>263</v>
      </c>
      <c r="D408" s="1" t="s">
        <v>263</v>
      </c>
      <c r="E408" s="1"/>
      <c r="F408" s="1"/>
      <c r="G408" s="1" t="s">
        <v>4442</v>
      </c>
      <c r="H408" s="1" t="s">
        <v>4443</v>
      </c>
      <c r="I408" s="1" t="s">
        <v>4444</v>
      </c>
      <c r="J408" s="1">
        <v>2</v>
      </c>
      <c r="K408" s="1">
        <v>4</v>
      </c>
      <c r="L408" s="1">
        <v>4200</v>
      </c>
      <c r="M408" s="1">
        <v>25</v>
      </c>
      <c r="N408" s="1">
        <v>20</v>
      </c>
      <c r="O408" s="1">
        <v>15</v>
      </c>
      <c r="P408" s="1">
        <v>10</v>
      </c>
      <c r="Q408" s="1">
        <v>5</v>
      </c>
      <c r="R408" s="1">
        <v>5</v>
      </c>
      <c r="S408" s="1">
        <v>2</v>
      </c>
      <c r="T408" s="1">
        <v>0</v>
      </c>
      <c r="U408" s="1">
        <v>85</v>
      </c>
      <c r="V408" s="1">
        <v>90</v>
      </c>
      <c r="W408" s="1">
        <v>90</v>
      </c>
      <c r="X408" s="1">
        <v>100</v>
      </c>
      <c r="Y408" s="1">
        <v>110</v>
      </c>
      <c r="Z408" s="1">
        <v>125</v>
      </c>
      <c r="AA408" s="1">
        <v>0</v>
      </c>
      <c r="AB408" s="1">
        <v>15</v>
      </c>
      <c r="AC408" s="1">
        <v>5</v>
      </c>
      <c r="AD408" s="1">
        <v>0</v>
      </c>
      <c r="AE408" s="1">
        <v>130</v>
      </c>
      <c r="AF408" s="1">
        <v>100</v>
      </c>
      <c r="AG408" s="1">
        <v>800702</v>
      </c>
      <c r="AH408" s="1">
        <v>800703</v>
      </c>
      <c r="AI408" s="1">
        <v>300102</v>
      </c>
      <c r="AJ408" s="1" t="s">
        <v>1490</v>
      </c>
      <c r="AK408" s="1" t="s">
        <v>1491</v>
      </c>
      <c r="AL408" s="1">
        <v>13</v>
      </c>
      <c r="AM408" s="1" t="s">
        <v>4876</v>
      </c>
      <c r="AN408" s="1" t="s">
        <v>4881</v>
      </c>
      <c r="AO408" s="1" t="s">
        <v>5523</v>
      </c>
      <c r="AP408" s="1">
        <v>0</v>
      </c>
      <c r="AQ408" s="1" t="s">
        <v>1797</v>
      </c>
      <c r="AR408" s="1" t="s">
        <v>1171</v>
      </c>
      <c r="AS408" s="1" t="s">
        <v>1182</v>
      </c>
      <c r="AT408" s="1" t="s">
        <v>330</v>
      </c>
      <c r="AU408" s="1">
        <v>93</v>
      </c>
      <c r="AV408" s="1">
        <v>0</v>
      </c>
      <c r="AW408" s="1" t="s">
        <v>4577</v>
      </c>
      <c r="AX408" s="1" t="s">
        <v>5502</v>
      </c>
      <c r="AY408" s="1">
        <v>4</v>
      </c>
      <c r="AZ408" s="1">
        <v>3093</v>
      </c>
      <c r="BA408" s="1" t="s">
        <v>330</v>
      </c>
      <c r="BB408" s="1" t="s">
        <v>5036</v>
      </c>
      <c r="BC408" s="1" t="s">
        <v>330</v>
      </c>
      <c r="BD408" s="1">
        <v>0</v>
      </c>
      <c r="BE408" s="1"/>
    </row>
    <row r="409" spans="1:57" x14ac:dyDescent="0.25">
      <c r="A409" s="1">
        <v>20094</v>
      </c>
      <c r="B409" s="1" t="s">
        <v>4445</v>
      </c>
      <c r="C409" s="9" t="s">
        <v>747</v>
      </c>
      <c r="D409" s="1" t="s">
        <v>4446</v>
      </c>
      <c r="E409" s="1"/>
      <c r="F409" s="1"/>
      <c r="G409" s="1" t="s">
        <v>4447</v>
      </c>
      <c r="H409" s="1" t="s">
        <v>4448</v>
      </c>
      <c r="I409" s="1" t="s">
        <v>4449</v>
      </c>
      <c r="J409" s="1">
        <v>2</v>
      </c>
      <c r="K409" s="1">
        <v>4</v>
      </c>
      <c r="L409" s="1">
        <v>5100</v>
      </c>
      <c r="M409" s="1">
        <v>25</v>
      </c>
      <c r="N409" s="1">
        <v>20</v>
      </c>
      <c r="O409" s="1">
        <v>15</v>
      </c>
      <c r="P409" s="1">
        <v>10</v>
      </c>
      <c r="Q409" s="1">
        <v>5</v>
      </c>
      <c r="R409" s="1">
        <v>5</v>
      </c>
      <c r="S409" s="1">
        <v>2</v>
      </c>
      <c r="T409" s="1">
        <v>0</v>
      </c>
      <c r="U409" s="1">
        <v>100</v>
      </c>
      <c r="V409" s="1">
        <v>105</v>
      </c>
      <c r="W409" s="1">
        <v>120</v>
      </c>
      <c r="X409" s="1">
        <v>100</v>
      </c>
      <c r="Y409" s="1">
        <v>95</v>
      </c>
      <c r="Z409" s="1">
        <v>113</v>
      </c>
      <c r="AA409" s="1">
        <v>0</v>
      </c>
      <c r="AB409" s="1">
        <v>15</v>
      </c>
      <c r="AC409" s="1">
        <v>5</v>
      </c>
      <c r="AD409" s="1">
        <v>0</v>
      </c>
      <c r="AE409" s="1">
        <v>105</v>
      </c>
      <c r="AF409" s="1">
        <v>100</v>
      </c>
      <c r="AG409" s="1">
        <v>800801</v>
      </c>
      <c r="AH409" s="1">
        <v>800802</v>
      </c>
      <c r="AI409" s="1">
        <v>300102</v>
      </c>
      <c r="AJ409" s="1" t="s">
        <v>1216</v>
      </c>
      <c r="AK409" s="1" t="s">
        <v>330</v>
      </c>
      <c r="AL409" s="1">
        <v>13</v>
      </c>
      <c r="AM409" s="1" t="s">
        <v>4876</v>
      </c>
      <c r="AN409" s="1" t="s">
        <v>4879</v>
      </c>
      <c r="AO409" s="1" t="s">
        <v>5524</v>
      </c>
      <c r="AP409" s="1">
        <v>0</v>
      </c>
      <c r="AQ409" s="1" t="s">
        <v>1797</v>
      </c>
      <c r="AR409" s="1" t="s">
        <v>1171</v>
      </c>
      <c r="AS409" s="1" t="s">
        <v>1798</v>
      </c>
      <c r="AT409" s="1" t="s">
        <v>330</v>
      </c>
      <c r="AU409" s="1">
        <v>94</v>
      </c>
      <c r="AV409" s="1">
        <v>0</v>
      </c>
      <c r="AW409" s="1" t="s">
        <v>4577</v>
      </c>
      <c r="AX409" s="1" t="s">
        <v>5502</v>
      </c>
      <c r="AY409" s="1">
        <v>4</v>
      </c>
      <c r="AZ409" s="1">
        <v>3094</v>
      </c>
      <c r="BA409" s="1" t="s">
        <v>330</v>
      </c>
      <c r="BB409" s="1" t="s">
        <v>5038</v>
      </c>
      <c r="BC409" s="1" t="s">
        <v>4869</v>
      </c>
      <c r="BD409" s="1">
        <v>0</v>
      </c>
      <c r="BE409" s="1"/>
    </row>
    <row r="410" spans="1:57" x14ac:dyDescent="0.25">
      <c r="A410" s="1">
        <v>20095</v>
      </c>
      <c r="B410" s="1" t="s">
        <v>4450</v>
      </c>
      <c r="C410" s="9" t="s">
        <v>847</v>
      </c>
      <c r="D410" s="1" t="s">
        <v>4451</v>
      </c>
      <c r="E410" s="1"/>
      <c r="F410" s="1"/>
      <c r="G410" s="1" t="s">
        <v>4452</v>
      </c>
      <c r="H410" s="1" t="s">
        <v>4453</v>
      </c>
      <c r="I410" s="1" t="s">
        <v>4454</v>
      </c>
      <c r="J410" s="1">
        <v>3</v>
      </c>
      <c r="K410" s="1">
        <v>4</v>
      </c>
      <c r="L410" s="1">
        <v>13800</v>
      </c>
      <c r="M410" s="1">
        <v>15</v>
      </c>
      <c r="N410" s="1">
        <v>30</v>
      </c>
      <c r="O410" s="1">
        <v>10</v>
      </c>
      <c r="P410" s="1">
        <v>15</v>
      </c>
      <c r="Q410" s="1">
        <v>5</v>
      </c>
      <c r="R410" s="1">
        <v>2</v>
      </c>
      <c r="S410" s="1">
        <v>5</v>
      </c>
      <c r="T410" s="1">
        <v>0</v>
      </c>
      <c r="U410" s="1">
        <v>115</v>
      </c>
      <c r="V410" s="1">
        <v>105</v>
      </c>
      <c r="W410" s="1">
        <v>108</v>
      </c>
      <c r="X410" s="1">
        <v>100</v>
      </c>
      <c r="Y410" s="1">
        <v>100</v>
      </c>
      <c r="Z410" s="1">
        <v>110</v>
      </c>
      <c r="AA410" s="1">
        <v>0</v>
      </c>
      <c r="AB410" s="1">
        <v>15</v>
      </c>
      <c r="AC410" s="1">
        <v>40</v>
      </c>
      <c r="AD410" s="1">
        <v>0</v>
      </c>
      <c r="AE410" s="1">
        <v>120</v>
      </c>
      <c r="AF410" s="1">
        <v>100</v>
      </c>
      <c r="AG410" s="1">
        <v>803001</v>
      </c>
      <c r="AH410" s="1">
        <v>803003</v>
      </c>
      <c r="AI410" s="1">
        <v>803002</v>
      </c>
      <c r="AJ410" s="1" t="s">
        <v>1492</v>
      </c>
      <c r="AK410" s="1" t="s">
        <v>1493</v>
      </c>
      <c r="AL410" s="1">
        <v>13</v>
      </c>
      <c r="AM410" s="1" t="s">
        <v>4848</v>
      </c>
      <c r="AN410" s="1" t="s">
        <v>5452</v>
      </c>
      <c r="AO410" s="1" t="s">
        <v>4918</v>
      </c>
      <c r="AP410" s="1">
        <v>0</v>
      </c>
      <c r="AQ410" s="1" t="s">
        <v>1799</v>
      </c>
      <c r="AR410" s="1" t="s">
        <v>4921</v>
      </c>
      <c r="AS410" s="1" t="s">
        <v>1194</v>
      </c>
      <c r="AT410" s="1" t="s">
        <v>330</v>
      </c>
      <c r="AU410" s="1">
        <v>95</v>
      </c>
      <c r="AV410" s="1">
        <v>0</v>
      </c>
      <c r="AW410" s="1" t="s">
        <v>4577</v>
      </c>
      <c r="AX410" s="1" t="s">
        <v>5502</v>
      </c>
      <c r="AY410" s="1">
        <v>4</v>
      </c>
      <c r="AZ410" s="1">
        <v>3095</v>
      </c>
      <c r="BA410" s="1" t="s">
        <v>330</v>
      </c>
      <c r="BB410" s="1" t="s">
        <v>5038</v>
      </c>
      <c r="BC410" s="1" t="s">
        <v>4869</v>
      </c>
      <c r="BD410" s="1">
        <v>0</v>
      </c>
      <c r="BE410" s="1"/>
    </row>
    <row r="411" spans="1:57" x14ac:dyDescent="0.25">
      <c r="A411" s="1">
        <v>20097</v>
      </c>
      <c r="B411" s="1" t="s">
        <v>4455</v>
      </c>
      <c r="C411" s="9" t="s">
        <v>264</v>
      </c>
      <c r="D411" s="1" t="s">
        <v>264</v>
      </c>
      <c r="E411" s="1"/>
      <c r="F411" s="1"/>
      <c r="G411" s="1" t="s">
        <v>4456</v>
      </c>
      <c r="H411" s="1" t="s">
        <v>4457</v>
      </c>
      <c r="I411" s="1" t="s">
        <v>4458</v>
      </c>
      <c r="J411" s="1">
        <v>1</v>
      </c>
      <c r="K411" s="1">
        <v>6</v>
      </c>
      <c r="L411" s="1">
        <v>3900</v>
      </c>
      <c r="M411" s="1">
        <v>10</v>
      </c>
      <c r="N411" s="1">
        <v>10</v>
      </c>
      <c r="O411" s="1">
        <v>5</v>
      </c>
      <c r="P411" s="1">
        <v>5</v>
      </c>
      <c r="Q411" s="1">
        <v>2</v>
      </c>
      <c r="R411" s="1">
        <v>2</v>
      </c>
      <c r="S411" s="1">
        <v>2</v>
      </c>
      <c r="T411" s="1">
        <v>0</v>
      </c>
      <c r="U411" s="1">
        <v>118</v>
      </c>
      <c r="V411" s="1">
        <v>116</v>
      </c>
      <c r="W411" s="1">
        <v>135</v>
      </c>
      <c r="X411" s="1">
        <v>100</v>
      </c>
      <c r="Y411" s="1">
        <v>115</v>
      </c>
      <c r="Z411" s="1">
        <v>102</v>
      </c>
      <c r="AA411" s="1">
        <v>0</v>
      </c>
      <c r="AB411" s="1">
        <v>15</v>
      </c>
      <c r="AC411" s="1">
        <v>20</v>
      </c>
      <c r="AD411" s="1">
        <v>0</v>
      </c>
      <c r="AE411" s="1">
        <v>115</v>
      </c>
      <c r="AF411" s="1">
        <v>100</v>
      </c>
      <c r="AG411" s="1">
        <v>803412</v>
      </c>
      <c r="AH411" s="1">
        <v>803413</v>
      </c>
      <c r="AI411" s="1">
        <v>300101</v>
      </c>
      <c r="AJ411" s="1" t="s">
        <v>330</v>
      </c>
      <c r="AK411" s="1" t="s">
        <v>1494</v>
      </c>
      <c r="AL411" s="1">
        <v>13</v>
      </c>
      <c r="AM411" s="1" t="s">
        <v>1891</v>
      </c>
      <c r="AN411" s="1" t="s">
        <v>5525</v>
      </c>
      <c r="AO411" s="1" t="s">
        <v>5526</v>
      </c>
      <c r="AP411" s="1">
        <v>0</v>
      </c>
      <c r="AQ411" s="1" t="s">
        <v>4828</v>
      </c>
      <c r="AR411" s="1" t="s">
        <v>1171</v>
      </c>
      <c r="AS411" s="1" t="s">
        <v>1172</v>
      </c>
      <c r="AT411" s="1" t="s">
        <v>330</v>
      </c>
      <c r="AU411" s="1">
        <v>97</v>
      </c>
      <c r="AV411" s="1">
        <v>0</v>
      </c>
      <c r="AW411" s="1" t="s">
        <v>4577</v>
      </c>
      <c r="AX411" s="1" t="s">
        <v>5502</v>
      </c>
      <c r="AY411" s="1">
        <v>6</v>
      </c>
      <c r="AZ411" s="1">
        <v>3097</v>
      </c>
      <c r="BA411" s="1" t="s">
        <v>330</v>
      </c>
      <c r="BB411" s="1" t="s">
        <v>5043</v>
      </c>
      <c r="BC411" s="1" t="s">
        <v>4806</v>
      </c>
      <c r="BD411" s="1">
        <v>0</v>
      </c>
      <c r="BE411" s="1"/>
    </row>
    <row r="412" spans="1:57" x14ac:dyDescent="0.25">
      <c r="A412" s="1">
        <v>20101</v>
      </c>
      <c r="B412" s="1" t="s">
        <v>4459</v>
      </c>
      <c r="C412" s="9" t="s">
        <v>265</v>
      </c>
      <c r="D412" s="1" t="s">
        <v>265</v>
      </c>
      <c r="E412" s="1"/>
      <c r="F412" s="1"/>
      <c r="G412" s="1" t="s">
        <v>4460</v>
      </c>
      <c r="H412" s="1" t="s">
        <v>4461</v>
      </c>
      <c r="I412" s="1" t="s">
        <v>4462</v>
      </c>
      <c r="J412" s="1">
        <v>2</v>
      </c>
      <c r="K412" s="1">
        <v>5</v>
      </c>
      <c r="L412" s="1">
        <v>8100</v>
      </c>
      <c r="M412" s="1">
        <v>25</v>
      </c>
      <c r="N412" s="1">
        <v>20</v>
      </c>
      <c r="O412" s="1">
        <v>15</v>
      </c>
      <c r="P412" s="1">
        <v>10</v>
      </c>
      <c r="Q412" s="1">
        <v>5</v>
      </c>
      <c r="R412" s="1">
        <v>5</v>
      </c>
      <c r="S412" s="1">
        <v>2</v>
      </c>
      <c r="T412" s="1">
        <v>0</v>
      </c>
      <c r="U412" s="1">
        <v>100</v>
      </c>
      <c r="V412" s="1">
        <v>105</v>
      </c>
      <c r="W412" s="1">
        <v>110</v>
      </c>
      <c r="X412" s="1">
        <v>100</v>
      </c>
      <c r="Y412" s="1">
        <v>135</v>
      </c>
      <c r="Z412" s="1">
        <v>130</v>
      </c>
      <c r="AA412" s="1">
        <v>0</v>
      </c>
      <c r="AB412" s="1">
        <v>15</v>
      </c>
      <c r="AC412" s="1">
        <v>5</v>
      </c>
      <c r="AD412" s="1">
        <v>0</v>
      </c>
      <c r="AE412" s="1">
        <v>110</v>
      </c>
      <c r="AF412" s="1">
        <v>100</v>
      </c>
      <c r="AG412" s="1">
        <v>802801</v>
      </c>
      <c r="AH412" s="1">
        <v>802802</v>
      </c>
      <c r="AI412" s="1">
        <v>300102</v>
      </c>
      <c r="AJ412" s="1" t="s">
        <v>1495</v>
      </c>
      <c r="AK412" s="1" t="s">
        <v>1496</v>
      </c>
      <c r="AL412" s="1">
        <v>13</v>
      </c>
      <c r="AM412" s="1" t="s">
        <v>4876</v>
      </c>
      <c r="AN412" s="1" t="s">
        <v>4881</v>
      </c>
      <c r="AO412" s="1" t="s">
        <v>5077</v>
      </c>
      <c r="AP412" s="1">
        <v>0</v>
      </c>
      <c r="AQ412" s="1" t="s">
        <v>1797</v>
      </c>
      <c r="AR412" s="1" t="s">
        <v>1171</v>
      </c>
      <c r="AS412" s="1" t="s">
        <v>1798</v>
      </c>
      <c r="AT412" s="1" t="s">
        <v>330</v>
      </c>
      <c r="AU412" s="1">
        <v>101</v>
      </c>
      <c r="AV412" s="1">
        <v>0</v>
      </c>
      <c r="AW412" s="1" t="s">
        <v>4577</v>
      </c>
      <c r="AX412" s="1" t="s">
        <v>5502</v>
      </c>
      <c r="AY412" s="1">
        <v>5</v>
      </c>
      <c r="AZ412" s="1">
        <v>3101</v>
      </c>
      <c r="BA412" s="1" t="s">
        <v>330</v>
      </c>
      <c r="BB412" s="1" t="s">
        <v>5051</v>
      </c>
      <c r="BC412" s="1" t="s">
        <v>4975</v>
      </c>
      <c r="BD412" s="1">
        <v>0</v>
      </c>
      <c r="BE412" s="1"/>
    </row>
    <row r="413" spans="1:57" x14ac:dyDescent="0.25">
      <c r="A413" s="1">
        <v>20103</v>
      </c>
      <c r="B413" s="1" t="s">
        <v>4463</v>
      </c>
      <c r="C413" s="9" t="s">
        <v>266</v>
      </c>
      <c r="D413" s="1" t="s">
        <v>266</v>
      </c>
      <c r="E413" s="1"/>
      <c r="F413" s="1"/>
      <c r="G413" s="1" t="s">
        <v>4464</v>
      </c>
      <c r="H413" s="1" t="s">
        <v>4465</v>
      </c>
      <c r="I413" s="1" t="s">
        <v>4466</v>
      </c>
      <c r="J413" s="1">
        <v>2</v>
      </c>
      <c r="K413" s="1">
        <v>5</v>
      </c>
      <c r="L413" s="1">
        <v>8100</v>
      </c>
      <c r="M413" s="1">
        <v>25</v>
      </c>
      <c r="N413" s="1">
        <v>20</v>
      </c>
      <c r="O413" s="1">
        <v>15</v>
      </c>
      <c r="P413" s="1">
        <v>10</v>
      </c>
      <c r="Q413" s="1">
        <v>5</v>
      </c>
      <c r="R413" s="1">
        <v>5</v>
      </c>
      <c r="S413" s="1">
        <v>2</v>
      </c>
      <c r="T413" s="1">
        <v>0</v>
      </c>
      <c r="U413" s="1">
        <v>108</v>
      </c>
      <c r="V413" s="1">
        <v>105</v>
      </c>
      <c r="W413" s="1">
        <v>105</v>
      </c>
      <c r="X413" s="1">
        <v>100</v>
      </c>
      <c r="Y413" s="1">
        <v>110</v>
      </c>
      <c r="Z413" s="1">
        <v>120</v>
      </c>
      <c r="AA413" s="1">
        <v>0</v>
      </c>
      <c r="AB413" s="1">
        <v>15</v>
      </c>
      <c r="AC413" s="1">
        <v>5</v>
      </c>
      <c r="AD413" s="1">
        <v>0</v>
      </c>
      <c r="AE413" s="1">
        <v>110</v>
      </c>
      <c r="AF413" s="1">
        <v>100</v>
      </c>
      <c r="AG413" s="1">
        <v>801801</v>
      </c>
      <c r="AH413" s="1">
        <v>801804</v>
      </c>
      <c r="AI413" s="1">
        <v>801803</v>
      </c>
      <c r="AJ413" s="1" t="s">
        <v>1497</v>
      </c>
      <c r="AK413" s="1" t="s">
        <v>330</v>
      </c>
      <c r="AL413" s="1">
        <v>13</v>
      </c>
      <c r="AM413" s="1" t="s">
        <v>4876</v>
      </c>
      <c r="AN413" s="1" t="s">
        <v>4881</v>
      </c>
      <c r="AO413" s="1" t="s">
        <v>5527</v>
      </c>
      <c r="AP413" s="1">
        <v>0</v>
      </c>
      <c r="AQ413" s="1" t="s">
        <v>1797</v>
      </c>
      <c r="AR413" s="1" t="s">
        <v>1171</v>
      </c>
      <c r="AS413" s="1" t="s">
        <v>1798</v>
      </c>
      <c r="AT413" s="1" t="s">
        <v>330</v>
      </c>
      <c r="AU413" s="1">
        <v>103</v>
      </c>
      <c r="AV413" s="1">
        <v>0</v>
      </c>
      <c r="AW413" s="1" t="s">
        <v>5055</v>
      </c>
      <c r="AX413" s="1" t="s">
        <v>5502</v>
      </c>
      <c r="AY413" s="1">
        <v>5</v>
      </c>
      <c r="AZ413" s="1">
        <v>3103</v>
      </c>
      <c r="BA413" s="1" t="s">
        <v>330</v>
      </c>
      <c r="BB413" s="1" t="s">
        <v>5056</v>
      </c>
      <c r="BC413" s="1" t="s">
        <v>4975</v>
      </c>
      <c r="BD413" s="1">
        <v>0</v>
      </c>
      <c r="BE413" s="1"/>
    </row>
    <row r="414" spans="1:57" x14ac:dyDescent="0.25">
      <c r="A414" s="1">
        <v>20104</v>
      </c>
      <c r="B414" s="1" t="s">
        <v>4532</v>
      </c>
      <c r="C414" s="9" t="s">
        <v>1801</v>
      </c>
      <c r="D414" s="1" t="s">
        <v>1801</v>
      </c>
      <c r="E414" s="1"/>
      <c r="F414" s="1"/>
      <c r="G414" s="1" t="s">
        <v>4533</v>
      </c>
      <c r="H414" s="1" t="s">
        <v>4534</v>
      </c>
      <c r="I414" s="1" t="s">
        <v>4535</v>
      </c>
      <c r="J414" s="1">
        <v>2</v>
      </c>
      <c r="K414" s="1">
        <v>6</v>
      </c>
      <c r="L414" s="1">
        <v>9000</v>
      </c>
      <c r="M414" s="1">
        <v>25</v>
      </c>
      <c r="N414" s="1">
        <v>20</v>
      </c>
      <c r="O414" s="1">
        <v>15</v>
      </c>
      <c r="P414" s="1">
        <v>10</v>
      </c>
      <c r="Q414" s="1">
        <v>5</v>
      </c>
      <c r="R414" s="1">
        <v>5</v>
      </c>
      <c r="S414" s="1">
        <v>2</v>
      </c>
      <c r="T414" s="1">
        <v>0</v>
      </c>
      <c r="U414" s="1">
        <v>120</v>
      </c>
      <c r="V414" s="1">
        <v>135</v>
      </c>
      <c r="W414" s="1">
        <v>110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0</v>
      </c>
      <c r="AE414" s="1">
        <v>100</v>
      </c>
      <c r="AF414" s="1">
        <v>100</v>
      </c>
      <c r="AG414" s="1">
        <v>740003</v>
      </c>
      <c r="AH414" s="1">
        <v>740004</v>
      </c>
      <c r="AI414" s="1">
        <v>300102</v>
      </c>
      <c r="AJ414" s="1" t="s">
        <v>1802</v>
      </c>
      <c r="AK414" s="1" t="s">
        <v>1803</v>
      </c>
      <c r="AL414" s="1">
        <v>13</v>
      </c>
      <c r="AM414" s="1" t="s">
        <v>4876</v>
      </c>
      <c r="AN414" s="1" t="s">
        <v>4881</v>
      </c>
      <c r="AO414" s="1" t="s">
        <v>5545</v>
      </c>
      <c r="AP414" s="1">
        <v>0</v>
      </c>
      <c r="AQ414" s="1" t="s">
        <v>1797</v>
      </c>
      <c r="AR414" s="1" t="s">
        <v>1171</v>
      </c>
      <c r="AS414" s="1" t="s">
        <v>1182</v>
      </c>
      <c r="AT414" s="1" t="s">
        <v>330</v>
      </c>
      <c r="AU414" s="1">
        <v>104</v>
      </c>
      <c r="AV414" s="1">
        <v>0</v>
      </c>
      <c r="AW414" s="1" t="s">
        <v>5057</v>
      </c>
      <c r="AX414" s="1" t="s">
        <v>5502</v>
      </c>
      <c r="AY414" s="1">
        <v>6</v>
      </c>
      <c r="AZ414" s="1">
        <v>3104</v>
      </c>
      <c r="BA414" s="1" t="s">
        <v>330</v>
      </c>
      <c r="BB414" s="1" t="s">
        <v>5058</v>
      </c>
      <c r="BC414" s="1" t="s">
        <v>4855</v>
      </c>
      <c r="BD414" s="1">
        <v>0</v>
      </c>
      <c r="BE414" s="1"/>
    </row>
    <row r="415" spans="1:57" x14ac:dyDescent="0.25">
      <c r="A415" s="1">
        <v>20114</v>
      </c>
      <c r="B415" s="1" t="s">
        <v>4467</v>
      </c>
      <c r="C415" s="9" t="s">
        <v>843</v>
      </c>
      <c r="D415" s="1" t="s">
        <v>4468</v>
      </c>
      <c r="E415" s="1"/>
      <c r="F415" s="1"/>
      <c r="G415" s="1" t="s">
        <v>4469</v>
      </c>
      <c r="H415" s="1" t="s">
        <v>4470</v>
      </c>
      <c r="I415" s="1" t="s">
        <v>4471</v>
      </c>
      <c r="J415" s="1">
        <v>1</v>
      </c>
      <c r="K415" s="1">
        <v>6</v>
      </c>
      <c r="L415" s="1">
        <v>3600</v>
      </c>
      <c r="M415" s="1">
        <v>10</v>
      </c>
      <c r="N415" s="1">
        <v>10</v>
      </c>
      <c r="O415" s="1">
        <v>5</v>
      </c>
      <c r="P415" s="1">
        <v>5</v>
      </c>
      <c r="Q415" s="1">
        <v>2</v>
      </c>
      <c r="R415" s="1">
        <v>2</v>
      </c>
      <c r="S415" s="1">
        <v>2</v>
      </c>
      <c r="T415" s="1">
        <v>0</v>
      </c>
      <c r="U415" s="1">
        <v>120</v>
      </c>
      <c r="V415" s="1">
        <v>96</v>
      </c>
      <c r="W415" s="1">
        <v>90</v>
      </c>
      <c r="X415" s="1">
        <v>100</v>
      </c>
      <c r="Y415" s="1">
        <v>125</v>
      </c>
      <c r="Z415" s="1">
        <v>110</v>
      </c>
      <c r="AA415" s="1">
        <v>0</v>
      </c>
      <c r="AB415" s="1">
        <v>15</v>
      </c>
      <c r="AC415" s="1">
        <v>40</v>
      </c>
      <c r="AD415" s="1">
        <v>0</v>
      </c>
      <c r="AE415" s="1">
        <v>140</v>
      </c>
      <c r="AF415" s="1">
        <v>100</v>
      </c>
      <c r="AG415" s="1">
        <v>902241</v>
      </c>
      <c r="AH415" s="1">
        <v>902243</v>
      </c>
      <c r="AI415" s="1">
        <v>300101</v>
      </c>
      <c r="AJ415" s="1" t="s">
        <v>1498</v>
      </c>
      <c r="AK415" s="1" t="s">
        <v>330</v>
      </c>
      <c r="AL415" s="1">
        <v>12</v>
      </c>
      <c r="AM415" s="1" t="s">
        <v>1891</v>
      </c>
      <c r="AN415" s="1" t="s">
        <v>5528</v>
      </c>
      <c r="AO415" s="1" t="s">
        <v>5529</v>
      </c>
      <c r="AP415" s="1">
        <v>0</v>
      </c>
      <c r="AQ415" s="1" t="s">
        <v>1170</v>
      </c>
      <c r="AR415" s="1" t="s">
        <v>1171</v>
      </c>
      <c r="AS415" s="1" t="s">
        <v>4847</v>
      </c>
      <c r="AT415" s="1" t="s">
        <v>330</v>
      </c>
      <c r="AU415" s="1">
        <v>114</v>
      </c>
      <c r="AV415" s="1">
        <v>0</v>
      </c>
      <c r="AW415" s="1" t="s">
        <v>5055</v>
      </c>
      <c r="AX415" s="1" t="s">
        <v>5502</v>
      </c>
      <c r="AY415" s="1">
        <v>6</v>
      </c>
      <c r="AZ415" s="1">
        <v>3114</v>
      </c>
      <c r="BA415" s="1" t="s">
        <v>330</v>
      </c>
      <c r="BB415" s="1" t="s">
        <v>5075</v>
      </c>
      <c r="BC415" s="1" t="s">
        <v>330</v>
      </c>
      <c r="BD415" s="1">
        <v>0</v>
      </c>
      <c r="BE415" s="1"/>
    </row>
    <row r="416" spans="1:57" x14ac:dyDescent="0.25">
      <c r="A416" s="1">
        <v>20122</v>
      </c>
      <c r="B416" s="1" t="s">
        <v>4472</v>
      </c>
      <c r="C416" s="9" t="s">
        <v>1499</v>
      </c>
      <c r="D416" s="1" t="s">
        <v>1499</v>
      </c>
      <c r="E416" s="1"/>
      <c r="F416" s="1"/>
      <c r="G416" s="1" t="s">
        <v>4473</v>
      </c>
      <c r="H416" s="1" t="s">
        <v>4474</v>
      </c>
      <c r="I416" s="1" t="s">
        <v>4475</v>
      </c>
      <c r="J416" s="1">
        <v>4</v>
      </c>
      <c r="K416" s="1">
        <v>6</v>
      </c>
      <c r="L416" s="1">
        <v>14640</v>
      </c>
      <c r="M416" s="1">
        <v>20</v>
      </c>
      <c r="N416" s="1">
        <v>20</v>
      </c>
      <c r="O416" s="1">
        <v>10</v>
      </c>
      <c r="P416" s="1">
        <v>10</v>
      </c>
      <c r="Q416" s="1">
        <v>2</v>
      </c>
      <c r="R416" s="1">
        <v>5</v>
      </c>
      <c r="S416" s="1">
        <v>5</v>
      </c>
      <c r="T416" s="1">
        <v>0</v>
      </c>
      <c r="U416" s="1">
        <v>110</v>
      </c>
      <c r="V416" s="1">
        <v>105</v>
      </c>
      <c r="W416" s="1">
        <v>145</v>
      </c>
      <c r="X416" s="1">
        <v>100</v>
      </c>
      <c r="Y416" s="1">
        <v>115</v>
      </c>
      <c r="Z416" s="1">
        <v>105</v>
      </c>
      <c r="AA416" s="1">
        <v>0</v>
      </c>
      <c r="AB416" s="1">
        <v>15</v>
      </c>
      <c r="AC416" s="1">
        <v>20</v>
      </c>
      <c r="AD416" s="1">
        <v>0</v>
      </c>
      <c r="AE416" s="1">
        <v>114</v>
      </c>
      <c r="AF416" s="1">
        <v>100</v>
      </c>
      <c r="AG416" s="1">
        <v>900893</v>
      </c>
      <c r="AH416" s="1">
        <v>900894</v>
      </c>
      <c r="AI416" s="1">
        <v>900890</v>
      </c>
      <c r="AJ416" s="1" t="s">
        <v>1500</v>
      </c>
      <c r="AK416" s="1" t="s">
        <v>330</v>
      </c>
      <c r="AL416" s="1">
        <v>13</v>
      </c>
      <c r="AM416" s="1" t="s">
        <v>4805</v>
      </c>
      <c r="AN416" s="1" t="s">
        <v>4970</v>
      </c>
      <c r="AO416" s="1" t="s">
        <v>5530</v>
      </c>
      <c r="AP416" s="1">
        <v>0</v>
      </c>
      <c r="AQ416" s="1" t="s">
        <v>1182</v>
      </c>
      <c r="AR416" s="1" t="s">
        <v>1206</v>
      </c>
      <c r="AS416" s="1" t="s">
        <v>1797</v>
      </c>
      <c r="AT416" s="1" t="s">
        <v>330</v>
      </c>
      <c r="AU416" s="1">
        <v>122</v>
      </c>
      <c r="AV416" s="1">
        <v>0</v>
      </c>
      <c r="AW416" s="1" t="s">
        <v>5046</v>
      </c>
      <c r="AX416" s="1" t="s">
        <v>5502</v>
      </c>
      <c r="AY416" s="1">
        <v>6</v>
      </c>
      <c r="AZ416" s="1">
        <v>3122</v>
      </c>
      <c r="BA416" s="1" t="s">
        <v>330</v>
      </c>
      <c r="BB416" s="1" t="s">
        <v>5092</v>
      </c>
      <c r="BC416" s="1" t="s">
        <v>4975</v>
      </c>
      <c r="BD416" s="1">
        <v>0</v>
      </c>
      <c r="BE416" s="1"/>
    </row>
    <row r="417" spans="1:57" x14ac:dyDescent="0.25">
      <c r="A417" s="1">
        <v>20124</v>
      </c>
      <c r="B417" s="1" t="s">
        <v>4476</v>
      </c>
      <c r="C417" s="9" t="s">
        <v>841</v>
      </c>
      <c r="D417" s="1" t="s">
        <v>4477</v>
      </c>
      <c r="E417" s="1"/>
      <c r="F417" s="1"/>
      <c r="G417" s="1" t="s">
        <v>4478</v>
      </c>
      <c r="H417" s="1" t="s">
        <v>4479</v>
      </c>
      <c r="I417" s="1" t="s">
        <v>4480</v>
      </c>
      <c r="J417" s="1">
        <v>3</v>
      </c>
      <c r="K417" s="1">
        <v>4</v>
      </c>
      <c r="L417" s="1">
        <v>14400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100</v>
      </c>
      <c r="V417" s="1">
        <v>115</v>
      </c>
      <c r="W417" s="1">
        <v>120</v>
      </c>
      <c r="X417" s="1">
        <v>100</v>
      </c>
      <c r="Y417" s="1">
        <v>110</v>
      </c>
      <c r="Z417" s="1">
        <v>90</v>
      </c>
      <c r="AA417" s="1">
        <v>0</v>
      </c>
      <c r="AB417" s="1">
        <v>15</v>
      </c>
      <c r="AC417" s="1">
        <v>40</v>
      </c>
      <c r="AD417" s="1">
        <v>0</v>
      </c>
      <c r="AE417" s="1">
        <v>115</v>
      </c>
      <c r="AF417" s="1">
        <v>100</v>
      </c>
      <c r="AG417" s="1">
        <v>900880</v>
      </c>
      <c r="AH417" s="1">
        <v>900882</v>
      </c>
      <c r="AI417" s="1">
        <v>900883</v>
      </c>
      <c r="AJ417" s="1" t="s">
        <v>1501</v>
      </c>
      <c r="AK417" s="1" t="s">
        <v>1502</v>
      </c>
      <c r="AL417" s="1">
        <v>13</v>
      </c>
      <c r="AM417" s="1" t="s">
        <v>4848</v>
      </c>
      <c r="AN417" s="1" t="s">
        <v>5475</v>
      </c>
      <c r="AO417" s="1" t="s">
        <v>4918</v>
      </c>
      <c r="AP417" s="1">
        <v>0</v>
      </c>
      <c r="AQ417" s="1" t="s">
        <v>1192</v>
      </c>
      <c r="AR417" s="1" t="s">
        <v>4921</v>
      </c>
      <c r="AS417" s="1" t="s">
        <v>1194</v>
      </c>
      <c r="AT417" s="1" t="s">
        <v>330</v>
      </c>
      <c r="AU417" s="1">
        <v>124</v>
      </c>
      <c r="AV417" s="1">
        <v>0</v>
      </c>
      <c r="AW417" s="1" t="s">
        <v>5095</v>
      </c>
      <c r="AX417" s="1" t="s">
        <v>5502</v>
      </c>
      <c r="AY417" s="1">
        <v>4</v>
      </c>
      <c r="AZ417" s="1">
        <v>3124</v>
      </c>
      <c r="BA417" s="1" t="s">
        <v>330</v>
      </c>
      <c r="BB417" s="1" t="s">
        <v>5096</v>
      </c>
      <c r="BC417" s="1" t="s">
        <v>4806</v>
      </c>
      <c r="BD417" s="1">
        <v>0</v>
      </c>
      <c r="BE417" s="1"/>
    </row>
    <row r="418" spans="1:57" x14ac:dyDescent="0.25">
      <c r="A418" s="1">
        <v>20125</v>
      </c>
      <c r="B418" s="1" t="s">
        <v>4481</v>
      </c>
      <c r="C418" s="9" t="s">
        <v>945</v>
      </c>
      <c r="D418" s="1" t="s">
        <v>945</v>
      </c>
      <c r="E418" s="1"/>
      <c r="F418" s="1"/>
      <c r="G418" s="1" t="s">
        <v>4482</v>
      </c>
      <c r="H418" s="1" t="s">
        <v>4483</v>
      </c>
      <c r="I418" s="1" t="s">
        <v>4484</v>
      </c>
      <c r="J418" s="1">
        <v>5</v>
      </c>
      <c r="K418" s="1">
        <v>6</v>
      </c>
      <c r="L418" s="1">
        <v>24000</v>
      </c>
      <c r="M418" s="1">
        <v>40</v>
      </c>
      <c r="N418" s="1">
        <v>30</v>
      </c>
      <c r="O418" s="1">
        <v>25</v>
      </c>
      <c r="P418" s="1">
        <v>15</v>
      </c>
      <c r="Q418" s="1">
        <v>5</v>
      </c>
      <c r="R418" s="1">
        <v>5</v>
      </c>
      <c r="S418" s="1">
        <v>2</v>
      </c>
      <c r="T418" s="1">
        <v>5</v>
      </c>
      <c r="U418" s="1">
        <v>110</v>
      </c>
      <c r="V418" s="1">
        <v>102</v>
      </c>
      <c r="W418" s="1">
        <v>125</v>
      </c>
      <c r="X418" s="1">
        <v>100</v>
      </c>
      <c r="Y418" s="1">
        <v>130</v>
      </c>
      <c r="Z418" s="1">
        <v>120</v>
      </c>
      <c r="AA418" s="1">
        <v>0</v>
      </c>
      <c r="AB418" s="1">
        <v>15</v>
      </c>
      <c r="AC418" s="1">
        <v>5</v>
      </c>
      <c r="AD418" s="1">
        <v>10</v>
      </c>
      <c r="AE418" s="1">
        <v>135</v>
      </c>
      <c r="AF418" s="1">
        <v>100</v>
      </c>
      <c r="AG418" s="1">
        <v>803901</v>
      </c>
      <c r="AH418" s="1">
        <v>803904</v>
      </c>
      <c r="AI418" s="1">
        <v>803925</v>
      </c>
      <c r="AJ418" s="1" t="s">
        <v>1218</v>
      </c>
      <c r="AK418" s="1" t="s">
        <v>1503</v>
      </c>
      <c r="AL418" s="1">
        <v>18</v>
      </c>
      <c r="AM418" s="1" t="s">
        <v>4944</v>
      </c>
      <c r="AN418" s="1" t="s">
        <v>5070</v>
      </c>
      <c r="AO418" s="1" t="s">
        <v>5531</v>
      </c>
      <c r="AP418" s="1">
        <v>0</v>
      </c>
      <c r="AQ418" s="1" t="s">
        <v>5098</v>
      </c>
      <c r="AR418" s="1" t="s">
        <v>4997</v>
      </c>
      <c r="AS418" s="1" t="s">
        <v>1221</v>
      </c>
      <c r="AT418" s="1" t="s">
        <v>330</v>
      </c>
      <c r="AU418" s="1">
        <v>125</v>
      </c>
      <c r="AV418" s="1">
        <v>0</v>
      </c>
      <c r="AW418" s="1" t="s">
        <v>4928</v>
      </c>
      <c r="AX418" s="1" t="s">
        <v>5502</v>
      </c>
      <c r="AY418" s="1">
        <v>6</v>
      </c>
      <c r="AZ418" s="1">
        <v>3125</v>
      </c>
      <c r="BA418" s="1" t="s">
        <v>330</v>
      </c>
      <c r="BB418" s="1" t="s">
        <v>330</v>
      </c>
      <c r="BC418" s="1" t="s">
        <v>4855</v>
      </c>
      <c r="BD418" s="1">
        <v>0</v>
      </c>
      <c r="BE418" s="1"/>
    </row>
    <row r="419" spans="1:57" x14ac:dyDescent="0.25">
      <c r="A419" s="1">
        <v>20136</v>
      </c>
      <c r="B419" s="1" t="s">
        <v>4485</v>
      </c>
      <c r="C419" s="9" t="s">
        <v>1737</v>
      </c>
      <c r="D419" s="1" t="s">
        <v>1737</v>
      </c>
      <c r="E419" s="1"/>
      <c r="F419" s="1"/>
      <c r="G419" s="1" t="s">
        <v>4486</v>
      </c>
      <c r="H419" s="1" t="s">
        <v>4487</v>
      </c>
      <c r="I419" s="1" t="s">
        <v>4488</v>
      </c>
      <c r="J419" s="1">
        <v>2</v>
      </c>
      <c r="K419" s="1">
        <v>5</v>
      </c>
      <c r="L419" s="1">
        <v>8400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105</v>
      </c>
      <c r="V419" s="1">
        <v>103</v>
      </c>
      <c r="W419" s="1">
        <v>115</v>
      </c>
      <c r="X419" s="1">
        <v>100</v>
      </c>
      <c r="Y419" s="1">
        <v>115</v>
      </c>
      <c r="Z419" s="1">
        <v>125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902137</v>
      </c>
      <c r="AH419" s="1">
        <v>902148</v>
      </c>
      <c r="AI419" s="1">
        <v>300102</v>
      </c>
      <c r="AJ419" s="1" t="s">
        <v>1504</v>
      </c>
      <c r="AK419" s="1" t="s">
        <v>1505</v>
      </c>
      <c r="AL419" s="1">
        <v>13</v>
      </c>
      <c r="AM419" s="1" t="s">
        <v>4876</v>
      </c>
      <c r="AN419" s="1" t="s">
        <v>5079</v>
      </c>
      <c r="AO419" s="1" t="s">
        <v>5532</v>
      </c>
      <c r="AP419" s="1">
        <v>0</v>
      </c>
      <c r="AQ419" s="1" t="s">
        <v>1181</v>
      </c>
      <c r="AR419" s="1" t="s">
        <v>1171</v>
      </c>
      <c r="AS419" s="1" t="s">
        <v>1798</v>
      </c>
      <c r="AT419" s="1" t="s">
        <v>330</v>
      </c>
      <c r="AU419" s="1">
        <v>136</v>
      </c>
      <c r="AV419" s="1">
        <v>0</v>
      </c>
      <c r="AW419" s="1" t="s">
        <v>4894</v>
      </c>
      <c r="AX419" s="1" t="s">
        <v>5502</v>
      </c>
      <c r="AY419" s="1">
        <v>5</v>
      </c>
      <c r="AZ419" s="1">
        <v>3136</v>
      </c>
      <c r="BA419" s="1" t="s">
        <v>330</v>
      </c>
      <c r="BB419" s="1" t="s">
        <v>4879</v>
      </c>
      <c r="BC419" s="1" t="s">
        <v>4843</v>
      </c>
      <c r="BD419" s="1">
        <v>0</v>
      </c>
      <c r="BE419" s="1"/>
    </row>
    <row r="420" spans="1:57" x14ac:dyDescent="0.25">
      <c r="A420" s="1">
        <v>20143</v>
      </c>
      <c r="B420" s="1" t="s">
        <v>4489</v>
      </c>
      <c r="C420" s="9" t="s">
        <v>834</v>
      </c>
      <c r="D420" s="1" t="s">
        <v>834</v>
      </c>
      <c r="E420" s="1"/>
      <c r="F420" s="1"/>
      <c r="G420" s="1" t="s">
        <v>4490</v>
      </c>
      <c r="H420" s="1" t="s">
        <v>4491</v>
      </c>
      <c r="I420" s="1" t="s">
        <v>4492</v>
      </c>
      <c r="J420" s="1">
        <v>2</v>
      </c>
      <c r="K420" s="1">
        <v>6</v>
      </c>
      <c r="L420" s="1">
        <v>9300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115</v>
      </c>
      <c r="V420" s="1">
        <v>110</v>
      </c>
      <c r="W420" s="1">
        <v>125</v>
      </c>
      <c r="X420" s="1">
        <v>100</v>
      </c>
      <c r="Y420" s="1">
        <v>130</v>
      </c>
      <c r="Z420" s="1">
        <v>125</v>
      </c>
      <c r="AA420" s="1">
        <v>0</v>
      </c>
      <c r="AB420" s="1">
        <v>15</v>
      </c>
      <c r="AC420" s="1">
        <v>5</v>
      </c>
      <c r="AD420" s="1">
        <v>0</v>
      </c>
      <c r="AE420" s="1">
        <v>105</v>
      </c>
      <c r="AF420" s="1">
        <v>100</v>
      </c>
      <c r="AG420" s="1">
        <v>803501</v>
      </c>
      <c r="AH420" s="1">
        <v>803502</v>
      </c>
      <c r="AI420" s="1">
        <v>803504</v>
      </c>
      <c r="AJ420" s="1" t="s">
        <v>1506</v>
      </c>
      <c r="AK420" s="1" t="s">
        <v>1507</v>
      </c>
      <c r="AL420" s="1">
        <v>13</v>
      </c>
      <c r="AM420" s="1" t="s">
        <v>4876</v>
      </c>
      <c r="AN420" s="1" t="s">
        <v>5033</v>
      </c>
      <c r="AO420" s="1" t="s">
        <v>5533</v>
      </c>
      <c r="AP420" s="1">
        <v>0</v>
      </c>
      <c r="AQ420" s="1" t="s">
        <v>1797</v>
      </c>
      <c r="AR420" s="1" t="s">
        <v>1171</v>
      </c>
      <c r="AS420" s="1" t="s">
        <v>1182</v>
      </c>
      <c r="AT420" s="1" t="s">
        <v>330</v>
      </c>
      <c r="AU420" s="1">
        <v>143</v>
      </c>
      <c r="AV420" s="1">
        <v>0</v>
      </c>
      <c r="AW420" s="1" t="s">
        <v>5123</v>
      </c>
      <c r="AX420" s="1" t="s">
        <v>5502</v>
      </c>
      <c r="AY420" s="1">
        <v>6</v>
      </c>
      <c r="AZ420" s="1">
        <v>3143</v>
      </c>
      <c r="BA420" s="1" t="s">
        <v>330</v>
      </c>
      <c r="BB420" s="1" t="s">
        <v>5133</v>
      </c>
      <c r="BC420" s="1" t="s">
        <v>4946</v>
      </c>
      <c r="BD420" s="1">
        <v>0</v>
      </c>
      <c r="BE420" s="1"/>
    </row>
    <row r="421" spans="1:57" x14ac:dyDescent="0.25">
      <c r="A421" s="1">
        <v>20152</v>
      </c>
      <c r="B421" s="1" t="s">
        <v>4493</v>
      </c>
      <c r="C421" s="9" t="s">
        <v>731</v>
      </c>
      <c r="D421" s="1" t="s">
        <v>731</v>
      </c>
      <c r="E421" s="1"/>
      <c r="F421" s="1"/>
      <c r="G421" s="1" t="s">
        <v>4494</v>
      </c>
      <c r="H421" s="1" t="s">
        <v>4495</v>
      </c>
      <c r="I421" s="1" t="s">
        <v>4496</v>
      </c>
      <c r="J421" s="1">
        <v>6</v>
      </c>
      <c r="K421" s="1">
        <v>4</v>
      </c>
      <c r="L421" s="1">
        <v>27000</v>
      </c>
      <c r="M421" s="1">
        <v>30</v>
      </c>
      <c r="N421" s="1">
        <v>40</v>
      </c>
      <c r="O421" s="1">
        <v>15</v>
      </c>
      <c r="P421" s="1">
        <v>25</v>
      </c>
      <c r="Q421" s="1">
        <v>5</v>
      </c>
      <c r="R421" s="1">
        <v>2</v>
      </c>
      <c r="S421" s="1">
        <v>5</v>
      </c>
      <c r="T421" s="1">
        <v>5</v>
      </c>
      <c r="U421" s="1">
        <v>120</v>
      </c>
      <c r="V421" s="1">
        <v>125</v>
      </c>
      <c r="W421" s="1">
        <v>100</v>
      </c>
      <c r="X421" s="1">
        <v>100</v>
      </c>
      <c r="Y421" s="1">
        <v>108</v>
      </c>
      <c r="Z421" s="1">
        <v>95</v>
      </c>
      <c r="AA421" s="1">
        <v>115</v>
      </c>
      <c r="AB421" s="1">
        <v>15</v>
      </c>
      <c r="AC421" s="1">
        <v>40</v>
      </c>
      <c r="AD421" s="1">
        <v>4</v>
      </c>
      <c r="AE421" s="1">
        <v>100</v>
      </c>
      <c r="AF421" s="1">
        <v>100</v>
      </c>
      <c r="AG421" s="1">
        <v>103203</v>
      </c>
      <c r="AH421" s="1">
        <v>902142</v>
      </c>
      <c r="AI421" s="1">
        <v>902140</v>
      </c>
      <c r="AJ421" s="1" t="s">
        <v>1508</v>
      </c>
      <c r="AK421" s="1" t="s">
        <v>330</v>
      </c>
      <c r="AL421" s="1">
        <v>8</v>
      </c>
      <c r="AM421" s="1" t="s">
        <v>4802</v>
      </c>
      <c r="AN421" s="1" t="s">
        <v>5534</v>
      </c>
      <c r="AO421" s="1" t="s">
        <v>5535</v>
      </c>
      <c r="AP421" s="1">
        <v>0</v>
      </c>
      <c r="AQ421" s="1" t="s">
        <v>1252</v>
      </c>
      <c r="AR421" s="1" t="s">
        <v>5146</v>
      </c>
      <c r="AS421" s="1" t="s">
        <v>1254</v>
      </c>
      <c r="AT421" s="1" t="s">
        <v>330</v>
      </c>
      <c r="AU421" s="1">
        <v>152</v>
      </c>
      <c r="AV421" s="1">
        <v>0</v>
      </c>
      <c r="AW421" s="1" t="s">
        <v>5147</v>
      </c>
      <c r="AX421" s="1" t="s">
        <v>5502</v>
      </c>
      <c r="AY421" s="1">
        <v>4</v>
      </c>
      <c r="AZ421" s="1">
        <v>3152</v>
      </c>
      <c r="BA421" s="1" t="s">
        <v>330</v>
      </c>
      <c r="BB421" s="1" t="s">
        <v>330</v>
      </c>
      <c r="BC421" s="1" t="s">
        <v>4806</v>
      </c>
      <c r="BD421" s="1">
        <v>0</v>
      </c>
      <c r="BE421" s="1"/>
    </row>
    <row r="422" spans="1:57" x14ac:dyDescent="0.25">
      <c r="A422" s="1">
        <v>20154</v>
      </c>
      <c r="B422" s="1" t="s">
        <v>4497</v>
      </c>
      <c r="C422" s="9" t="s">
        <v>722</v>
      </c>
      <c r="D422" s="1" t="s">
        <v>722</v>
      </c>
      <c r="E422" s="1"/>
      <c r="F422" s="1"/>
      <c r="G422" s="1" t="s">
        <v>4498</v>
      </c>
      <c r="H422" s="1" t="s">
        <v>4499</v>
      </c>
      <c r="I422" s="1" t="s">
        <v>4500</v>
      </c>
      <c r="J422" s="1">
        <v>6</v>
      </c>
      <c r="K422" s="1">
        <v>4</v>
      </c>
      <c r="L422" s="1">
        <v>26400</v>
      </c>
      <c r="M422" s="1">
        <v>30</v>
      </c>
      <c r="N422" s="1">
        <v>40</v>
      </c>
      <c r="O422" s="1">
        <v>15</v>
      </c>
      <c r="P422" s="1">
        <v>25</v>
      </c>
      <c r="Q422" s="1">
        <v>5</v>
      </c>
      <c r="R422" s="1">
        <v>2</v>
      </c>
      <c r="S422" s="1">
        <v>5</v>
      </c>
      <c r="T422" s="1">
        <v>5</v>
      </c>
      <c r="U422" s="1">
        <v>120</v>
      </c>
      <c r="V422" s="1">
        <v>115</v>
      </c>
      <c r="W422" s="1">
        <v>115</v>
      </c>
      <c r="X422" s="1">
        <v>100</v>
      </c>
      <c r="Y422" s="1">
        <v>110</v>
      </c>
      <c r="Z422" s="1">
        <v>90</v>
      </c>
      <c r="AA422" s="1">
        <v>115</v>
      </c>
      <c r="AB422" s="1">
        <v>15</v>
      </c>
      <c r="AC422" s="1">
        <v>40</v>
      </c>
      <c r="AD422" s="1">
        <v>4</v>
      </c>
      <c r="AE422" s="1">
        <v>95</v>
      </c>
      <c r="AF422" s="1">
        <v>100</v>
      </c>
      <c r="AG422" s="1">
        <v>803301</v>
      </c>
      <c r="AH422" s="1">
        <v>803302</v>
      </c>
      <c r="AI422" s="1">
        <v>300106</v>
      </c>
      <c r="AJ422" s="1" t="s">
        <v>1509</v>
      </c>
      <c r="AK422" s="1" t="s">
        <v>1510</v>
      </c>
      <c r="AL422" s="1">
        <v>7</v>
      </c>
      <c r="AM422" s="1" t="s">
        <v>4802</v>
      </c>
      <c r="AN422" s="1" t="s">
        <v>472</v>
      </c>
      <c r="AO422" s="1" t="s">
        <v>5536</v>
      </c>
      <c r="AP422" s="1">
        <v>0</v>
      </c>
      <c r="AQ422" s="1" t="s">
        <v>1252</v>
      </c>
      <c r="AR422" s="1" t="s">
        <v>1253</v>
      </c>
      <c r="AS422" s="1" t="s">
        <v>5148</v>
      </c>
      <c r="AT422" s="1" t="s">
        <v>330</v>
      </c>
      <c r="AU422" s="1">
        <v>154</v>
      </c>
      <c r="AV422" s="1">
        <v>0</v>
      </c>
      <c r="AW422" s="1" t="s">
        <v>5123</v>
      </c>
      <c r="AX422" s="1" t="s">
        <v>5502</v>
      </c>
      <c r="AY422" s="1">
        <v>4</v>
      </c>
      <c r="AZ422" s="1">
        <v>3154</v>
      </c>
      <c r="BA422" s="1" t="s">
        <v>330</v>
      </c>
      <c r="BB422" s="1" t="s">
        <v>330</v>
      </c>
      <c r="BC422" s="1" t="s">
        <v>4806</v>
      </c>
      <c r="BD422" s="1">
        <v>0</v>
      </c>
      <c r="BE422" s="1"/>
    </row>
    <row r="423" spans="1:57" x14ac:dyDescent="0.25">
      <c r="A423" s="1">
        <v>20159</v>
      </c>
      <c r="B423" s="1" t="s">
        <v>4501</v>
      </c>
      <c r="C423" s="9" t="s">
        <v>946</v>
      </c>
      <c r="D423" s="1" t="s">
        <v>946</v>
      </c>
      <c r="E423" s="1"/>
      <c r="F423" s="1"/>
      <c r="G423" s="1" t="s">
        <v>4502</v>
      </c>
      <c r="H423" s="1" t="s">
        <v>4503</v>
      </c>
      <c r="I423" s="1" t="s">
        <v>4504</v>
      </c>
      <c r="J423" s="1">
        <v>6</v>
      </c>
      <c r="K423" s="1">
        <v>4</v>
      </c>
      <c r="L423" s="1">
        <v>27000</v>
      </c>
      <c r="M423" s="1">
        <v>30</v>
      </c>
      <c r="N423" s="1">
        <v>40</v>
      </c>
      <c r="O423" s="1">
        <v>15</v>
      </c>
      <c r="P423" s="1">
        <v>25</v>
      </c>
      <c r="Q423" s="1">
        <v>5</v>
      </c>
      <c r="R423" s="1">
        <v>2</v>
      </c>
      <c r="S423" s="1">
        <v>5</v>
      </c>
      <c r="T423" s="1">
        <v>5</v>
      </c>
      <c r="U423" s="1">
        <v>110</v>
      </c>
      <c r="V423" s="1">
        <v>112</v>
      </c>
      <c r="W423" s="1">
        <v>110</v>
      </c>
      <c r="X423" s="1">
        <v>100</v>
      </c>
      <c r="Y423" s="1">
        <v>106</v>
      </c>
      <c r="Z423" s="1">
        <v>120</v>
      </c>
      <c r="AA423" s="1">
        <v>120</v>
      </c>
      <c r="AB423" s="1">
        <v>15</v>
      </c>
      <c r="AC423" s="1">
        <v>40</v>
      </c>
      <c r="AD423" s="1">
        <v>4</v>
      </c>
      <c r="AE423" s="1">
        <v>100</v>
      </c>
      <c r="AF423" s="1">
        <v>100</v>
      </c>
      <c r="AG423" s="1">
        <v>803701</v>
      </c>
      <c r="AH423" s="1">
        <v>803702</v>
      </c>
      <c r="AI423" s="1">
        <v>300106</v>
      </c>
      <c r="AJ423" s="1" t="s">
        <v>1511</v>
      </c>
      <c r="AK423" s="1" t="s">
        <v>1512</v>
      </c>
      <c r="AL423" s="1">
        <v>9</v>
      </c>
      <c r="AM423" s="1" t="s">
        <v>4802</v>
      </c>
      <c r="AN423" s="1" t="s">
        <v>367</v>
      </c>
      <c r="AO423" s="1" t="s">
        <v>5537</v>
      </c>
      <c r="AP423" s="1">
        <v>0</v>
      </c>
      <c r="AQ423" s="1" t="s">
        <v>5153</v>
      </c>
      <c r="AR423" s="1" t="s">
        <v>1253</v>
      </c>
      <c r="AS423" s="1" t="s">
        <v>1254</v>
      </c>
      <c r="AT423" s="1" t="s">
        <v>330</v>
      </c>
      <c r="AU423" s="1">
        <v>159</v>
      </c>
      <c r="AV423" s="1">
        <v>0</v>
      </c>
      <c r="AW423" s="1" t="s">
        <v>5123</v>
      </c>
      <c r="AX423" s="1" t="s">
        <v>5502</v>
      </c>
      <c r="AY423" s="1">
        <v>4</v>
      </c>
      <c r="AZ423" s="1">
        <v>3159</v>
      </c>
      <c r="BA423" s="1" t="s">
        <v>330</v>
      </c>
      <c r="BB423" s="1" t="s">
        <v>330</v>
      </c>
      <c r="BC423" s="1" t="s">
        <v>4843</v>
      </c>
      <c r="BD423" s="1">
        <v>0</v>
      </c>
      <c r="BE423" s="1"/>
    </row>
    <row r="424" spans="1:57" x14ac:dyDescent="0.25">
      <c r="A424" s="1">
        <v>20161</v>
      </c>
      <c r="B424" s="1" t="s">
        <v>4505</v>
      </c>
      <c r="C424" s="9" t="s">
        <v>740</v>
      </c>
      <c r="D424" s="1" t="s">
        <v>4506</v>
      </c>
      <c r="E424" s="1"/>
      <c r="F424" s="1"/>
      <c r="G424" s="1" t="s">
        <v>4507</v>
      </c>
      <c r="H424" s="1" t="s">
        <v>4508</v>
      </c>
      <c r="I424" s="1" t="s">
        <v>4509</v>
      </c>
      <c r="J424" s="1">
        <v>6</v>
      </c>
      <c r="K424" s="1">
        <v>5</v>
      </c>
      <c r="L424" s="1">
        <v>27000</v>
      </c>
      <c r="M424" s="1">
        <v>30</v>
      </c>
      <c r="N424" s="1">
        <v>40</v>
      </c>
      <c r="O424" s="1">
        <v>15</v>
      </c>
      <c r="P424" s="1">
        <v>25</v>
      </c>
      <c r="Q424" s="1">
        <v>5</v>
      </c>
      <c r="R424" s="1">
        <v>2</v>
      </c>
      <c r="S424" s="1">
        <v>5</v>
      </c>
      <c r="T424" s="1">
        <v>5</v>
      </c>
      <c r="U424" s="1">
        <v>120</v>
      </c>
      <c r="V424" s="1">
        <v>120</v>
      </c>
      <c r="W424" s="1">
        <v>105</v>
      </c>
      <c r="X424" s="1">
        <v>100</v>
      </c>
      <c r="Y424" s="1">
        <v>110</v>
      </c>
      <c r="Z424" s="1">
        <v>115</v>
      </c>
      <c r="AA424" s="1">
        <v>115</v>
      </c>
      <c r="AB424" s="1">
        <v>15</v>
      </c>
      <c r="AC424" s="1">
        <v>40</v>
      </c>
      <c r="AD424" s="1">
        <v>3</v>
      </c>
      <c r="AE424" s="1">
        <v>105</v>
      </c>
      <c r="AF424" s="1">
        <v>100</v>
      </c>
      <c r="AG424" s="1">
        <v>900886</v>
      </c>
      <c r="AH424" s="1">
        <v>900887</v>
      </c>
      <c r="AI424" s="1">
        <v>900888</v>
      </c>
      <c r="AJ424" s="1" t="s">
        <v>1513</v>
      </c>
      <c r="AK424" s="1" t="s">
        <v>330</v>
      </c>
      <c r="AL424" s="1">
        <v>8</v>
      </c>
      <c r="AM424" s="1" t="s">
        <v>4802</v>
      </c>
      <c r="AN424" s="1" t="s">
        <v>5538</v>
      </c>
      <c r="AO424" s="1" t="s">
        <v>5154</v>
      </c>
      <c r="AP424" s="1">
        <v>0</v>
      </c>
      <c r="AQ424" s="1" t="s">
        <v>5153</v>
      </c>
      <c r="AR424" s="1" t="s">
        <v>1253</v>
      </c>
      <c r="AS424" s="1" t="s">
        <v>1254</v>
      </c>
      <c r="AT424" s="1" t="s">
        <v>330</v>
      </c>
      <c r="AU424" s="1">
        <v>161</v>
      </c>
      <c r="AV424" s="1">
        <v>0</v>
      </c>
      <c r="AW424" s="1" t="s">
        <v>5123</v>
      </c>
      <c r="AX424" s="1" t="s">
        <v>5502</v>
      </c>
      <c r="AY424" s="1">
        <v>5</v>
      </c>
      <c r="AZ424" s="1">
        <v>3161</v>
      </c>
      <c r="BA424" s="1" t="s">
        <v>330</v>
      </c>
      <c r="BB424" s="1" t="s">
        <v>5038</v>
      </c>
      <c r="BC424" s="1" t="s">
        <v>4869</v>
      </c>
      <c r="BD424" s="1">
        <v>0</v>
      </c>
      <c r="BE424" s="1"/>
    </row>
    <row r="425" spans="1:57" x14ac:dyDescent="0.25">
      <c r="A425" s="1">
        <v>20171</v>
      </c>
      <c r="B425" s="1" t="s">
        <v>4536</v>
      </c>
      <c r="C425" s="9" t="s">
        <v>1807</v>
      </c>
      <c r="D425" s="1" t="s">
        <v>4537</v>
      </c>
      <c r="E425" s="1"/>
      <c r="F425" s="1"/>
      <c r="G425" s="1" t="s">
        <v>4538</v>
      </c>
      <c r="H425" s="1" t="s">
        <v>4539</v>
      </c>
      <c r="I425" s="1" t="s">
        <v>4540</v>
      </c>
      <c r="J425" s="1">
        <v>4</v>
      </c>
      <c r="K425" s="1">
        <v>5</v>
      </c>
      <c r="L425" s="1">
        <v>13200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105</v>
      </c>
      <c r="V425" s="1">
        <v>130</v>
      </c>
      <c r="W425" s="1">
        <v>96</v>
      </c>
      <c r="X425" s="1">
        <v>100</v>
      </c>
      <c r="Y425" s="1">
        <v>100</v>
      </c>
      <c r="Z425" s="1">
        <v>85</v>
      </c>
      <c r="AA425" s="1">
        <v>0</v>
      </c>
      <c r="AB425" s="1">
        <v>15</v>
      </c>
      <c r="AC425" s="1">
        <v>20</v>
      </c>
      <c r="AD425" s="1">
        <v>0</v>
      </c>
      <c r="AE425" s="1">
        <v>135</v>
      </c>
      <c r="AF425" s="1">
        <v>100</v>
      </c>
      <c r="AG425" s="1">
        <v>804001</v>
      </c>
      <c r="AH425" s="1">
        <v>804002</v>
      </c>
      <c r="AI425" s="1">
        <v>300103</v>
      </c>
      <c r="AJ425" s="1" t="s">
        <v>1800</v>
      </c>
      <c r="AK425" s="1" t="s">
        <v>330</v>
      </c>
      <c r="AL425" s="1">
        <v>13</v>
      </c>
      <c r="AM425" s="1" t="s">
        <v>4876</v>
      </c>
      <c r="AN425" s="1" t="s">
        <v>466</v>
      </c>
      <c r="AO425" s="1" t="s">
        <v>5444</v>
      </c>
      <c r="AP425" s="1">
        <v>0</v>
      </c>
      <c r="AQ425" s="1" t="s">
        <v>1798</v>
      </c>
      <c r="AR425" s="1" t="s">
        <v>1206</v>
      </c>
      <c r="AS425" s="1" t="s">
        <v>1181</v>
      </c>
      <c r="AT425" s="1" t="s">
        <v>330</v>
      </c>
      <c r="AU425" s="1">
        <v>171</v>
      </c>
      <c r="AV425" s="1">
        <v>0</v>
      </c>
      <c r="AW425" s="1" t="s">
        <v>5170</v>
      </c>
      <c r="AX425" s="1" t="s">
        <v>5502</v>
      </c>
      <c r="AY425" s="1">
        <v>5</v>
      </c>
      <c r="AZ425" s="1">
        <v>3171</v>
      </c>
      <c r="BA425" s="1" t="s">
        <v>330</v>
      </c>
      <c r="BB425" s="1" t="s">
        <v>5175</v>
      </c>
      <c r="BC425" s="1" t="s">
        <v>330</v>
      </c>
      <c r="BD425" s="1">
        <v>0</v>
      </c>
      <c r="BE425" s="1"/>
    </row>
    <row r="426" spans="1:57" x14ac:dyDescent="0.25">
      <c r="A426" s="1">
        <v>20178</v>
      </c>
      <c r="B426" s="1" t="s">
        <v>4510</v>
      </c>
      <c r="C426" s="9" t="s">
        <v>835</v>
      </c>
      <c r="D426" s="1" t="s">
        <v>835</v>
      </c>
      <c r="E426" s="1"/>
      <c r="F426" s="1"/>
      <c r="G426" s="1" t="s">
        <v>4511</v>
      </c>
      <c r="H426" s="1" t="s">
        <v>4512</v>
      </c>
      <c r="I426" s="1" t="s">
        <v>4513</v>
      </c>
      <c r="J426" s="1">
        <v>2</v>
      </c>
      <c r="K426" s="1">
        <v>4</v>
      </c>
      <c r="L426" s="1">
        <v>6600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120</v>
      </c>
      <c r="V426" s="1">
        <v>102</v>
      </c>
      <c r="W426" s="1">
        <v>100</v>
      </c>
      <c r="X426" s="1">
        <v>100</v>
      </c>
      <c r="Y426" s="1">
        <v>110</v>
      </c>
      <c r="Z426" s="1">
        <v>98</v>
      </c>
      <c r="AA426" s="1">
        <v>0</v>
      </c>
      <c r="AB426" s="1">
        <v>15</v>
      </c>
      <c r="AC426" s="1">
        <v>5</v>
      </c>
      <c r="AD426" s="1">
        <v>0</v>
      </c>
      <c r="AE426" s="1">
        <v>112</v>
      </c>
      <c r="AF426" s="1">
        <v>100</v>
      </c>
      <c r="AG426" s="1">
        <v>902234</v>
      </c>
      <c r="AH426" s="1">
        <v>902235</v>
      </c>
      <c r="AI426" s="1">
        <v>300102</v>
      </c>
      <c r="AJ426" s="1" t="s">
        <v>330</v>
      </c>
      <c r="AK426" s="1" t="s">
        <v>330</v>
      </c>
      <c r="AL426" s="1">
        <v>13</v>
      </c>
      <c r="AM426" s="1" t="s">
        <v>400</v>
      </c>
      <c r="AN426" s="1" t="s">
        <v>5539</v>
      </c>
      <c r="AO426" s="1" t="s">
        <v>5540</v>
      </c>
      <c r="AP426" s="1">
        <v>0</v>
      </c>
      <c r="AQ426" s="1" t="s">
        <v>1797</v>
      </c>
      <c r="AR426" s="1" t="s">
        <v>1171</v>
      </c>
      <c r="AS426" s="1" t="s">
        <v>1182</v>
      </c>
      <c r="AT426" s="1" t="s">
        <v>330</v>
      </c>
      <c r="AU426" s="1">
        <v>178</v>
      </c>
      <c r="AV426" s="1">
        <v>0</v>
      </c>
      <c r="AW426" s="1" t="s">
        <v>5053</v>
      </c>
      <c r="AX426" s="1" t="s">
        <v>5502</v>
      </c>
      <c r="AY426" s="1">
        <v>4</v>
      </c>
      <c r="AZ426" s="1">
        <v>3178</v>
      </c>
      <c r="BA426" s="1" t="s">
        <v>330</v>
      </c>
      <c r="BB426" s="1" t="s">
        <v>5190</v>
      </c>
      <c r="BC426" s="1" t="s">
        <v>330</v>
      </c>
      <c r="BD426" s="1">
        <v>0</v>
      </c>
      <c r="BE426" s="1"/>
    </row>
    <row r="427" spans="1:57" x14ac:dyDescent="0.25">
      <c r="A427" s="1">
        <v>20199</v>
      </c>
      <c r="B427" s="1" t="s">
        <v>4514</v>
      </c>
      <c r="C427" s="9" t="s">
        <v>842</v>
      </c>
      <c r="D427" s="1" t="s">
        <v>4515</v>
      </c>
      <c r="E427" s="1"/>
      <c r="F427" s="1"/>
      <c r="G427" s="1" t="s">
        <v>4516</v>
      </c>
      <c r="H427" s="1" t="s">
        <v>4517</v>
      </c>
      <c r="I427" s="1" t="s">
        <v>4518</v>
      </c>
      <c r="J427" s="1">
        <v>5</v>
      </c>
      <c r="K427" s="1">
        <v>5</v>
      </c>
      <c r="L427" s="1">
        <v>22500</v>
      </c>
      <c r="M427" s="1">
        <v>40</v>
      </c>
      <c r="N427" s="1">
        <v>30</v>
      </c>
      <c r="O427" s="1">
        <v>25</v>
      </c>
      <c r="P427" s="1">
        <v>15</v>
      </c>
      <c r="Q427" s="1">
        <v>5</v>
      </c>
      <c r="R427" s="1">
        <v>5</v>
      </c>
      <c r="S427" s="1">
        <v>2</v>
      </c>
      <c r="T427" s="1">
        <v>5</v>
      </c>
      <c r="U427" s="1">
        <v>108</v>
      </c>
      <c r="V427" s="1">
        <v>128</v>
      </c>
      <c r="W427" s="1">
        <v>115</v>
      </c>
      <c r="X427" s="1">
        <v>100</v>
      </c>
      <c r="Y427" s="1">
        <v>122</v>
      </c>
      <c r="Z427" s="1">
        <v>105</v>
      </c>
      <c r="AA427" s="1">
        <v>0</v>
      </c>
      <c r="AB427" s="1">
        <v>15</v>
      </c>
      <c r="AC427" s="1">
        <v>5</v>
      </c>
      <c r="AD427" s="1">
        <v>10</v>
      </c>
      <c r="AE427" s="1">
        <v>105</v>
      </c>
      <c r="AF427" s="1">
        <v>100</v>
      </c>
      <c r="AG427" s="1">
        <v>902236</v>
      </c>
      <c r="AH427" s="1">
        <v>902237</v>
      </c>
      <c r="AI427" s="1">
        <v>902238</v>
      </c>
      <c r="AJ427" s="1" t="s">
        <v>1514</v>
      </c>
      <c r="AK427" s="1" t="s">
        <v>1278</v>
      </c>
      <c r="AL427" s="1">
        <v>19</v>
      </c>
      <c r="AM427" s="1" t="s">
        <v>389</v>
      </c>
      <c r="AN427" s="1" t="s">
        <v>5541</v>
      </c>
      <c r="AO427" s="1" t="s">
        <v>5353</v>
      </c>
      <c r="AP427" s="1">
        <v>0</v>
      </c>
      <c r="AQ427" s="1" t="s">
        <v>5098</v>
      </c>
      <c r="AR427" s="1" t="s">
        <v>1220</v>
      </c>
      <c r="AS427" s="1" t="s">
        <v>1221</v>
      </c>
      <c r="AT427" s="1" t="s">
        <v>330</v>
      </c>
      <c r="AU427" s="1">
        <v>199</v>
      </c>
      <c r="AV427" s="1">
        <v>0</v>
      </c>
      <c r="AW427" s="1" t="s">
        <v>5119</v>
      </c>
      <c r="AX427" s="1" t="s">
        <v>5502</v>
      </c>
      <c r="AY427" s="1">
        <v>5</v>
      </c>
      <c r="AZ427" s="1">
        <v>3199</v>
      </c>
      <c r="BA427" s="1" t="s">
        <v>330</v>
      </c>
      <c r="BB427" s="1" t="s">
        <v>5223</v>
      </c>
      <c r="BC427" s="1" t="s">
        <v>4869</v>
      </c>
      <c r="BD427" s="1">
        <v>0</v>
      </c>
      <c r="BE427" s="1"/>
    </row>
    <row r="428" spans="1:57" x14ac:dyDescent="0.25">
      <c r="A428" s="1">
        <v>20200</v>
      </c>
      <c r="B428" s="1" t="s">
        <v>4519</v>
      </c>
      <c r="C428" s="9" t="s">
        <v>947</v>
      </c>
      <c r="D428" s="1" t="s">
        <v>947</v>
      </c>
      <c r="E428" s="1"/>
      <c r="F428" s="1"/>
      <c r="G428" s="1" t="s">
        <v>4520</v>
      </c>
      <c r="H428" s="1" t="s">
        <v>4521</v>
      </c>
      <c r="I428" s="1" t="s">
        <v>4522</v>
      </c>
      <c r="J428" s="1">
        <v>3</v>
      </c>
      <c r="K428" s="1">
        <v>5</v>
      </c>
      <c r="L428" s="1">
        <v>15600</v>
      </c>
      <c r="M428" s="1">
        <v>15</v>
      </c>
      <c r="N428" s="1">
        <v>30</v>
      </c>
      <c r="O428" s="1">
        <v>10</v>
      </c>
      <c r="P428" s="1">
        <v>15</v>
      </c>
      <c r="Q428" s="1">
        <v>5</v>
      </c>
      <c r="R428" s="1">
        <v>2</v>
      </c>
      <c r="S428" s="1">
        <v>5</v>
      </c>
      <c r="T428" s="1">
        <v>0</v>
      </c>
      <c r="U428" s="1">
        <v>95</v>
      </c>
      <c r="V428" s="1">
        <v>120</v>
      </c>
      <c r="W428" s="1">
        <v>105</v>
      </c>
      <c r="X428" s="1">
        <v>100</v>
      </c>
      <c r="Y428" s="1">
        <v>128</v>
      </c>
      <c r="Z428" s="1">
        <v>88</v>
      </c>
      <c r="AA428" s="1">
        <v>0</v>
      </c>
      <c r="AB428" s="1">
        <v>15</v>
      </c>
      <c r="AC428" s="1">
        <v>40</v>
      </c>
      <c r="AD428" s="1">
        <v>0</v>
      </c>
      <c r="AE428" s="1">
        <v>128</v>
      </c>
      <c r="AF428" s="1">
        <v>100</v>
      </c>
      <c r="AG428" s="1">
        <v>803801</v>
      </c>
      <c r="AH428" s="1">
        <v>803802</v>
      </c>
      <c r="AI428" s="1">
        <v>803803</v>
      </c>
      <c r="AJ428" s="1" t="s">
        <v>1515</v>
      </c>
      <c r="AK428" s="1" t="s">
        <v>330</v>
      </c>
      <c r="AL428" s="1">
        <v>13</v>
      </c>
      <c r="AM428" s="1" t="s">
        <v>4848</v>
      </c>
      <c r="AN428" s="1" t="s">
        <v>4915</v>
      </c>
      <c r="AO428" s="1" t="s">
        <v>4931</v>
      </c>
      <c r="AP428" s="1">
        <v>0</v>
      </c>
      <c r="AQ428" s="1" t="s">
        <v>1799</v>
      </c>
      <c r="AR428" s="1" t="s">
        <v>1193</v>
      </c>
      <c r="AS428" s="1" t="s">
        <v>1194</v>
      </c>
      <c r="AT428" s="1" t="s">
        <v>330</v>
      </c>
      <c r="AU428" s="1">
        <v>200</v>
      </c>
      <c r="AV428" s="1">
        <v>0</v>
      </c>
      <c r="AW428" s="1" t="s">
        <v>5217</v>
      </c>
      <c r="AX428" s="1" t="s">
        <v>5502</v>
      </c>
      <c r="AY428" s="1">
        <v>5</v>
      </c>
      <c r="AZ428" s="1">
        <v>3200</v>
      </c>
      <c r="BA428" s="1" t="s">
        <v>330</v>
      </c>
      <c r="BB428" s="1" t="s">
        <v>330</v>
      </c>
      <c r="BC428" s="1" t="s">
        <v>4806</v>
      </c>
      <c r="BD428" s="1">
        <v>0</v>
      </c>
      <c r="BE428" s="1"/>
    </row>
    <row r="429" spans="1:57" x14ac:dyDescent="0.25">
      <c r="A429" s="1">
        <v>20201</v>
      </c>
      <c r="B429" s="1" t="s">
        <v>4541</v>
      </c>
      <c r="C429" s="9" t="s">
        <v>1808</v>
      </c>
      <c r="D429" s="1" t="s">
        <v>4542</v>
      </c>
      <c r="E429" s="1"/>
      <c r="F429" s="1"/>
      <c r="G429" s="1" t="s">
        <v>4543</v>
      </c>
      <c r="H429" s="1" t="s">
        <v>4544</v>
      </c>
      <c r="I429" s="1" t="s">
        <v>4545</v>
      </c>
      <c r="J429" s="1">
        <v>3</v>
      </c>
      <c r="K429" s="1">
        <v>4</v>
      </c>
      <c r="L429" s="1">
        <v>15600</v>
      </c>
      <c r="M429" s="1">
        <v>15</v>
      </c>
      <c r="N429" s="1">
        <v>30</v>
      </c>
      <c r="O429" s="1">
        <v>10</v>
      </c>
      <c r="P429" s="1">
        <v>15</v>
      </c>
      <c r="Q429" s="1">
        <v>5</v>
      </c>
      <c r="R429" s="1">
        <v>2</v>
      </c>
      <c r="S429" s="1">
        <v>5</v>
      </c>
      <c r="T429" s="1">
        <v>0</v>
      </c>
      <c r="U429" s="1">
        <v>100</v>
      </c>
      <c r="V429" s="1">
        <v>140</v>
      </c>
      <c r="W429" s="1">
        <v>85</v>
      </c>
      <c r="X429" s="1">
        <v>100</v>
      </c>
      <c r="Y429" s="1">
        <v>120</v>
      </c>
      <c r="Z429" s="1">
        <v>82</v>
      </c>
      <c r="AA429" s="1">
        <v>0</v>
      </c>
      <c r="AB429" s="1">
        <v>15</v>
      </c>
      <c r="AC429" s="1">
        <v>40</v>
      </c>
      <c r="AD429" s="1">
        <v>0</v>
      </c>
      <c r="AE429" s="1">
        <v>120</v>
      </c>
      <c r="AF429" s="1">
        <v>100</v>
      </c>
      <c r="AG429" s="1">
        <v>740008</v>
      </c>
      <c r="AH429" s="1">
        <v>740009</v>
      </c>
      <c r="AI429" s="1">
        <v>740012</v>
      </c>
      <c r="AJ429" s="1" t="s">
        <v>1804</v>
      </c>
      <c r="AK429" s="1" t="s">
        <v>1805</v>
      </c>
      <c r="AL429" s="1">
        <v>13</v>
      </c>
      <c r="AM429" s="1" t="s">
        <v>4848</v>
      </c>
      <c r="AN429" s="1" t="s">
        <v>4970</v>
      </c>
      <c r="AO429" s="1" t="s">
        <v>4918</v>
      </c>
      <c r="AP429" s="1">
        <v>0</v>
      </c>
      <c r="AQ429" s="1" t="s">
        <v>1799</v>
      </c>
      <c r="AR429" s="1" t="s">
        <v>1193</v>
      </c>
      <c r="AS429" s="1" t="s">
        <v>1194</v>
      </c>
      <c r="AT429" s="1" t="s">
        <v>330</v>
      </c>
      <c r="AU429" s="1">
        <v>201</v>
      </c>
      <c r="AV429" s="1">
        <v>0</v>
      </c>
      <c r="AW429" s="1" t="s">
        <v>5225</v>
      </c>
      <c r="AX429" s="1" t="s">
        <v>5502</v>
      </c>
      <c r="AY429" s="1">
        <v>4</v>
      </c>
      <c r="AZ429" s="1">
        <v>3201</v>
      </c>
      <c r="BA429" s="1" t="s">
        <v>330</v>
      </c>
      <c r="BB429" s="1" t="s">
        <v>355</v>
      </c>
      <c r="BC429" s="1" t="s">
        <v>330</v>
      </c>
      <c r="BD429" s="1">
        <v>0</v>
      </c>
      <c r="BE429" s="1"/>
    </row>
    <row r="430" spans="1:57" x14ac:dyDescent="0.25">
      <c r="A430" s="1">
        <v>20220</v>
      </c>
      <c r="B430" s="1" t="s">
        <v>4546</v>
      </c>
      <c r="C430" s="9" t="s">
        <v>1806</v>
      </c>
      <c r="D430" s="1" t="s">
        <v>1806</v>
      </c>
      <c r="E430" s="1"/>
      <c r="F430" s="1"/>
      <c r="G430" s="1" t="s">
        <v>4547</v>
      </c>
      <c r="H430" s="1" t="s">
        <v>4548</v>
      </c>
      <c r="I430" s="1" t="s">
        <v>4549</v>
      </c>
      <c r="J430" s="1">
        <v>1</v>
      </c>
      <c r="K430" s="1">
        <v>4</v>
      </c>
      <c r="L430" s="1">
        <v>2700</v>
      </c>
      <c r="M430" s="1">
        <v>10</v>
      </c>
      <c r="N430" s="1">
        <v>10</v>
      </c>
      <c r="O430" s="1">
        <v>5</v>
      </c>
      <c r="P430" s="1">
        <v>5</v>
      </c>
      <c r="Q430" s="1">
        <v>2</v>
      </c>
      <c r="R430" s="1">
        <v>2</v>
      </c>
      <c r="S430" s="1">
        <v>2</v>
      </c>
      <c r="T430" s="1">
        <v>0</v>
      </c>
      <c r="U430" s="1">
        <v>115</v>
      </c>
      <c r="V430" s="1">
        <v>120</v>
      </c>
      <c r="W430" s="1">
        <v>110</v>
      </c>
      <c r="X430" s="1">
        <v>100</v>
      </c>
      <c r="Y430" s="1">
        <v>105</v>
      </c>
      <c r="Z430" s="1">
        <v>105</v>
      </c>
      <c r="AA430" s="1">
        <v>0</v>
      </c>
      <c r="AB430" s="1">
        <v>15</v>
      </c>
      <c r="AC430" s="1">
        <v>20</v>
      </c>
      <c r="AD430" s="1">
        <v>0</v>
      </c>
      <c r="AE430" s="1">
        <v>122</v>
      </c>
      <c r="AF430" s="1">
        <v>100</v>
      </c>
      <c r="AG430" s="1">
        <v>740001</v>
      </c>
      <c r="AH430" s="1">
        <v>740002</v>
      </c>
      <c r="AI430" s="1">
        <v>300101</v>
      </c>
      <c r="AJ430" s="1" t="s">
        <v>330</v>
      </c>
      <c r="AK430" s="1" t="s">
        <v>330</v>
      </c>
      <c r="AL430" s="1">
        <v>13</v>
      </c>
      <c r="AM430" s="1" t="s">
        <v>1891</v>
      </c>
      <c r="AN430" s="1" t="s">
        <v>4947</v>
      </c>
      <c r="AO430" s="1" t="s">
        <v>5040</v>
      </c>
      <c r="AP430" s="1">
        <v>0</v>
      </c>
      <c r="AQ430" s="1" t="s">
        <v>1170</v>
      </c>
      <c r="AR430" s="1" t="s">
        <v>1796</v>
      </c>
      <c r="AS430" s="1" t="s">
        <v>1172</v>
      </c>
      <c r="AT430" s="1" t="s">
        <v>330</v>
      </c>
      <c r="AU430" s="1">
        <v>220</v>
      </c>
      <c r="AV430" s="1">
        <v>0</v>
      </c>
      <c r="AW430" s="1" t="s">
        <v>5260</v>
      </c>
      <c r="AX430" s="1" t="s">
        <v>5502</v>
      </c>
      <c r="AY430" s="1">
        <v>4</v>
      </c>
      <c r="AZ430" s="1">
        <v>3220</v>
      </c>
      <c r="BA430" s="1" t="s">
        <v>330</v>
      </c>
      <c r="BB430" s="1" t="s">
        <v>469</v>
      </c>
      <c r="BC430" s="1" t="s">
        <v>4843</v>
      </c>
      <c r="BD430" s="1">
        <v>0</v>
      </c>
      <c r="BE430" s="1"/>
    </row>
    <row r="431" spans="1:57" x14ac:dyDescent="0.25">
      <c r="A431" s="1">
        <v>20221</v>
      </c>
      <c r="B431" s="1" t="s">
        <v>4523</v>
      </c>
      <c r="C431" s="9" t="s">
        <v>1738</v>
      </c>
      <c r="D431" s="1" t="s">
        <v>4524</v>
      </c>
      <c r="E431" s="1"/>
      <c r="F431" s="1"/>
      <c r="G431" s="1" t="s">
        <v>4525</v>
      </c>
      <c r="H431" s="1" t="s">
        <v>4526</v>
      </c>
      <c r="I431" s="1" t="s">
        <v>4527</v>
      </c>
      <c r="J431" s="1">
        <v>1</v>
      </c>
      <c r="K431" s="1">
        <v>4</v>
      </c>
      <c r="L431" s="1">
        <v>2700</v>
      </c>
      <c r="M431" s="1">
        <v>10</v>
      </c>
      <c r="N431" s="1">
        <v>10</v>
      </c>
      <c r="O431" s="1">
        <v>5</v>
      </c>
      <c r="P431" s="1">
        <v>5</v>
      </c>
      <c r="Q431" s="1">
        <v>2</v>
      </c>
      <c r="R431" s="1">
        <v>2</v>
      </c>
      <c r="S431" s="1">
        <v>2</v>
      </c>
      <c r="T431" s="1">
        <v>0</v>
      </c>
      <c r="U431" s="1">
        <v>108</v>
      </c>
      <c r="V431" s="1">
        <v>130</v>
      </c>
      <c r="W431" s="1">
        <v>111</v>
      </c>
      <c r="X431" s="1">
        <v>100</v>
      </c>
      <c r="Y431" s="1">
        <v>115</v>
      </c>
      <c r="Z431" s="1">
        <v>130</v>
      </c>
      <c r="AA431" s="1">
        <v>0</v>
      </c>
      <c r="AB431" s="1">
        <v>15</v>
      </c>
      <c r="AC431" s="1">
        <v>20</v>
      </c>
      <c r="AD431" s="1">
        <v>0</v>
      </c>
      <c r="AE431" s="1">
        <v>105</v>
      </c>
      <c r="AF431" s="1">
        <v>100</v>
      </c>
      <c r="AG431" s="1">
        <v>803201</v>
      </c>
      <c r="AH431" s="1">
        <v>803205</v>
      </c>
      <c r="AI431" s="1">
        <v>803203</v>
      </c>
      <c r="AJ431" s="1" t="s">
        <v>1212</v>
      </c>
      <c r="AK431" s="1" t="s">
        <v>1516</v>
      </c>
      <c r="AL431" s="1">
        <v>13</v>
      </c>
      <c r="AM431" s="1" t="s">
        <v>1891</v>
      </c>
      <c r="AN431" s="1" t="s">
        <v>5542</v>
      </c>
      <c r="AO431" s="1" t="s">
        <v>5149</v>
      </c>
      <c r="AP431" s="1">
        <v>0</v>
      </c>
      <c r="AQ431" s="1" t="s">
        <v>1170</v>
      </c>
      <c r="AR431" s="1" t="s">
        <v>1796</v>
      </c>
      <c r="AS431" s="1" t="s">
        <v>1172</v>
      </c>
      <c r="AT431" s="1" t="s">
        <v>330</v>
      </c>
      <c r="AU431" s="1">
        <v>221</v>
      </c>
      <c r="AV431" s="1">
        <v>0</v>
      </c>
      <c r="AW431" s="1" t="s">
        <v>5262</v>
      </c>
      <c r="AX431" s="1" t="s">
        <v>5502</v>
      </c>
      <c r="AY431" s="1">
        <v>4</v>
      </c>
      <c r="AZ431" s="1">
        <v>3221</v>
      </c>
      <c r="BA431" s="1" t="s">
        <v>330</v>
      </c>
      <c r="BB431" s="1" t="s">
        <v>5263</v>
      </c>
      <c r="BC431" s="1" t="s">
        <v>4843</v>
      </c>
      <c r="BD431" s="1">
        <v>0</v>
      </c>
      <c r="BE431" s="1"/>
    </row>
    <row r="432" spans="1:57" x14ac:dyDescent="0.25">
      <c r="A432" s="1">
        <v>20252</v>
      </c>
      <c r="B432" s="1" t="s">
        <v>4528</v>
      </c>
      <c r="C432" s="9" t="s">
        <v>267</v>
      </c>
      <c r="D432" s="1" t="s">
        <v>267</v>
      </c>
      <c r="E432" s="1"/>
      <c r="F432" s="1"/>
      <c r="G432" s="1" t="s">
        <v>4529</v>
      </c>
      <c r="H432" s="1" t="s">
        <v>4530</v>
      </c>
      <c r="I432" s="1" t="s">
        <v>4531</v>
      </c>
      <c r="J432" s="1">
        <v>3</v>
      </c>
      <c r="K432" s="1">
        <v>5</v>
      </c>
      <c r="L432" s="1">
        <v>15000</v>
      </c>
      <c r="M432" s="1">
        <v>15</v>
      </c>
      <c r="N432" s="1">
        <v>30</v>
      </c>
      <c r="O432" s="1">
        <v>10</v>
      </c>
      <c r="P432" s="1">
        <v>15</v>
      </c>
      <c r="Q432" s="1">
        <v>5</v>
      </c>
      <c r="R432" s="1">
        <v>2</v>
      </c>
      <c r="S432" s="1">
        <v>5</v>
      </c>
      <c r="T432" s="1">
        <v>0</v>
      </c>
      <c r="U432" s="1">
        <v>100</v>
      </c>
      <c r="V432" s="1">
        <v>142</v>
      </c>
      <c r="W432" s="1">
        <v>92</v>
      </c>
      <c r="X432" s="1">
        <v>100</v>
      </c>
      <c r="Y432" s="1">
        <v>118</v>
      </c>
      <c r="Z432" s="1">
        <v>82</v>
      </c>
      <c r="AA432" s="1">
        <v>0</v>
      </c>
      <c r="AB432" s="1">
        <v>15</v>
      </c>
      <c r="AC432" s="1">
        <v>40</v>
      </c>
      <c r="AD432" s="1">
        <v>0</v>
      </c>
      <c r="AE432" s="1">
        <v>128</v>
      </c>
      <c r="AF432" s="1">
        <v>100</v>
      </c>
      <c r="AG432" s="1">
        <v>900623</v>
      </c>
      <c r="AH432" s="1">
        <v>900622</v>
      </c>
      <c r="AI432" s="1">
        <v>900621</v>
      </c>
      <c r="AJ432" s="1" t="s">
        <v>1517</v>
      </c>
      <c r="AK432" s="1" t="s">
        <v>330</v>
      </c>
      <c r="AL432" s="1">
        <v>18</v>
      </c>
      <c r="AM432" s="1" t="s">
        <v>5543</v>
      </c>
      <c r="AN432" s="1" t="s">
        <v>5544</v>
      </c>
      <c r="AO432" s="1" t="s">
        <v>4918</v>
      </c>
      <c r="AP432" s="1">
        <v>0</v>
      </c>
      <c r="AQ432" s="1" t="s">
        <v>1799</v>
      </c>
      <c r="AR432" s="1" t="s">
        <v>1193</v>
      </c>
      <c r="AS432" s="1" t="s">
        <v>1194</v>
      </c>
      <c r="AT432" s="1" t="s">
        <v>330</v>
      </c>
      <c r="AU432" s="1">
        <v>184</v>
      </c>
      <c r="AV432" s="1">
        <v>0</v>
      </c>
      <c r="AW432" s="1" t="s">
        <v>5275</v>
      </c>
      <c r="AX432" s="1" t="s">
        <v>5502</v>
      </c>
      <c r="AY432" s="1">
        <v>5</v>
      </c>
      <c r="AZ432" s="1">
        <v>3252</v>
      </c>
      <c r="BA432" s="1" t="s">
        <v>330</v>
      </c>
      <c r="BB432" s="1" t="s">
        <v>330</v>
      </c>
      <c r="BC432" s="1" t="s">
        <v>4843</v>
      </c>
      <c r="BD432" s="1">
        <v>0</v>
      </c>
      <c r="BE432" s="1"/>
    </row>
  </sheetData>
  <autoFilter ref="A1:BD429" xr:uid="{758A8C06-F23F-4131-92FF-72A91D6332E2}">
    <sortState ref="A2:BD43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H4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0" x14ac:dyDescent="0.25">
      <c r="A1" s="43" t="s">
        <v>25</v>
      </c>
      <c r="B1" s="43" t="s">
        <v>1862</v>
      </c>
      <c r="C1" s="43" t="s">
        <v>219</v>
      </c>
      <c r="D1" s="43" t="s">
        <v>323</v>
      </c>
      <c r="E1" s="43" t="s">
        <v>2690</v>
      </c>
      <c r="F1" s="43" t="s">
        <v>2691</v>
      </c>
      <c r="G1" s="43" t="s">
        <v>2692</v>
      </c>
      <c r="H1" s="43" t="s">
        <v>2693</v>
      </c>
      <c r="I1" s="43" t="s">
        <v>4550</v>
      </c>
      <c r="J1" s="43" t="s">
        <v>61</v>
      </c>
      <c r="K1" s="43" t="s">
        <v>1005</v>
      </c>
      <c r="L1" s="43" t="s">
        <v>1006</v>
      </c>
      <c r="M1" s="43" t="s">
        <v>1007</v>
      </c>
      <c r="N1" s="43" t="s">
        <v>1008</v>
      </c>
      <c r="O1" s="43" t="s">
        <v>1009</v>
      </c>
      <c r="P1" s="43" t="s">
        <v>4551</v>
      </c>
      <c r="Q1" s="43" t="s">
        <v>220</v>
      </c>
      <c r="R1" s="43" t="s">
        <v>41</v>
      </c>
      <c r="S1" s="43" t="s">
        <v>4552</v>
      </c>
      <c r="T1" s="43" t="s">
        <v>42</v>
      </c>
      <c r="U1" s="43" t="s">
        <v>894</v>
      </c>
      <c r="V1" s="43" t="s">
        <v>1010</v>
      </c>
      <c r="W1" s="43" t="s">
        <v>4553</v>
      </c>
      <c r="X1" s="43" t="s">
        <v>4554</v>
      </c>
      <c r="Y1" s="43" t="s">
        <v>1166</v>
      </c>
      <c r="Z1" s="43" t="s">
        <v>1165</v>
      </c>
      <c r="AA1" s="43" t="s">
        <v>2694</v>
      </c>
      <c r="AB1" s="43" t="s">
        <v>2695</v>
      </c>
      <c r="AC1" s="43" t="s">
        <v>2696</v>
      </c>
      <c r="AD1" s="43" t="s">
        <v>2697</v>
      </c>
      <c r="AE1" s="43" t="s">
        <v>1749</v>
      </c>
      <c r="AF1" s="43" t="s">
        <v>1159</v>
      </c>
      <c r="AG1" s="43" t="s">
        <v>1160</v>
      </c>
      <c r="AH1" s="43" t="s">
        <v>1161</v>
      </c>
      <c r="AI1" s="43" t="s">
        <v>1162</v>
      </c>
      <c r="AJ1" s="43" t="s">
        <v>1163</v>
      </c>
      <c r="AK1" s="43" t="s">
        <v>221</v>
      </c>
      <c r="AL1" s="43" t="s">
        <v>2703</v>
      </c>
      <c r="AM1" s="43" t="s">
        <v>4555</v>
      </c>
      <c r="AN1" s="43" t="s">
        <v>1164</v>
      </c>
      <c r="AO1" s="10" t="s">
        <v>2702</v>
      </c>
      <c r="AP1" s="10" t="s">
        <v>2704</v>
      </c>
      <c r="AQ1" s="10" t="s">
        <v>4556</v>
      </c>
      <c r="AR1" s="10" t="s">
        <v>4557</v>
      </c>
      <c r="AS1" s="10" t="s">
        <v>2705</v>
      </c>
      <c r="AT1" s="10" t="s">
        <v>4558</v>
      </c>
      <c r="AU1" s="10" t="s">
        <v>2709</v>
      </c>
      <c r="AV1" s="10" t="s">
        <v>4559</v>
      </c>
      <c r="AW1" s="10" t="s">
        <v>4560</v>
      </c>
      <c r="AX1" s="10" t="s">
        <v>4561</v>
      </c>
      <c r="AY1" s="10" t="s">
        <v>4562</v>
      </c>
      <c r="AZ1" s="10" t="s">
        <v>2712</v>
      </c>
      <c r="BA1" s="10" t="s">
        <v>588</v>
      </c>
      <c r="BB1" s="10" t="s">
        <v>2713</v>
      </c>
      <c r="BC1" s="10" t="s">
        <v>2714</v>
      </c>
      <c r="BD1" s="10" t="s">
        <v>4563</v>
      </c>
      <c r="BE1" s="10" t="s">
        <v>4564</v>
      </c>
      <c r="BF1" s="10" t="s">
        <v>4565</v>
      </c>
      <c r="BG1" s="10" t="s">
        <v>4566</v>
      </c>
      <c r="BH1" s="10" t="s">
        <v>2720</v>
      </c>
    </row>
    <row r="2" spans="1:60" x14ac:dyDescent="0.25">
      <c r="A2">
        <v>1012</v>
      </c>
      <c r="B2" t="s">
        <v>4585</v>
      </c>
      <c r="C2" t="s">
        <v>1025</v>
      </c>
      <c r="D2" t="s">
        <v>1025</v>
      </c>
      <c r="E2" t="s">
        <v>4586</v>
      </c>
      <c r="G2" t="s">
        <v>4570</v>
      </c>
      <c r="H2" t="s">
        <v>4587</v>
      </c>
      <c r="I2">
        <v>1</v>
      </c>
      <c r="J2">
        <v>1</v>
      </c>
      <c r="K2" t="s">
        <v>1012</v>
      </c>
      <c r="L2">
        <v>1</v>
      </c>
      <c r="M2">
        <v>112</v>
      </c>
      <c r="N2" t="s">
        <v>1013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4588</v>
      </c>
      <c r="X2" t="s">
        <v>330</v>
      </c>
      <c r="Y2" t="s">
        <v>4589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4590</v>
      </c>
      <c r="AV2" t="s">
        <v>4576</v>
      </c>
      <c r="AW2" t="s">
        <v>4576</v>
      </c>
      <c r="AX2" t="s">
        <v>4576</v>
      </c>
      <c r="AY2">
        <v>45</v>
      </c>
      <c r="AZ2">
        <v>11002</v>
      </c>
      <c r="BA2">
        <v>1</v>
      </c>
      <c r="BB2" t="s">
        <v>4577</v>
      </c>
      <c r="BC2" t="s">
        <v>1891</v>
      </c>
      <c r="BD2">
        <v>930012</v>
      </c>
      <c r="BE2" t="s">
        <v>4578</v>
      </c>
      <c r="BF2" t="s">
        <v>4579</v>
      </c>
      <c r="BG2">
        <v>100</v>
      </c>
      <c r="BH2">
        <v>10604</v>
      </c>
    </row>
    <row r="3" spans="1:60" x14ac:dyDescent="0.25">
      <c r="A3">
        <v>1008</v>
      </c>
      <c r="B3" t="s">
        <v>4591</v>
      </c>
      <c r="C3" t="s">
        <v>1020</v>
      </c>
      <c r="D3" t="s">
        <v>1020</v>
      </c>
      <c r="E3" t="s">
        <v>4592</v>
      </c>
      <c r="G3" t="s">
        <v>4570</v>
      </c>
      <c r="H3" t="s">
        <v>4593</v>
      </c>
      <c r="I3">
        <v>1</v>
      </c>
      <c r="J3">
        <v>1</v>
      </c>
      <c r="K3" t="s">
        <v>1015</v>
      </c>
      <c r="L3">
        <v>1</v>
      </c>
      <c r="M3">
        <v>108</v>
      </c>
      <c r="N3" t="s">
        <v>1013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4594</v>
      </c>
      <c r="X3" t="s">
        <v>4595</v>
      </c>
      <c r="Y3" t="s">
        <v>4596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4597</v>
      </c>
      <c r="AV3" t="s">
        <v>4576</v>
      </c>
      <c r="AW3" t="s">
        <v>4576</v>
      </c>
      <c r="AX3" t="s">
        <v>4576</v>
      </c>
      <c r="AY3">
        <v>23</v>
      </c>
      <c r="AZ3">
        <v>11002</v>
      </c>
      <c r="BA3">
        <v>2</v>
      </c>
      <c r="BB3" t="s">
        <v>4577</v>
      </c>
      <c r="BC3" t="s">
        <v>1891</v>
      </c>
      <c r="BD3">
        <v>930008</v>
      </c>
      <c r="BE3" t="s">
        <v>4578</v>
      </c>
      <c r="BF3" t="s">
        <v>4579</v>
      </c>
      <c r="BG3">
        <v>100</v>
      </c>
      <c r="BH3">
        <v>10602</v>
      </c>
    </row>
    <row r="4" spans="1:60" x14ac:dyDescent="0.25">
      <c r="A4">
        <v>1006</v>
      </c>
      <c r="B4" t="s">
        <v>4598</v>
      </c>
      <c r="C4" t="s">
        <v>1748</v>
      </c>
      <c r="D4" t="s">
        <v>4599</v>
      </c>
      <c r="E4" t="s">
        <v>4600</v>
      </c>
      <c r="G4" t="s">
        <v>4570</v>
      </c>
      <c r="H4" t="s">
        <v>4601</v>
      </c>
      <c r="I4">
        <v>1</v>
      </c>
      <c r="J4">
        <v>1</v>
      </c>
      <c r="K4" t="s">
        <v>1012</v>
      </c>
      <c r="L4">
        <v>1</v>
      </c>
      <c r="M4">
        <v>106</v>
      </c>
      <c r="N4" t="s">
        <v>1013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4602</v>
      </c>
      <c r="X4" t="s">
        <v>4603</v>
      </c>
      <c r="Y4" t="s">
        <v>330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4604</v>
      </c>
      <c r="AV4" t="s">
        <v>4576</v>
      </c>
      <c r="AW4" t="s">
        <v>4576</v>
      </c>
      <c r="AX4" t="s">
        <v>4576</v>
      </c>
      <c r="AY4">
        <v>27</v>
      </c>
      <c r="AZ4">
        <v>11002</v>
      </c>
      <c r="BA4">
        <v>1</v>
      </c>
      <c r="BB4" t="s">
        <v>4577</v>
      </c>
      <c r="BC4" t="s">
        <v>1891</v>
      </c>
      <c r="BD4">
        <v>930006</v>
      </c>
      <c r="BE4" t="s">
        <v>4578</v>
      </c>
      <c r="BF4" t="s">
        <v>4579</v>
      </c>
      <c r="BG4">
        <v>100</v>
      </c>
      <c r="BH4">
        <v>10603</v>
      </c>
    </row>
    <row r="5" spans="1:60" x14ac:dyDescent="0.25">
      <c r="A5">
        <v>1015</v>
      </c>
      <c r="B5" t="s">
        <v>4605</v>
      </c>
      <c r="C5" t="s">
        <v>1750</v>
      </c>
      <c r="D5" t="s">
        <v>4606</v>
      </c>
      <c r="E5" t="s">
        <v>4607</v>
      </c>
      <c r="G5" t="s">
        <v>4570</v>
      </c>
      <c r="H5" t="s">
        <v>4608</v>
      </c>
      <c r="I5">
        <v>1</v>
      </c>
      <c r="J5">
        <v>1</v>
      </c>
      <c r="K5" t="s">
        <v>1012</v>
      </c>
      <c r="L5">
        <v>1</v>
      </c>
      <c r="M5">
        <v>115</v>
      </c>
      <c r="N5" t="s">
        <v>1013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4609</v>
      </c>
      <c r="X5" t="s">
        <v>4610</v>
      </c>
      <c r="Y5" t="s">
        <v>4611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4612</v>
      </c>
      <c r="AV5" t="s">
        <v>4576</v>
      </c>
      <c r="AW5" t="s">
        <v>4576</v>
      </c>
      <c r="AX5" t="s">
        <v>4576</v>
      </c>
      <c r="AY5">
        <v>126</v>
      </c>
      <c r="AZ5">
        <v>11002</v>
      </c>
      <c r="BA5">
        <v>1</v>
      </c>
      <c r="BB5" t="s">
        <v>4577</v>
      </c>
      <c r="BC5" t="s">
        <v>1891</v>
      </c>
      <c r="BD5">
        <v>930016</v>
      </c>
      <c r="BE5" t="s">
        <v>4578</v>
      </c>
      <c r="BF5" t="s">
        <v>4579</v>
      </c>
      <c r="BG5">
        <v>100</v>
      </c>
      <c r="BH5">
        <v>10603</v>
      </c>
    </row>
    <row r="6" spans="1:60" x14ac:dyDescent="0.25">
      <c r="A6">
        <v>1005</v>
      </c>
      <c r="B6" t="s">
        <v>4613</v>
      </c>
      <c r="C6" t="s">
        <v>1018</v>
      </c>
      <c r="D6" t="s">
        <v>1018</v>
      </c>
      <c r="E6" t="s">
        <v>4614</v>
      </c>
      <c r="G6" t="s">
        <v>4570</v>
      </c>
      <c r="H6" t="s">
        <v>4615</v>
      </c>
      <c r="I6">
        <v>1</v>
      </c>
      <c r="J6">
        <v>1</v>
      </c>
      <c r="K6" t="s">
        <v>1012</v>
      </c>
      <c r="L6">
        <v>1</v>
      </c>
      <c r="M6">
        <v>105</v>
      </c>
      <c r="N6" t="s">
        <v>1013</v>
      </c>
      <c r="O6">
        <v>10</v>
      </c>
      <c r="P6">
        <v>0</v>
      </c>
      <c r="Q6">
        <v>5</v>
      </c>
      <c r="R6">
        <v>900737</v>
      </c>
      <c r="S6">
        <v>3</v>
      </c>
      <c r="T6">
        <v>1010</v>
      </c>
      <c r="U6">
        <v>900733</v>
      </c>
      <c r="V6">
        <v>900734</v>
      </c>
      <c r="W6" t="s">
        <v>4616</v>
      </c>
      <c r="X6" t="s">
        <v>4617</v>
      </c>
      <c r="Y6" t="s">
        <v>4618</v>
      </c>
      <c r="Z6">
        <v>900730</v>
      </c>
      <c r="AA6">
        <v>10</v>
      </c>
      <c r="AB6">
        <v>10</v>
      </c>
      <c r="AC6">
        <v>5</v>
      </c>
      <c r="AD6">
        <v>5</v>
      </c>
      <c r="AE6">
        <v>110</v>
      </c>
      <c r="AF6">
        <v>135</v>
      </c>
      <c r="AG6">
        <v>70</v>
      </c>
      <c r="AH6">
        <v>100</v>
      </c>
      <c r="AI6">
        <v>95</v>
      </c>
      <c r="AJ6">
        <v>0</v>
      </c>
      <c r="AK6">
        <v>15</v>
      </c>
      <c r="AL6">
        <v>20</v>
      </c>
      <c r="AM6">
        <v>150</v>
      </c>
      <c r="AN6">
        <v>100</v>
      </c>
      <c r="AO6">
        <v>15</v>
      </c>
      <c r="AP6">
        <v>0</v>
      </c>
      <c r="AQ6">
        <v>2</v>
      </c>
      <c r="AR6">
        <v>15</v>
      </c>
      <c r="AS6">
        <v>500</v>
      </c>
      <c r="AT6">
        <v>7</v>
      </c>
      <c r="AU6" t="s">
        <v>4619</v>
      </c>
      <c r="AV6" t="s">
        <v>4576</v>
      </c>
      <c r="AW6" t="s">
        <v>4576</v>
      </c>
      <c r="AX6" t="s">
        <v>4576</v>
      </c>
      <c r="AY6">
        <v>18</v>
      </c>
      <c r="AZ6">
        <v>11002</v>
      </c>
      <c r="BA6">
        <v>1</v>
      </c>
      <c r="BB6" t="s">
        <v>4577</v>
      </c>
      <c r="BC6" t="s">
        <v>1891</v>
      </c>
      <c r="BD6">
        <v>930005</v>
      </c>
      <c r="BE6" t="s">
        <v>4578</v>
      </c>
      <c r="BF6" t="s">
        <v>4579</v>
      </c>
      <c r="BG6">
        <v>100</v>
      </c>
      <c r="BH6">
        <v>10603</v>
      </c>
    </row>
    <row r="7" spans="1:60" x14ac:dyDescent="0.25">
      <c r="A7">
        <v>1009</v>
      </c>
      <c r="B7" t="s">
        <v>4620</v>
      </c>
      <c r="C7" t="s">
        <v>1021</v>
      </c>
      <c r="D7" t="s">
        <v>1021</v>
      </c>
      <c r="E7" t="s">
        <v>4621</v>
      </c>
      <c r="G7" t="s">
        <v>4570</v>
      </c>
      <c r="H7" t="s">
        <v>4622</v>
      </c>
      <c r="I7">
        <v>1</v>
      </c>
      <c r="J7">
        <v>1</v>
      </c>
      <c r="K7" t="s">
        <v>1012</v>
      </c>
      <c r="L7">
        <v>1</v>
      </c>
      <c r="M7">
        <v>109</v>
      </c>
      <c r="N7" t="s">
        <v>1013</v>
      </c>
      <c r="O7">
        <v>10</v>
      </c>
      <c r="P7">
        <v>0</v>
      </c>
      <c r="Q7">
        <v>5</v>
      </c>
      <c r="R7">
        <v>900960</v>
      </c>
      <c r="S7">
        <v>3</v>
      </c>
      <c r="T7">
        <v>1012</v>
      </c>
      <c r="U7">
        <v>900962</v>
      </c>
      <c r="V7">
        <v>900963</v>
      </c>
      <c r="W7" t="s">
        <v>4623</v>
      </c>
      <c r="X7" t="s">
        <v>4624</v>
      </c>
      <c r="Y7" t="s">
        <v>330</v>
      </c>
      <c r="Z7">
        <v>900965</v>
      </c>
      <c r="AA7">
        <v>10</v>
      </c>
      <c r="AB7">
        <v>10</v>
      </c>
      <c r="AC7">
        <v>5</v>
      </c>
      <c r="AD7">
        <v>5</v>
      </c>
      <c r="AE7">
        <v>95</v>
      </c>
      <c r="AF7">
        <v>125</v>
      </c>
      <c r="AG7">
        <v>100</v>
      </c>
      <c r="AH7">
        <v>110</v>
      </c>
      <c r="AI7">
        <v>100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4625</v>
      </c>
      <c r="AV7" t="s">
        <v>4576</v>
      </c>
      <c r="AW7" t="s">
        <v>4576</v>
      </c>
      <c r="AX7" t="s">
        <v>4576</v>
      </c>
      <c r="AY7">
        <v>24</v>
      </c>
      <c r="AZ7">
        <v>11002</v>
      </c>
      <c r="BA7">
        <v>1</v>
      </c>
      <c r="BB7" t="s">
        <v>4626</v>
      </c>
      <c r="BC7" t="s">
        <v>1891</v>
      </c>
      <c r="BD7">
        <v>930009</v>
      </c>
      <c r="BE7" t="s">
        <v>4578</v>
      </c>
      <c r="BF7" t="s">
        <v>4579</v>
      </c>
      <c r="BG7">
        <v>100</v>
      </c>
      <c r="BH7">
        <v>10604</v>
      </c>
    </row>
    <row r="8" spans="1:60" x14ac:dyDescent="0.25">
      <c r="A8">
        <v>1002</v>
      </c>
      <c r="B8" t="s">
        <v>4627</v>
      </c>
      <c r="C8" t="s">
        <v>1014</v>
      </c>
      <c r="D8" t="s">
        <v>1014</v>
      </c>
      <c r="E8" t="s">
        <v>4628</v>
      </c>
      <c r="G8" t="s">
        <v>4570</v>
      </c>
      <c r="H8" t="s">
        <v>4629</v>
      </c>
      <c r="I8">
        <v>1</v>
      </c>
      <c r="J8">
        <v>1</v>
      </c>
      <c r="K8" t="s">
        <v>1015</v>
      </c>
      <c r="L8">
        <v>1</v>
      </c>
      <c r="M8">
        <v>102</v>
      </c>
      <c r="N8" t="s">
        <v>1013</v>
      </c>
      <c r="O8">
        <v>10</v>
      </c>
      <c r="P8">
        <v>0</v>
      </c>
      <c r="Q8">
        <v>5</v>
      </c>
      <c r="R8">
        <v>600301</v>
      </c>
      <c r="S8">
        <v>1</v>
      </c>
      <c r="T8">
        <v>600302</v>
      </c>
      <c r="U8">
        <v>600303</v>
      </c>
      <c r="V8">
        <v>600304</v>
      </c>
      <c r="W8" t="s">
        <v>4630</v>
      </c>
      <c r="X8" t="s">
        <v>4631</v>
      </c>
      <c r="Y8" t="s">
        <v>4632</v>
      </c>
      <c r="Z8">
        <v>600309</v>
      </c>
      <c r="AA8">
        <v>10</v>
      </c>
      <c r="AB8">
        <v>10</v>
      </c>
      <c r="AC8">
        <v>5</v>
      </c>
      <c r="AD8">
        <v>5</v>
      </c>
      <c r="AE8">
        <v>125</v>
      </c>
      <c r="AF8">
        <v>105</v>
      </c>
      <c r="AG8">
        <v>88</v>
      </c>
      <c r="AH8">
        <v>95</v>
      </c>
      <c r="AI8">
        <v>95</v>
      </c>
      <c r="AJ8">
        <v>0</v>
      </c>
      <c r="AK8">
        <v>15</v>
      </c>
      <c r="AL8">
        <v>40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5</v>
      </c>
      <c r="AU8" t="s">
        <v>4597</v>
      </c>
      <c r="AV8" t="s">
        <v>4576</v>
      </c>
      <c r="AW8" t="s">
        <v>4576</v>
      </c>
      <c r="AX8" t="s">
        <v>4576</v>
      </c>
      <c r="AY8">
        <v>8</v>
      </c>
      <c r="AZ8">
        <v>11002</v>
      </c>
      <c r="BA8">
        <v>2</v>
      </c>
      <c r="BB8" t="s">
        <v>4577</v>
      </c>
      <c r="BC8" t="s">
        <v>1891</v>
      </c>
      <c r="BD8">
        <v>930002</v>
      </c>
      <c r="BE8" t="s">
        <v>4578</v>
      </c>
      <c r="BF8" t="s">
        <v>4579</v>
      </c>
      <c r="BG8">
        <v>100</v>
      </c>
      <c r="BH8">
        <v>10602</v>
      </c>
    </row>
    <row r="9" spans="1:60" x14ac:dyDescent="0.25">
      <c r="A9">
        <v>1010</v>
      </c>
      <c r="B9" t="s">
        <v>4633</v>
      </c>
      <c r="C9" t="s">
        <v>1022</v>
      </c>
      <c r="D9" t="s">
        <v>4634</v>
      </c>
      <c r="E9" t="s">
        <v>4635</v>
      </c>
      <c r="G9" t="s">
        <v>4570</v>
      </c>
      <c r="H9" t="s">
        <v>4636</v>
      </c>
      <c r="I9">
        <v>1</v>
      </c>
      <c r="J9">
        <v>1</v>
      </c>
      <c r="K9" t="s">
        <v>1012</v>
      </c>
      <c r="L9">
        <v>1</v>
      </c>
      <c r="M9">
        <v>110</v>
      </c>
      <c r="N9" t="s">
        <v>1013</v>
      </c>
      <c r="O9">
        <v>10</v>
      </c>
      <c r="P9">
        <v>0</v>
      </c>
      <c r="Q9">
        <v>5</v>
      </c>
      <c r="R9">
        <v>901031</v>
      </c>
      <c r="S9">
        <v>1</v>
      </c>
      <c r="T9">
        <v>901032</v>
      </c>
      <c r="U9">
        <v>901033</v>
      </c>
      <c r="V9">
        <v>901034</v>
      </c>
      <c r="W9" t="s">
        <v>4637</v>
      </c>
      <c r="X9" t="s">
        <v>4638</v>
      </c>
      <c r="Y9" t="s">
        <v>4639</v>
      </c>
      <c r="Z9">
        <v>901035</v>
      </c>
      <c r="AA9">
        <v>10</v>
      </c>
      <c r="AB9">
        <v>10</v>
      </c>
      <c r="AC9">
        <v>5</v>
      </c>
      <c r="AD9">
        <v>5</v>
      </c>
      <c r="AE9">
        <v>105</v>
      </c>
      <c r="AF9">
        <v>100</v>
      </c>
      <c r="AG9">
        <v>120</v>
      </c>
      <c r="AH9">
        <v>125</v>
      </c>
      <c r="AI9">
        <v>95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4640</v>
      </c>
      <c r="AV9" t="s">
        <v>4576</v>
      </c>
      <c r="AW9" t="s">
        <v>4576</v>
      </c>
      <c r="AX9" t="s">
        <v>4576</v>
      </c>
      <c r="AY9">
        <v>26</v>
      </c>
      <c r="AZ9">
        <v>11002</v>
      </c>
      <c r="BA9">
        <v>1</v>
      </c>
      <c r="BB9" t="s">
        <v>4577</v>
      </c>
      <c r="BC9" t="s">
        <v>1891</v>
      </c>
      <c r="BD9">
        <v>930010</v>
      </c>
      <c r="BE9" t="s">
        <v>4578</v>
      </c>
      <c r="BF9" t="s">
        <v>4579</v>
      </c>
      <c r="BG9">
        <v>100</v>
      </c>
      <c r="BH9">
        <v>10602</v>
      </c>
    </row>
    <row r="10" spans="1:60" x14ac:dyDescent="0.25">
      <c r="A10">
        <v>1003</v>
      </c>
      <c r="B10" t="s">
        <v>4641</v>
      </c>
      <c r="C10" t="s">
        <v>1016</v>
      </c>
      <c r="D10" t="s">
        <v>1016</v>
      </c>
      <c r="E10" t="s">
        <v>4642</v>
      </c>
      <c r="G10" t="s">
        <v>4570</v>
      </c>
      <c r="H10" t="s">
        <v>4643</v>
      </c>
      <c r="I10">
        <v>1</v>
      </c>
      <c r="J10">
        <v>1</v>
      </c>
      <c r="K10" t="s">
        <v>1012</v>
      </c>
      <c r="L10">
        <v>1</v>
      </c>
      <c r="M10">
        <v>103</v>
      </c>
      <c r="N10" t="s">
        <v>1013</v>
      </c>
      <c r="O10">
        <v>10</v>
      </c>
      <c r="P10">
        <v>0</v>
      </c>
      <c r="Q10">
        <v>5</v>
      </c>
      <c r="R10">
        <v>900592</v>
      </c>
      <c r="S10">
        <v>1</v>
      </c>
      <c r="T10">
        <v>900594</v>
      </c>
      <c r="U10">
        <v>900596</v>
      </c>
      <c r="V10">
        <v>900597</v>
      </c>
      <c r="W10" t="s">
        <v>4644</v>
      </c>
      <c r="X10" t="s">
        <v>330</v>
      </c>
      <c r="Y10" t="s">
        <v>4645</v>
      </c>
      <c r="Z10">
        <v>900591</v>
      </c>
      <c r="AA10">
        <v>10</v>
      </c>
      <c r="AB10">
        <v>10</v>
      </c>
      <c r="AC10">
        <v>5</v>
      </c>
      <c r="AD10">
        <v>5</v>
      </c>
      <c r="AE10">
        <v>100</v>
      </c>
      <c r="AF10">
        <v>100</v>
      </c>
      <c r="AG10">
        <v>110</v>
      </c>
      <c r="AH10">
        <v>105</v>
      </c>
      <c r="AI10">
        <v>105</v>
      </c>
      <c r="AJ10">
        <v>0</v>
      </c>
      <c r="AK10">
        <v>15</v>
      </c>
      <c r="AL10">
        <v>30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7</v>
      </c>
      <c r="AU10" t="s">
        <v>4646</v>
      </c>
      <c r="AV10" t="s">
        <v>4576</v>
      </c>
      <c r="AW10" t="s">
        <v>4576</v>
      </c>
      <c r="AX10" t="s">
        <v>4576</v>
      </c>
      <c r="AY10">
        <v>11</v>
      </c>
      <c r="AZ10">
        <v>11002</v>
      </c>
      <c r="BA10">
        <v>1</v>
      </c>
      <c r="BB10" t="s">
        <v>4577</v>
      </c>
      <c r="BC10" t="s">
        <v>1891</v>
      </c>
      <c r="BD10">
        <v>930003</v>
      </c>
      <c r="BE10" t="s">
        <v>4578</v>
      </c>
      <c r="BF10" t="s">
        <v>4579</v>
      </c>
      <c r="BG10">
        <v>100</v>
      </c>
      <c r="BH10">
        <v>10602</v>
      </c>
    </row>
    <row r="11" spans="1:60" x14ac:dyDescent="0.25">
      <c r="A11">
        <v>1004</v>
      </c>
      <c r="B11" t="s">
        <v>4647</v>
      </c>
      <c r="C11" t="s">
        <v>1017</v>
      </c>
      <c r="D11" t="s">
        <v>1017</v>
      </c>
      <c r="E11" t="s">
        <v>4648</v>
      </c>
      <c r="G11" t="s">
        <v>4570</v>
      </c>
      <c r="H11" t="s">
        <v>4649</v>
      </c>
      <c r="I11">
        <v>1</v>
      </c>
      <c r="J11">
        <v>1</v>
      </c>
      <c r="K11" t="s">
        <v>1012</v>
      </c>
      <c r="L11">
        <v>1</v>
      </c>
      <c r="M11">
        <v>104</v>
      </c>
      <c r="N11" t="s">
        <v>1013</v>
      </c>
      <c r="O11">
        <v>10</v>
      </c>
      <c r="P11">
        <v>0</v>
      </c>
      <c r="Q11">
        <v>5</v>
      </c>
      <c r="R11">
        <v>900667</v>
      </c>
      <c r="S11">
        <v>2</v>
      </c>
      <c r="T11">
        <v>30007</v>
      </c>
      <c r="U11">
        <v>900644</v>
      </c>
      <c r="V11">
        <v>900645</v>
      </c>
      <c r="W11" t="s">
        <v>4650</v>
      </c>
      <c r="X11" t="s">
        <v>330</v>
      </c>
      <c r="Y11" t="s">
        <v>330</v>
      </c>
      <c r="Z11">
        <v>900536</v>
      </c>
      <c r="AA11">
        <v>10</v>
      </c>
      <c r="AB11">
        <v>10</v>
      </c>
      <c r="AC11">
        <v>5</v>
      </c>
      <c r="AD11">
        <v>5</v>
      </c>
      <c r="AE11">
        <v>120</v>
      </c>
      <c r="AF11">
        <v>105</v>
      </c>
      <c r="AG11">
        <v>95</v>
      </c>
      <c r="AH11">
        <v>95</v>
      </c>
      <c r="AI11">
        <v>95</v>
      </c>
      <c r="AJ11">
        <v>0</v>
      </c>
      <c r="AK11">
        <v>15</v>
      </c>
      <c r="AL11">
        <v>20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4651</v>
      </c>
      <c r="AV11" t="s">
        <v>4576</v>
      </c>
      <c r="AW11" t="s">
        <v>4576</v>
      </c>
      <c r="AX11" t="s">
        <v>4576</v>
      </c>
      <c r="AY11">
        <v>17</v>
      </c>
      <c r="AZ11">
        <v>11002</v>
      </c>
      <c r="BA11">
        <v>1</v>
      </c>
      <c r="BB11" t="s">
        <v>4577</v>
      </c>
      <c r="BC11" t="s">
        <v>1891</v>
      </c>
      <c r="BD11">
        <v>930004</v>
      </c>
      <c r="BE11" t="s">
        <v>4578</v>
      </c>
      <c r="BF11" t="s">
        <v>4579</v>
      </c>
      <c r="BG11">
        <v>100</v>
      </c>
      <c r="BH11">
        <v>10602</v>
      </c>
    </row>
    <row r="12" spans="1:60" x14ac:dyDescent="0.25">
      <c r="A12">
        <v>1016</v>
      </c>
      <c r="B12" t="s">
        <v>4567</v>
      </c>
      <c r="C12" t="s">
        <v>4568</v>
      </c>
      <c r="D12" t="s">
        <v>4568</v>
      </c>
      <c r="E12" t="s">
        <v>4569</v>
      </c>
      <c r="G12" t="s">
        <v>4570</v>
      </c>
      <c r="H12" t="s">
        <v>4571</v>
      </c>
      <c r="I12">
        <v>1</v>
      </c>
      <c r="J12">
        <v>1</v>
      </c>
      <c r="K12" t="s">
        <v>1012</v>
      </c>
      <c r="L12">
        <v>1</v>
      </c>
      <c r="M12">
        <v>116</v>
      </c>
      <c r="N12" t="s">
        <v>1013</v>
      </c>
      <c r="O12">
        <v>10</v>
      </c>
      <c r="P12">
        <v>0</v>
      </c>
      <c r="Q12">
        <v>5</v>
      </c>
      <c r="R12">
        <v>750126</v>
      </c>
      <c r="S12">
        <v>1</v>
      </c>
      <c r="T12">
        <v>750081</v>
      </c>
      <c r="U12">
        <v>750082</v>
      </c>
      <c r="V12">
        <v>750086</v>
      </c>
      <c r="W12" t="s">
        <v>4572</v>
      </c>
      <c r="X12" t="s">
        <v>4573</v>
      </c>
      <c r="Y12" t="s">
        <v>4574</v>
      </c>
      <c r="Z12">
        <v>900536</v>
      </c>
      <c r="AA12">
        <v>10</v>
      </c>
      <c r="AB12">
        <v>10</v>
      </c>
      <c r="AC12">
        <v>5</v>
      </c>
      <c r="AD12">
        <v>5</v>
      </c>
      <c r="AE12">
        <v>125</v>
      </c>
      <c r="AF12">
        <v>98</v>
      </c>
      <c r="AG12">
        <v>108</v>
      </c>
      <c r="AH12">
        <v>85</v>
      </c>
      <c r="AI12">
        <v>105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4575</v>
      </c>
      <c r="AV12" t="s">
        <v>4576</v>
      </c>
      <c r="AW12" t="s">
        <v>4576</v>
      </c>
      <c r="AX12" t="s">
        <v>4576</v>
      </c>
      <c r="AY12">
        <v>140</v>
      </c>
      <c r="AZ12">
        <v>11002</v>
      </c>
      <c r="BA12">
        <v>1</v>
      </c>
      <c r="BB12" t="s">
        <v>4577</v>
      </c>
      <c r="BC12" t="s">
        <v>1891</v>
      </c>
      <c r="BD12">
        <v>930017</v>
      </c>
      <c r="BE12" t="s">
        <v>4578</v>
      </c>
      <c r="BF12" t="s">
        <v>4579</v>
      </c>
      <c r="BG12">
        <v>100</v>
      </c>
      <c r="BH12">
        <v>10602</v>
      </c>
    </row>
    <row r="13" spans="1:60" x14ac:dyDescent="0.25">
      <c r="A13">
        <v>1011</v>
      </c>
      <c r="B13" t="s">
        <v>4652</v>
      </c>
      <c r="C13" t="s">
        <v>1023</v>
      </c>
      <c r="D13" t="s">
        <v>1023</v>
      </c>
      <c r="E13" t="s">
        <v>4653</v>
      </c>
      <c r="G13" t="s">
        <v>4570</v>
      </c>
      <c r="H13" t="s">
        <v>4654</v>
      </c>
      <c r="I13">
        <v>1</v>
      </c>
      <c r="J13">
        <v>1</v>
      </c>
      <c r="K13" t="s">
        <v>1024</v>
      </c>
      <c r="L13">
        <v>1</v>
      </c>
      <c r="M13">
        <v>111</v>
      </c>
      <c r="N13" t="s">
        <v>1013</v>
      </c>
      <c r="O13">
        <v>10</v>
      </c>
      <c r="P13">
        <v>0</v>
      </c>
      <c r="Q13">
        <v>5</v>
      </c>
      <c r="R13">
        <v>901200</v>
      </c>
      <c r="S13">
        <v>2</v>
      </c>
      <c r="T13">
        <v>30009</v>
      </c>
      <c r="U13">
        <v>901225</v>
      </c>
      <c r="V13">
        <v>901226</v>
      </c>
      <c r="W13" t="s">
        <v>4655</v>
      </c>
      <c r="X13" t="s">
        <v>4656</v>
      </c>
      <c r="Y13" t="s">
        <v>4657</v>
      </c>
      <c r="Z13">
        <v>901223</v>
      </c>
      <c r="AA13">
        <v>10</v>
      </c>
      <c r="AB13">
        <v>10</v>
      </c>
      <c r="AC13">
        <v>5</v>
      </c>
      <c r="AD13">
        <v>5</v>
      </c>
      <c r="AE13">
        <v>130</v>
      </c>
      <c r="AF13">
        <v>95</v>
      </c>
      <c r="AG13">
        <v>110</v>
      </c>
      <c r="AH13">
        <v>110</v>
      </c>
      <c r="AI13">
        <v>80</v>
      </c>
      <c r="AJ13">
        <v>48</v>
      </c>
      <c r="AK13">
        <v>15</v>
      </c>
      <c r="AL13">
        <v>20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4658</v>
      </c>
      <c r="AV13" t="s">
        <v>4576</v>
      </c>
      <c r="AW13" t="s">
        <v>4576</v>
      </c>
      <c r="AX13" t="s">
        <v>4576</v>
      </c>
      <c r="AY13">
        <v>35</v>
      </c>
      <c r="AZ13">
        <v>11002</v>
      </c>
      <c r="BA13">
        <v>1</v>
      </c>
      <c r="BB13" t="s">
        <v>4577</v>
      </c>
      <c r="BC13" t="s">
        <v>1891</v>
      </c>
      <c r="BD13">
        <v>930011</v>
      </c>
      <c r="BE13" t="s">
        <v>4578</v>
      </c>
      <c r="BF13" t="s">
        <v>4579</v>
      </c>
      <c r="BG13">
        <v>100</v>
      </c>
      <c r="BH13">
        <v>10604</v>
      </c>
    </row>
    <row r="14" spans="1:60" x14ac:dyDescent="0.25">
      <c r="A14">
        <v>1013</v>
      </c>
      <c r="B14" t="s">
        <v>4659</v>
      </c>
      <c r="C14" t="s">
        <v>1026</v>
      </c>
      <c r="D14" t="s">
        <v>1026</v>
      </c>
      <c r="E14" t="s">
        <v>4660</v>
      </c>
      <c r="G14" t="s">
        <v>4570</v>
      </c>
      <c r="H14" t="s">
        <v>4661</v>
      </c>
      <c r="I14">
        <v>3</v>
      </c>
      <c r="J14">
        <v>1</v>
      </c>
      <c r="K14" t="s">
        <v>1012</v>
      </c>
      <c r="L14">
        <v>1</v>
      </c>
      <c r="M14">
        <v>113</v>
      </c>
      <c r="N14" t="s">
        <v>1013</v>
      </c>
      <c r="O14">
        <v>8</v>
      </c>
      <c r="P14">
        <v>0</v>
      </c>
      <c r="Q14">
        <v>5</v>
      </c>
      <c r="R14">
        <v>902356</v>
      </c>
      <c r="S14">
        <v>3</v>
      </c>
      <c r="T14">
        <v>1013</v>
      </c>
      <c r="U14">
        <v>902358</v>
      </c>
      <c r="V14">
        <v>902359</v>
      </c>
      <c r="W14" t="s">
        <v>4662</v>
      </c>
      <c r="X14" t="s">
        <v>330</v>
      </c>
      <c r="Y14" t="s">
        <v>4663</v>
      </c>
      <c r="Z14">
        <v>902361</v>
      </c>
      <c r="AA14">
        <v>10</v>
      </c>
      <c r="AB14">
        <v>10</v>
      </c>
      <c r="AC14">
        <v>5</v>
      </c>
      <c r="AD14">
        <v>5</v>
      </c>
      <c r="AE14">
        <v>90</v>
      </c>
      <c r="AF14">
        <v>132</v>
      </c>
      <c r="AG14">
        <v>72</v>
      </c>
      <c r="AH14">
        <v>128</v>
      </c>
      <c r="AI14">
        <v>55</v>
      </c>
      <c r="AJ14">
        <v>0</v>
      </c>
      <c r="AK14">
        <v>180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4664</v>
      </c>
      <c r="AV14" t="s">
        <v>4576</v>
      </c>
      <c r="AW14" t="s">
        <v>4576</v>
      </c>
      <c r="AX14" t="s">
        <v>4576</v>
      </c>
      <c r="AY14">
        <v>50</v>
      </c>
      <c r="AZ14">
        <v>11002</v>
      </c>
      <c r="BA14">
        <v>1</v>
      </c>
      <c r="BB14" t="s">
        <v>4577</v>
      </c>
      <c r="BC14" t="s">
        <v>1891</v>
      </c>
      <c r="BD14">
        <v>930013</v>
      </c>
      <c r="BE14" t="s">
        <v>4578</v>
      </c>
      <c r="BF14" t="s">
        <v>4579</v>
      </c>
      <c r="BG14">
        <v>100</v>
      </c>
      <c r="BH14">
        <v>10603</v>
      </c>
    </row>
    <row r="15" spans="1:60" x14ac:dyDescent="0.25">
      <c r="A15">
        <v>1014</v>
      </c>
      <c r="B15" t="s">
        <v>4665</v>
      </c>
      <c r="C15" t="s">
        <v>1027</v>
      </c>
      <c r="D15" t="s">
        <v>1027</v>
      </c>
      <c r="E15" t="s">
        <v>4666</v>
      </c>
      <c r="G15" t="s">
        <v>4570</v>
      </c>
      <c r="H15" t="s">
        <v>4667</v>
      </c>
      <c r="I15">
        <v>3</v>
      </c>
      <c r="J15">
        <v>1</v>
      </c>
      <c r="K15" t="s">
        <v>1015</v>
      </c>
      <c r="L15">
        <v>1</v>
      </c>
      <c r="M15">
        <v>114</v>
      </c>
      <c r="N15" t="s">
        <v>1013</v>
      </c>
      <c r="O15">
        <v>8</v>
      </c>
      <c r="P15">
        <v>0</v>
      </c>
      <c r="Q15">
        <v>5</v>
      </c>
      <c r="R15">
        <v>902431</v>
      </c>
      <c r="S15">
        <v>3</v>
      </c>
      <c r="T15">
        <v>1014</v>
      </c>
      <c r="U15">
        <v>902433</v>
      </c>
      <c r="V15">
        <v>902434</v>
      </c>
      <c r="W15" t="s">
        <v>4668</v>
      </c>
      <c r="X15" t="s">
        <v>4669</v>
      </c>
      <c r="Y15" t="s">
        <v>4670</v>
      </c>
      <c r="Z15">
        <v>902436</v>
      </c>
      <c r="AA15">
        <v>10</v>
      </c>
      <c r="AB15">
        <v>10</v>
      </c>
      <c r="AC15">
        <v>5</v>
      </c>
      <c r="AD15">
        <v>5</v>
      </c>
      <c r="AE15">
        <v>105</v>
      </c>
      <c r="AF15">
        <v>135</v>
      </c>
      <c r="AG15">
        <v>55</v>
      </c>
      <c r="AH15">
        <v>110</v>
      </c>
      <c r="AI15">
        <v>90</v>
      </c>
      <c r="AJ15">
        <v>0</v>
      </c>
      <c r="AK15">
        <v>180</v>
      </c>
      <c r="AL15">
        <v>40</v>
      </c>
      <c r="AM15">
        <v>150</v>
      </c>
      <c r="AN15">
        <v>100</v>
      </c>
      <c r="AO15">
        <v>15</v>
      </c>
      <c r="AP15">
        <v>0</v>
      </c>
      <c r="AQ15">
        <v>1</v>
      </c>
      <c r="AR15">
        <v>15</v>
      </c>
      <c r="AS15">
        <v>500</v>
      </c>
      <c r="AT15">
        <v>4</v>
      </c>
      <c r="AU15" t="s">
        <v>4671</v>
      </c>
      <c r="AV15" t="s">
        <v>4576</v>
      </c>
      <c r="AW15" t="s">
        <v>4576</v>
      </c>
      <c r="AX15" t="s">
        <v>4576</v>
      </c>
      <c r="AY15">
        <v>51</v>
      </c>
      <c r="AZ15">
        <v>11002</v>
      </c>
      <c r="BA15">
        <v>1</v>
      </c>
      <c r="BB15" t="s">
        <v>4577</v>
      </c>
      <c r="BC15" t="s">
        <v>1891</v>
      </c>
      <c r="BD15">
        <v>930014</v>
      </c>
      <c r="BE15" t="s">
        <v>4578</v>
      </c>
      <c r="BF15" t="s">
        <v>4579</v>
      </c>
      <c r="BG15">
        <v>100</v>
      </c>
      <c r="BH15">
        <v>10603</v>
      </c>
    </row>
    <row r="16" spans="1:60" x14ac:dyDescent="0.25">
      <c r="A16">
        <v>1001</v>
      </c>
      <c r="B16" t="s">
        <v>4672</v>
      </c>
      <c r="C16" t="s">
        <v>1011</v>
      </c>
      <c r="D16" t="s">
        <v>1011</v>
      </c>
      <c r="E16" t="s">
        <v>4673</v>
      </c>
      <c r="G16" t="s">
        <v>4570</v>
      </c>
      <c r="H16" t="s">
        <v>4674</v>
      </c>
      <c r="I16">
        <v>1</v>
      </c>
      <c r="J16">
        <v>1</v>
      </c>
      <c r="K16" t="s">
        <v>1012</v>
      </c>
      <c r="L16">
        <v>1</v>
      </c>
      <c r="M16">
        <v>101</v>
      </c>
      <c r="N16" t="s">
        <v>1013</v>
      </c>
      <c r="O16">
        <v>10</v>
      </c>
      <c r="P16">
        <v>0</v>
      </c>
      <c r="Q16">
        <v>5</v>
      </c>
      <c r="R16">
        <v>900515</v>
      </c>
      <c r="S16">
        <v>2</v>
      </c>
      <c r="T16">
        <v>30006</v>
      </c>
      <c r="U16">
        <v>900511</v>
      </c>
      <c r="V16">
        <v>900512</v>
      </c>
      <c r="W16" t="s">
        <v>4675</v>
      </c>
      <c r="X16" t="s">
        <v>330</v>
      </c>
      <c r="Y16" t="s">
        <v>4676</v>
      </c>
      <c r="Z16">
        <v>900510</v>
      </c>
      <c r="AA16">
        <v>10</v>
      </c>
      <c r="AB16">
        <v>10</v>
      </c>
      <c r="AC16">
        <v>5</v>
      </c>
      <c r="AD16">
        <v>5</v>
      </c>
      <c r="AE16">
        <v>95</v>
      </c>
      <c r="AF16">
        <v>95</v>
      </c>
      <c r="AG16">
        <v>116</v>
      </c>
      <c r="AH16">
        <v>90</v>
      </c>
      <c r="AI16">
        <v>120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12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4677</v>
      </c>
      <c r="AV16" t="s">
        <v>4576</v>
      </c>
      <c r="AW16" t="s">
        <v>4576</v>
      </c>
      <c r="AX16" t="s">
        <v>4576</v>
      </c>
      <c r="AY16">
        <v>5</v>
      </c>
      <c r="AZ16">
        <v>11001</v>
      </c>
      <c r="BA16">
        <v>1</v>
      </c>
      <c r="BB16" t="s">
        <v>4577</v>
      </c>
      <c r="BC16" t="s">
        <v>1891</v>
      </c>
      <c r="BD16">
        <v>930001</v>
      </c>
      <c r="BE16" t="s">
        <v>4578</v>
      </c>
      <c r="BF16" t="s">
        <v>4579</v>
      </c>
      <c r="BG16">
        <v>100</v>
      </c>
      <c r="BH16">
        <v>10604</v>
      </c>
    </row>
    <row r="17" spans="1:60" x14ac:dyDescent="0.25">
      <c r="A17">
        <v>1007</v>
      </c>
      <c r="B17" t="s">
        <v>4678</v>
      </c>
      <c r="C17" t="s">
        <v>1019</v>
      </c>
      <c r="D17" t="s">
        <v>1019</v>
      </c>
      <c r="E17" t="s">
        <v>4679</v>
      </c>
      <c r="G17" t="s">
        <v>4570</v>
      </c>
      <c r="H17" t="s">
        <v>4680</v>
      </c>
      <c r="I17">
        <v>1</v>
      </c>
      <c r="J17">
        <v>1</v>
      </c>
      <c r="K17" t="s">
        <v>1012</v>
      </c>
      <c r="L17">
        <v>1</v>
      </c>
      <c r="M17">
        <v>107</v>
      </c>
      <c r="N17" t="s">
        <v>1013</v>
      </c>
      <c r="O17">
        <v>10</v>
      </c>
      <c r="P17">
        <v>0</v>
      </c>
      <c r="Q17">
        <v>5</v>
      </c>
      <c r="R17">
        <v>900833</v>
      </c>
      <c r="S17">
        <v>2</v>
      </c>
      <c r="T17">
        <v>30008</v>
      </c>
      <c r="U17">
        <v>900831</v>
      </c>
      <c r="V17">
        <v>900832</v>
      </c>
      <c r="W17" t="s">
        <v>4681</v>
      </c>
      <c r="X17" t="s">
        <v>330</v>
      </c>
      <c r="Y17" t="s">
        <v>4682</v>
      </c>
      <c r="Z17">
        <v>900830</v>
      </c>
      <c r="AA17">
        <v>10</v>
      </c>
      <c r="AB17">
        <v>10</v>
      </c>
      <c r="AC17">
        <v>5</v>
      </c>
      <c r="AD17">
        <v>5</v>
      </c>
      <c r="AE17">
        <v>105</v>
      </c>
      <c r="AF17">
        <v>105</v>
      </c>
      <c r="AG17">
        <v>105</v>
      </c>
      <c r="AH17">
        <v>105</v>
      </c>
      <c r="AI17">
        <v>105</v>
      </c>
      <c r="AJ17">
        <v>0</v>
      </c>
      <c r="AK17">
        <v>15</v>
      </c>
      <c r="AL17">
        <v>40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4683</v>
      </c>
      <c r="AV17" t="s">
        <v>4576</v>
      </c>
      <c r="AW17" t="s">
        <v>4576</v>
      </c>
      <c r="AX17" t="s">
        <v>4576</v>
      </c>
      <c r="AY17">
        <v>21</v>
      </c>
      <c r="AZ17">
        <v>11002</v>
      </c>
      <c r="BA17">
        <v>1</v>
      </c>
      <c r="BB17" t="s">
        <v>4577</v>
      </c>
      <c r="BC17" t="s">
        <v>1891</v>
      </c>
      <c r="BD17">
        <v>930007</v>
      </c>
      <c r="BE17" t="s">
        <v>4578</v>
      </c>
      <c r="BF17" t="s">
        <v>4579</v>
      </c>
      <c r="BG17">
        <v>88</v>
      </c>
      <c r="BH17">
        <v>10603</v>
      </c>
    </row>
    <row r="18" spans="1:60" x14ac:dyDescent="0.25">
      <c r="A18">
        <v>2003</v>
      </c>
      <c r="B18" t="s">
        <v>4684</v>
      </c>
      <c r="C18" t="s">
        <v>1030</v>
      </c>
      <c r="D18" t="s">
        <v>1030</v>
      </c>
      <c r="E18" t="s">
        <v>4685</v>
      </c>
      <c r="G18" t="s">
        <v>4570</v>
      </c>
      <c r="H18" t="s">
        <v>4686</v>
      </c>
      <c r="I18">
        <v>1</v>
      </c>
      <c r="J18">
        <v>2</v>
      </c>
      <c r="K18" t="s">
        <v>1031</v>
      </c>
      <c r="L18">
        <v>5</v>
      </c>
      <c r="M18">
        <v>203</v>
      </c>
      <c r="N18" t="s">
        <v>1013</v>
      </c>
      <c r="O18">
        <v>6</v>
      </c>
      <c r="P18">
        <v>0</v>
      </c>
      <c r="Q18">
        <v>4</v>
      </c>
      <c r="R18">
        <v>0</v>
      </c>
      <c r="S18">
        <v>1</v>
      </c>
      <c r="T18">
        <v>0</v>
      </c>
      <c r="U18">
        <v>600701</v>
      </c>
      <c r="V18">
        <v>600703</v>
      </c>
      <c r="W18" t="s">
        <v>1891</v>
      </c>
      <c r="X18" t="s">
        <v>4584</v>
      </c>
      <c r="Y18" t="s">
        <v>4687</v>
      </c>
      <c r="Z18">
        <v>600704</v>
      </c>
      <c r="AA18">
        <v>10</v>
      </c>
      <c r="AB18">
        <v>10</v>
      </c>
      <c r="AC18">
        <v>5</v>
      </c>
      <c r="AD18">
        <v>5</v>
      </c>
      <c r="AE18">
        <v>140</v>
      </c>
      <c r="AF18">
        <v>90</v>
      </c>
      <c r="AG18">
        <v>75</v>
      </c>
      <c r="AH18">
        <v>110</v>
      </c>
      <c r="AI18">
        <v>40</v>
      </c>
      <c r="AJ18">
        <v>100</v>
      </c>
      <c r="AK18">
        <v>15</v>
      </c>
      <c r="AL18">
        <v>20</v>
      </c>
      <c r="AM18">
        <v>150</v>
      </c>
      <c r="AN18">
        <v>95</v>
      </c>
      <c r="AO18">
        <v>8</v>
      </c>
      <c r="AP18">
        <v>0</v>
      </c>
      <c r="AQ18">
        <v>1</v>
      </c>
      <c r="AR18">
        <v>15</v>
      </c>
      <c r="AS18">
        <v>500</v>
      </c>
      <c r="AT18">
        <v>3</v>
      </c>
      <c r="AU18" t="s">
        <v>330</v>
      </c>
      <c r="AV18" t="s">
        <v>330</v>
      </c>
      <c r="AW18" t="s">
        <v>330</v>
      </c>
      <c r="AX18" t="s">
        <v>330</v>
      </c>
      <c r="AY18">
        <v>15</v>
      </c>
      <c r="AZ18">
        <v>3045</v>
      </c>
      <c r="BA18">
        <v>9</v>
      </c>
      <c r="BB18" t="s">
        <v>4577</v>
      </c>
      <c r="BC18" t="s">
        <v>1891</v>
      </c>
      <c r="BD18">
        <v>910015</v>
      </c>
      <c r="BE18" t="s">
        <v>4578</v>
      </c>
      <c r="BF18" t="s">
        <v>4579</v>
      </c>
      <c r="BG18">
        <v>100</v>
      </c>
      <c r="BH18">
        <v>0</v>
      </c>
    </row>
    <row r="19" spans="1:60" x14ac:dyDescent="0.25">
      <c r="A19">
        <v>2014</v>
      </c>
      <c r="B19" t="s">
        <v>4688</v>
      </c>
      <c r="C19" t="s">
        <v>1044</v>
      </c>
      <c r="D19" t="s">
        <v>1044</v>
      </c>
      <c r="E19" t="s">
        <v>4689</v>
      </c>
      <c r="G19" t="s">
        <v>4570</v>
      </c>
      <c r="H19" t="s">
        <v>4690</v>
      </c>
      <c r="I19">
        <v>1</v>
      </c>
      <c r="J19">
        <v>2</v>
      </c>
      <c r="K19" t="s">
        <v>1031</v>
      </c>
      <c r="L19">
        <v>5</v>
      </c>
      <c r="M19">
        <v>214</v>
      </c>
      <c r="N19" t="s">
        <v>1013</v>
      </c>
      <c r="O19">
        <v>6</v>
      </c>
      <c r="P19">
        <v>0</v>
      </c>
      <c r="Q19">
        <v>4</v>
      </c>
      <c r="R19">
        <v>0</v>
      </c>
      <c r="S19">
        <v>1</v>
      </c>
      <c r="T19">
        <v>0</v>
      </c>
      <c r="U19">
        <v>902200</v>
      </c>
      <c r="V19">
        <v>902201</v>
      </c>
      <c r="W19" t="s">
        <v>1891</v>
      </c>
      <c r="X19" t="s">
        <v>4584</v>
      </c>
      <c r="Y19" t="s">
        <v>330</v>
      </c>
      <c r="Z19">
        <v>600704</v>
      </c>
      <c r="AA19">
        <v>10</v>
      </c>
      <c r="AB19">
        <v>10</v>
      </c>
      <c r="AC19">
        <v>5</v>
      </c>
      <c r="AD19">
        <v>5</v>
      </c>
      <c r="AE19">
        <v>180</v>
      </c>
      <c r="AF19">
        <v>75</v>
      </c>
      <c r="AG19">
        <v>50</v>
      </c>
      <c r="AH19">
        <v>110</v>
      </c>
      <c r="AI19">
        <v>50</v>
      </c>
      <c r="AJ19">
        <v>105</v>
      </c>
      <c r="AK19">
        <v>15</v>
      </c>
      <c r="AL19">
        <v>20</v>
      </c>
      <c r="AM19">
        <v>150</v>
      </c>
      <c r="AN19">
        <v>95</v>
      </c>
      <c r="AO19">
        <v>8</v>
      </c>
      <c r="AP19">
        <v>0</v>
      </c>
      <c r="AQ19">
        <v>1</v>
      </c>
      <c r="AR19">
        <v>15</v>
      </c>
      <c r="AS19">
        <v>500</v>
      </c>
      <c r="AT19">
        <v>3</v>
      </c>
      <c r="AU19" t="s">
        <v>330</v>
      </c>
      <c r="AV19" t="s">
        <v>330</v>
      </c>
      <c r="AW19" t="s">
        <v>330</v>
      </c>
      <c r="AX19" t="s">
        <v>330</v>
      </c>
      <c r="AY19">
        <v>60</v>
      </c>
      <c r="AZ19">
        <v>3045</v>
      </c>
      <c r="BA19">
        <v>9</v>
      </c>
      <c r="BB19" t="s">
        <v>4577</v>
      </c>
      <c r="BC19" t="s">
        <v>1891</v>
      </c>
      <c r="BD19">
        <v>911011</v>
      </c>
      <c r="BE19" t="s">
        <v>4578</v>
      </c>
      <c r="BF19" t="s">
        <v>4579</v>
      </c>
      <c r="BG19">
        <v>95</v>
      </c>
      <c r="BH19">
        <v>0</v>
      </c>
    </row>
    <row r="20" spans="1:60" x14ac:dyDescent="0.25">
      <c r="A20">
        <v>2001</v>
      </c>
      <c r="B20" t="s">
        <v>4691</v>
      </c>
      <c r="C20" t="s">
        <v>1028</v>
      </c>
      <c r="D20" t="s">
        <v>1028</v>
      </c>
      <c r="E20" t="s">
        <v>4692</v>
      </c>
      <c r="G20" t="s">
        <v>4570</v>
      </c>
      <c r="H20" t="s">
        <v>4693</v>
      </c>
      <c r="I20">
        <v>1</v>
      </c>
      <c r="J20">
        <v>2</v>
      </c>
      <c r="K20" t="s">
        <v>1015</v>
      </c>
      <c r="L20">
        <v>5</v>
      </c>
      <c r="M20">
        <v>201</v>
      </c>
      <c r="N20" t="s">
        <v>1013</v>
      </c>
      <c r="O20">
        <v>4</v>
      </c>
      <c r="P20">
        <v>0</v>
      </c>
      <c r="Q20">
        <v>4</v>
      </c>
      <c r="R20">
        <v>0</v>
      </c>
      <c r="S20">
        <v>1</v>
      </c>
      <c r="T20">
        <v>0</v>
      </c>
      <c r="U20">
        <v>900578</v>
      </c>
      <c r="V20">
        <v>900579</v>
      </c>
      <c r="W20" t="s">
        <v>1891</v>
      </c>
      <c r="X20" t="s">
        <v>4584</v>
      </c>
      <c r="Y20" t="s">
        <v>4694</v>
      </c>
      <c r="Z20">
        <v>900577</v>
      </c>
      <c r="AA20">
        <v>10</v>
      </c>
      <c r="AB20">
        <v>10</v>
      </c>
      <c r="AC20">
        <v>5</v>
      </c>
      <c r="AD20">
        <v>5</v>
      </c>
      <c r="AE20">
        <v>75</v>
      </c>
      <c r="AF20">
        <v>62</v>
      </c>
      <c r="AG20">
        <v>80</v>
      </c>
      <c r="AH20">
        <v>100</v>
      </c>
      <c r="AI20">
        <v>90</v>
      </c>
      <c r="AJ20">
        <v>0</v>
      </c>
      <c r="AK20">
        <v>180</v>
      </c>
      <c r="AL20">
        <v>10</v>
      </c>
      <c r="AM20">
        <v>150</v>
      </c>
      <c r="AN20">
        <v>95</v>
      </c>
      <c r="AO20">
        <v>20</v>
      </c>
      <c r="AP20">
        <v>0</v>
      </c>
      <c r="AQ20">
        <v>1</v>
      </c>
      <c r="AR20">
        <v>15</v>
      </c>
      <c r="AS20">
        <v>500</v>
      </c>
      <c r="AT20">
        <v>3</v>
      </c>
      <c r="AU20" t="s">
        <v>330</v>
      </c>
      <c r="AV20" t="s">
        <v>330</v>
      </c>
      <c r="AW20" t="s">
        <v>330</v>
      </c>
      <c r="AX20" t="s">
        <v>330</v>
      </c>
      <c r="AY20">
        <v>28</v>
      </c>
      <c r="AZ20">
        <v>3045</v>
      </c>
      <c r="BA20">
        <v>7</v>
      </c>
      <c r="BB20" t="s">
        <v>4577</v>
      </c>
      <c r="BC20" t="s">
        <v>1891</v>
      </c>
      <c r="BD20">
        <v>910017</v>
      </c>
      <c r="BE20" t="s">
        <v>4578</v>
      </c>
      <c r="BF20" t="s">
        <v>4579</v>
      </c>
      <c r="BG20">
        <v>75</v>
      </c>
      <c r="BH20">
        <v>0</v>
      </c>
    </row>
    <row r="21" spans="1:60" x14ac:dyDescent="0.25">
      <c r="A21">
        <v>2002</v>
      </c>
      <c r="B21" t="s">
        <v>4695</v>
      </c>
      <c r="C21" t="s">
        <v>1029</v>
      </c>
      <c r="D21" t="s">
        <v>1029</v>
      </c>
      <c r="E21" t="s">
        <v>4696</v>
      </c>
      <c r="G21" t="s">
        <v>4570</v>
      </c>
      <c r="H21" t="s">
        <v>4697</v>
      </c>
      <c r="I21">
        <v>1</v>
      </c>
      <c r="J21">
        <v>2</v>
      </c>
      <c r="K21" t="s">
        <v>1015</v>
      </c>
      <c r="L21">
        <v>5</v>
      </c>
      <c r="M21">
        <v>202</v>
      </c>
      <c r="N21" t="s">
        <v>1013</v>
      </c>
      <c r="O21">
        <v>6</v>
      </c>
      <c r="P21">
        <v>0</v>
      </c>
      <c r="Q21">
        <v>4</v>
      </c>
      <c r="R21">
        <v>0</v>
      </c>
      <c r="S21">
        <v>1</v>
      </c>
      <c r="T21">
        <v>0</v>
      </c>
      <c r="U21">
        <v>900520</v>
      </c>
      <c r="V21">
        <v>900527</v>
      </c>
      <c r="W21" t="s">
        <v>1891</v>
      </c>
      <c r="X21" t="s">
        <v>4698</v>
      </c>
      <c r="Y21" t="s">
        <v>330</v>
      </c>
      <c r="Z21">
        <v>900519</v>
      </c>
      <c r="AA21">
        <v>10</v>
      </c>
      <c r="AB21">
        <v>10</v>
      </c>
      <c r="AC21">
        <v>5</v>
      </c>
      <c r="AD21">
        <v>5</v>
      </c>
      <c r="AE21">
        <v>132</v>
      </c>
      <c r="AF21">
        <v>105</v>
      </c>
      <c r="AG21">
        <v>65</v>
      </c>
      <c r="AH21">
        <v>105</v>
      </c>
      <c r="AI21">
        <v>75</v>
      </c>
      <c r="AJ21">
        <v>0</v>
      </c>
      <c r="AK21">
        <v>50</v>
      </c>
      <c r="AL21">
        <v>20</v>
      </c>
      <c r="AM21">
        <v>150</v>
      </c>
      <c r="AN21">
        <v>95</v>
      </c>
      <c r="AO21">
        <v>16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330</v>
      </c>
      <c r="AV21" t="s">
        <v>330</v>
      </c>
      <c r="AW21" t="s">
        <v>330</v>
      </c>
      <c r="AX21" t="s">
        <v>330</v>
      </c>
      <c r="AY21">
        <v>12</v>
      </c>
      <c r="AZ21">
        <v>3045</v>
      </c>
      <c r="BA21">
        <v>8</v>
      </c>
      <c r="BB21" t="s">
        <v>4577</v>
      </c>
      <c r="BC21" t="s">
        <v>1891</v>
      </c>
      <c r="BD21">
        <v>910008</v>
      </c>
      <c r="BE21" t="s">
        <v>4578</v>
      </c>
      <c r="BF21" t="s">
        <v>4579</v>
      </c>
      <c r="BG21">
        <v>90</v>
      </c>
      <c r="BH21">
        <v>0</v>
      </c>
    </row>
    <row r="22" spans="1:60" x14ac:dyDescent="0.25">
      <c r="A22">
        <v>2012</v>
      </c>
      <c r="B22" t="s">
        <v>4699</v>
      </c>
      <c r="C22" t="s">
        <v>1042</v>
      </c>
      <c r="D22" t="s">
        <v>1042</v>
      </c>
      <c r="E22" t="s">
        <v>4700</v>
      </c>
      <c r="G22" t="s">
        <v>4570</v>
      </c>
      <c r="H22" t="s">
        <v>4701</v>
      </c>
      <c r="I22">
        <v>1</v>
      </c>
      <c r="J22">
        <v>2</v>
      </c>
      <c r="K22" t="s">
        <v>1015</v>
      </c>
      <c r="L22">
        <v>5</v>
      </c>
      <c r="M22">
        <v>212</v>
      </c>
      <c r="N22" t="s">
        <v>1013</v>
      </c>
      <c r="O22">
        <v>6</v>
      </c>
      <c r="P22">
        <v>0</v>
      </c>
      <c r="Q22">
        <v>4</v>
      </c>
      <c r="R22">
        <v>0</v>
      </c>
      <c r="S22">
        <v>1</v>
      </c>
      <c r="T22">
        <v>0</v>
      </c>
      <c r="U22">
        <v>900982</v>
      </c>
      <c r="V22">
        <v>900981</v>
      </c>
      <c r="W22" t="s">
        <v>1891</v>
      </c>
      <c r="X22" t="s">
        <v>4584</v>
      </c>
      <c r="Y22" t="s">
        <v>4702</v>
      </c>
      <c r="Z22">
        <v>900980</v>
      </c>
      <c r="AA22">
        <v>10</v>
      </c>
      <c r="AB22">
        <v>10</v>
      </c>
      <c r="AC22">
        <v>5</v>
      </c>
      <c r="AD22">
        <v>5</v>
      </c>
      <c r="AE22">
        <v>135</v>
      </c>
      <c r="AF22">
        <v>122</v>
      </c>
      <c r="AG22">
        <v>65</v>
      </c>
      <c r="AH22">
        <v>115</v>
      </c>
      <c r="AI22">
        <v>80</v>
      </c>
      <c r="AJ22">
        <v>0</v>
      </c>
      <c r="AK22">
        <v>50</v>
      </c>
      <c r="AL22">
        <v>20</v>
      </c>
      <c r="AM22">
        <v>150</v>
      </c>
      <c r="AN22">
        <v>95</v>
      </c>
      <c r="AO22">
        <v>16</v>
      </c>
      <c r="AP22">
        <v>0</v>
      </c>
      <c r="AQ22">
        <v>1</v>
      </c>
      <c r="AR22">
        <v>15</v>
      </c>
      <c r="AS22">
        <v>500</v>
      </c>
      <c r="AT22">
        <v>4</v>
      </c>
      <c r="AU22" t="s">
        <v>330</v>
      </c>
      <c r="AV22" t="s">
        <v>330</v>
      </c>
      <c r="AW22" t="s">
        <v>330</v>
      </c>
      <c r="AX22" t="s">
        <v>330</v>
      </c>
      <c r="AY22">
        <v>58</v>
      </c>
      <c r="AZ22">
        <v>3045</v>
      </c>
      <c r="BA22">
        <v>8</v>
      </c>
      <c r="BB22" t="s">
        <v>4577</v>
      </c>
      <c r="BC22" t="s">
        <v>1891</v>
      </c>
      <c r="BD22">
        <v>911008</v>
      </c>
      <c r="BE22" t="s">
        <v>4578</v>
      </c>
      <c r="BF22" t="s">
        <v>4579</v>
      </c>
      <c r="BG22">
        <v>90</v>
      </c>
      <c r="BH22">
        <v>0</v>
      </c>
    </row>
    <row r="23" spans="1:60" x14ac:dyDescent="0.25">
      <c r="A23">
        <v>2008</v>
      </c>
      <c r="B23" t="s">
        <v>4703</v>
      </c>
      <c r="C23" t="s">
        <v>1037</v>
      </c>
      <c r="D23" t="s">
        <v>1037</v>
      </c>
      <c r="E23" t="s">
        <v>4704</v>
      </c>
      <c r="G23" t="s">
        <v>4570</v>
      </c>
      <c r="H23" t="s">
        <v>4705</v>
      </c>
      <c r="I23">
        <v>1</v>
      </c>
      <c r="J23">
        <v>2</v>
      </c>
      <c r="K23" t="s">
        <v>1015</v>
      </c>
      <c r="L23">
        <v>5</v>
      </c>
      <c r="M23">
        <v>208</v>
      </c>
      <c r="N23" t="s">
        <v>1013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900746</v>
      </c>
      <c r="V23">
        <v>900744</v>
      </c>
      <c r="W23" t="s">
        <v>1891</v>
      </c>
      <c r="X23" t="s">
        <v>4584</v>
      </c>
      <c r="Y23" t="s">
        <v>4706</v>
      </c>
      <c r="Z23">
        <v>900745</v>
      </c>
      <c r="AA23">
        <v>10</v>
      </c>
      <c r="AB23">
        <v>10</v>
      </c>
      <c r="AC23">
        <v>5</v>
      </c>
      <c r="AD23">
        <v>5</v>
      </c>
      <c r="AE23">
        <v>140</v>
      </c>
      <c r="AF23">
        <v>100</v>
      </c>
      <c r="AG23">
        <v>75</v>
      </c>
      <c r="AH23">
        <v>130</v>
      </c>
      <c r="AI23">
        <v>80</v>
      </c>
      <c r="AJ23">
        <v>0</v>
      </c>
      <c r="AK23">
        <v>50</v>
      </c>
      <c r="AL23">
        <v>20</v>
      </c>
      <c r="AM23">
        <v>150</v>
      </c>
      <c r="AN23">
        <v>95</v>
      </c>
      <c r="AO23">
        <v>16</v>
      </c>
      <c r="AP23">
        <v>0</v>
      </c>
      <c r="AQ23">
        <v>1</v>
      </c>
      <c r="AR23">
        <v>15</v>
      </c>
      <c r="AS23">
        <v>500</v>
      </c>
      <c r="AT23">
        <v>3</v>
      </c>
      <c r="AU23" t="s">
        <v>330</v>
      </c>
      <c r="AV23" t="s">
        <v>330</v>
      </c>
      <c r="AW23" t="s">
        <v>330</v>
      </c>
      <c r="AX23" t="s">
        <v>330</v>
      </c>
      <c r="AY23">
        <v>57</v>
      </c>
      <c r="AZ23">
        <v>3045</v>
      </c>
      <c r="BA23">
        <v>8</v>
      </c>
      <c r="BB23" t="s">
        <v>4577</v>
      </c>
      <c r="BC23" t="s">
        <v>1891</v>
      </c>
      <c r="BD23">
        <v>911007</v>
      </c>
      <c r="BE23" t="s">
        <v>4578</v>
      </c>
      <c r="BF23" t="s">
        <v>4579</v>
      </c>
      <c r="BG23">
        <v>90</v>
      </c>
      <c r="BH23">
        <v>0</v>
      </c>
    </row>
    <row r="24" spans="1:60" x14ac:dyDescent="0.25">
      <c r="A24">
        <v>2015</v>
      </c>
      <c r="B24" t="s">
        <v>4580</v>
      </c>
      <c r="C24" t="s">
        <v>4581</v>
      </c>
      <c r="D24" t="s">
        <v>4581</v>
      </c>
      <c r="E24" t="s">
        <v>4582</v>
      </c>
      <c r="G24" t="s">
        <v>4570</v>
      </c>
      <c r="H24" t="s">
        <v>4583</v>
      </c>
      <c r="I24">
        <v>1</v>
      </c>
      <c r="J24">
        <v>2</v>
      </c>
      <c r="K24" t="s">
        <v>1012</v>
      </c>
      <c r="L24">
        <v>5</v>
      </c>
      <c r="M24">
        <v>215</v>
      </c>
      <c r="N24" t="s">
        <v>1013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750056</v>
      </c>
      <c r="V24">
        <v>750058</v>
      </c>
      <c r="W24" t="s">
        <v>1891</v>
      </c>
      <c r="X24" t="s">
        <v>4584</v>
      </c>
      <c r="Y24" t="s">
        <v>330</v>
      </c>
      <c r="Z24">
        <v>750057</v>
      </c>
      <c r="AA24">
        <v>10</v>
      </c>
      <c r="AB24">
        <v>10</v>
      </c>
      <c r="AC24">
        <v>5</v>
      </c>
      <c r="AD24">
        <v>5</v>
      </c>
      <c r="AE24">
        <v>80</v>
      </c>
      <c r="AF24">
        <v>140</v>
      </c>
      <c r="AG24">
        <v>70</v>
      </c>
      <c r="AH24">
        <v>130</v>
      </c>
      <c r="AI24">
        <v>55</v>
      </c>
      <c r="AJ24">
        <v>0</v>
      </c>
      <c r="AK24">
        <v>180</v>
      </c>
      <c r="AL24">
        <v>50</v>
      </c>
      <c r="AM24">
        <v>200</v>
      </c>
      <c r="AN24">
        <v>95</v>
      </c>
      <c r="AO24">
        <v>6</v>
      </c>
      <c r="AP24">
        <v>0</v>
      </c>
      <c r="AQ24">
        <v>2</v>
      </c>
      <c r="AR24">
        <v>15</v>
      </c>
      <c r="AS24">
        <v>500</v>
      </c>
      <c r="AT24">
        <v>9</v>
      </c>
      <c r="AU24" t="s">
        <v>330</v>
      </c>
      <c r="AV24" t="s">
        <v>330</v>
      </c>
      <c r="AW24" t="s">
        <v>330</v>
      </c>
      <c r="AX24" t="s">
        <v>330</v>
      </c>
      <c r="AY24">
        <v>56</v>
      </c>
      <c r="AZ24">
        <v>3045</v>
      </c>
      <c r="BA24">
        <v>17</v>
      </c>
      <c r="BB24" t="s">
        <v>4577</v>
      </c>
      <c r="BC24" t="s">
        <v>1891</v>
      </c>
      <c r="BD24">
        <v>911006</v>
      </c>
      <c r="BE24" t="s">
        <v>4578</v>
      </c>
      <c r="BF24" t="s">
        <v>4579</v>
      </c>
      <c r="BG24">
        <v>95</v>
      </c>
      <c r="BH24">
        <v>0</v>
      </c>
    </row>
    <row r="25" spans="1:60" x14ac:dyDescent="0.25">
      <c r="A25">
        <v>2006</v>
      </c>
      <c r="B25" t="s">
        <v>4707</v>
      </c>
      <c r="C25" t="s">
        <v>1036</v>
      </c>
      <c r="D25" t="s">
        <v>1036</v>
      </c>
      <c r="E25" t="s">
        <v>4708</v>
      </c>
      <c r="G25" t="s">
        <v>4570</v>
      </c>
      <c r="H25" t="s">
        <v>4709</v>
      </c>
      <c r="I25">
        <v>1</v>
      </c>
      <c r="J25">
        <v>2</v>
      </c>
      <c r="K25" t="s">
        <v>1033</v>
      </c>
      <c r="L25">
        <v>1</v>
      </c>
      <c r="M25">
        <v>206</v>
      </c>
      <c r="N25" t="s">
        <v>1013</v>
      </c>
      <c r="O25">
        <v>10</v>
      </c>
      <c r="P25">
        <v>0</v>
      </c>
      <c r="Q25">
        <v>4</v>
      </c>
      <c r="R25">
        <v>0</v>
      </c>
      <c r="S25">
        <v>1</v>
      </c>
      <c r="T25">
        <v>0</v>
      </c>
      <c r="U25">
        <v>900617</v>
      </c>
      <c r="V25">
        <v>900618</v>
      </c>
      <c r="W25" t="s">
        <v>1891</v>
      </c>
      <c r="X25" t="s">
        <v>4710</v>
      </c>
      <c r="Y25" t="s">
        <v>4711</v>
      </c>
      <c r="Z25">
        <v>900615</v>
      </c>
      <c r="AA25">
        <v>10</v>
      </c>
      <c r="AB25">
        <v>10</v>
      </c>
      <c r="AC25">
        <v>5</v>
      </c>
      <c r="AD25">
        <v>5</v>
      </c>
      <c r="AE25">
        <v>165</v>
      </c>
      <c r="AF25">
        <v>130</v>
      </c>
      <c r="AG25">
        <v>85</v>
      </c>
      <c r="AH25">
        <v>110</v>
      </c>
      <c r="AI25">
        <v>50</v>
      </c>
      <c r="AJ25">
        <v>120</v>
      </c>
      <c r="AK25">
        <v>180</v>
      </c>
      <c r="AL25">
        <v>20</v>
      </c>
      <c r="AM25">
        <v>150</v>
      </c>
      <c r="AN25">
        <v>75</v>
      </c>
      <c r="AO25">
        <v>8</v>
      </c>
      <c r="AP25">
        <v>0</v>
      </c>
      <c r="AQ25">
        <v>2</v>
      </c>
      <c r="AR25">
        <v>15</v>
      </c>
      <c r="AS25">
        <v>500</v>
      </c>
      <c r="AT25">
        <v>5</v>
      </c>
      <c r="AU25" t="s">
        <v>330</v>
      </c>
      <c r="AV25" t="s">
        <v>330</v>
      </c>
      <c r="AW25" t="s">
        <v>330</v>
      </c>
      <c r="AX25" t="s">
        <v>330</v>
      </c>
      <c r="AY25">
        <v>16</v>
      </c>
      <c r="AZ25">
        <v>3045</v>
      </c>
      <c r="BA25">
        <v>9</v>
      </c>
      <c r="BB25" t="s">
        <v>4577</v>
      </c>
      <c r="BC25" t="s">
        <v>1891</v>
      </c>
      <c r="BD25">
        <v>910010</v>
      </c>
      <c r="BE25" t="s">
        <v>4578</v>
      </c>
      <c r="BF25" t="s">
        <v>4579</v>
      </c>
      <c r="BG25">
        <v>100</v>
      </c>
      <c r="BH25">
        <v>0</v>
      </c>
    </row>
    <row r="26" spans="1:60" x14ac:dyDescent="0.25">
      <c r="A26">
        <v>2004</v>
      </c>
      <c r="B26" t="s">
        <v>4712</v>
      </c>
      <c r="C26" t="s">
        <v>1032</v>
      </c>
      <c r="D26" t="s">
        <v>1032</v>
      </c>
      <c r="E26" t="s">
        <v>4713</v>
      </c>
      <c r="G26" t="s">
        <v>4570</v>
      </c>
      <c r="H26" t="s">
        <v>4714</v>
      </c>
      <c r="I26">
        <v>1</v>
      </c>
      <c r="J26">
        <v>2</v>
      </c>
      <c r="K26" t="s">
        <v>1033</v>
      </c>
      <c r="L26">
        <v>5</v>
      </c>
      <c r="M26">
        <v>204</v>
      </c>
      <c r="N26" t="s">
        <v>1013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900612</v>
      </c>
      <c r="V26">
        <v>900613</v>
      </c>
      <c r="W26" t="s">
        <v>1891</v>
      </c>
      <c r="X26" t="s">
        <v>4584</v>
      </c>
      <c r="Y26" t="s">
        <v>330</v>
      </c>
      <c r="Z26">
        <v>900611</v>
      </c>
      <c r="AA26">
        <v>10</v>
      </c>
      <c r="AB26">
        <v>10</v>
      </c>
      <c r="AC26">
        <v>5</v>
      </c>
      <c r="AD26">
        <v>5</v>
      </c>
      <c r="AE26">
        <v>98</v>
      </c>
      <c r="AF26">
        <v>165</v>
      </c>
      <c r="AG26">
        <v>60</v>
      </c>
      <c r="AH26">
        <v>110</v>
      </c>
      <c r="AI26">
        <v>30</v>
      </c>
      <c r="AJ26">
        <v>50</v>
      </c>
      <c r="AK26">
        <v>100</v>
      </c>
      <c r="AL26">
        <v>20</v>
      </c>
      <c r="AM26">
        <v>150</v>
      </c>
      <c r="AN26">
        <v>95</v>
      </c>
      <c r="AO26">
        <v>8</v>
      </c>
      <c r="AP26">
        <v>0</v>
      </c>
      <c r="AQ26">
        <v>2</v>
      </c>
      <c r="AR26">
        <v>15</v>
      </c>
      <c r="AS26">
        <v>500</v>
      </c>
      <c r="AT26">
        <v>3</v>
      </c>
      <c r="AU26" t="s">
        <v>330</v>
      </c>
      <c r="AV26" t="s">
        <v>330</v>
      </c>
      <c r="AW26" t="s">
        <v>330</v>
      </c>
      <c r="AX26" t="s">
        <v>330</v>
      </c>
      <c r="AY26">
        <v>14</v>
      </c>
      <c r="AZ26">
        <v>3045</v>
      </c>
      <c r="BA26">
        <v>9</v>
      </c>
      <c r="BB26" t="s">
        <v>4577</v>
      </c>
      <c r="BC26" t="s">
        <v>1891</v>
      </c>
      <c r="BD26">
        <v>910016</v>
      </c>
      <c r="BE26" t="s">
        <v>4578</v>
      </c>
      <c r="BF26" t="s">
        <v>4579</v>
      </c>
      <c r="BG26">
        <v>100</v>
      </c>
      <c r="BH26">
        <v>0</v>
      </c>
    </row>
    <row r="27" spans="1:60" x14ac:dyDescent="0.25">
      <c r="A27">
        <v>2011</v>
      </c>
      <c r="B27" t="s">
        <v>4715</v>
      </c>
      <c r="C27" t="s">
        <v>1040</v>
      </c>
      <c r="D27" t="s">
        <v>1040</v>
      </c>
      <c r="E27" t="s">
        <v>4716</v>
      </c>
      <c r="G27" t="s">
        <v>4570</v>
      </c>
      <c r="H27" t="s">
        <v>4717</v>
      </c>
      <c r="I27">
        <v>1</v>
      </c>
      <c r="J27">
        <v>2</v>
      </c>
      <c r="K27" t="s">
        <v>1041</v>
      </c>
      <c r="L27">
        <v>5</v>
      </c>
      <c r="M27">
        <v>211</v>
      </c>
      <c r="N27" t="s">
        <v>1013</v>
      </c>
      <c r="O27">
        <v>4</v>
      </c>
      <c r="P27">
        <v>0</v>
      </c>
      <c r="Q27">
        <v>4</v>
      </c>
      <c r="R27">
        <v>0</v>
      </c>
      <c r="S27">
        <v>1</v>
      </c>
      <c r="T27">
        <v>0</v>
      </c>
      <c r="U27">
        <v>900934</v>
      </c>
      <c r="V27">
        <v>900937</v>
      </c>
      <c r="W27" t="s">
        <v>1891</v>
      </c>
      <c r="X27" t="s">
        <v>4584</v>
      </c>
      <c r="Y27" t="s">
        <v>4718</v>
      </c>
      <c r="Z27">
        <v>900574</v>
      </c>
      <c r="AA27">
        <v>10</v>
      </c>
      <c r="AB27">
        <v>10</v>
      </c>
      <c r="AC27">
        <v>5</v>
      </c>
      <c r="AD27">
        <v>5</v>
      </c>
      <c r="AE27">
        <v>95</v>
      </c>
      <c r="AF27">
        <v>75</v>
      </c>
      <c r="AG27">
        <v>120</v>
      </c>
      <c r="AH27">
        <v>110</v>
      </c>
      <c r="AI27">
        <v>95</v>
      </c>
      <c r="AJ27">
        <v>0</v>
      </c>
      <c r="AK27">
        <v>15</v>
      </c>
      <c r="AL27">
        <v>20</v>
      </c>
      <c r="AM27">
        <v>150</v>
      </c>
      <c r="AN27">
        <v>95</v>
      </c>
      <c r="AO27">
        <v>12</v>
      </c>
      <c r="AP27">
        <v>0</v>
      </c>
      <c r="AQ27">
        <v>1</v>
      </c>
      <c r="AR27">
        <v>15</v>
      </c>
      <c r="AS27">
        <v>500</v>
      </c>
      <c r="AT27">
        <v>4</v>
      </c>
      <c r="AU27" t="s">
        <v>330</v>
      </c>
      <c r="AV27" t="s">
        <v>330</v>
      </c>
      <c r="AW27" t="s">
        <v>330</v>
      </c>
      <c r="AX27" t="s">
        <v>330</v>
      </c>
      <c r="AY27">
        <v>55</v>
      </c>
      <c r="AZ27">
        <v>3045</v>
      </c>
      <c r="BA27">
        <v>21</v>
      </c>
      <c r="BB27" t="s">
        <v>4577</v>
      </c>
      <c r="BC27" t="s">
        <v>1891</v>
      </c>
      <c r="BD27">
        <v>911001</v>
      </c>
      <c r="BE27" t="s">
        <v>4578</v>
      </c>
      <c r="BF27" t="s">
        <v>4579</v>
      </c>
      <c r="BG27">
        <v>80</v>
      </c>
      <c r="BH27">
        <v>0</v>
      </c>
    </row>
    <row r="28" spans="1:60" x14ac:dyDescent="0.25">
      <c r="A28">
        <v>2009</v>
      </c>
      <c r="B28" t="s">
        <v>4719</v>
      </c>
      <c r="C28" t="s">
        <v>1038</v>
      </c>
      <c r="D28" t="s">
        <v>1038</v>
      </c>
      <c r="E28" t="s">
        <v>4720</v>
      </c>
      <c r="G28" t="s">
        <v>4570</v>
      </c>
      <c r="H28" t="s">
        <v>4721</v>
      </c>
      <c r="I28">
        <v>1</v>
      </c>
      <c r="J28">
        <v>2</v>
      </c>
      <c r="K28" t="s">
        <v>1012</v>
      </c>
      <c r="L28">
        <v>5</v>
      </c>
      <c r="M28">
        <v>209</v>
      </c>
      <c r="N28" t="s">
        <v>1013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900770</v>
      </c>
      <c r="V28">
        <v>910774</v>
      </c>
      <c r="W28" t="s">
        <v>1891</v>
      </c>
      <c r="X28" t="s">
        <v>4722</v>
      </c>
      <c r="Y28" t="s">
        <v>4723</v>
      </c>
      <c r="Z28">
        <v>900772</v>
      </c>
      <c r="AA28">
        <v>10</v>
      </c>
      <c r="AB28">
        <v>10</v>
      </c>
      <c r="AC28">
        <v>5</v>
      </c>
      <c r="AD28">
        <v>5</v>
      </c>
      <c r="AE28">
        <v>115</v>
      </c>
      <c r="AF28">
        <v>72</v>
      </c>
      <c r="AG28">
        <v>100</v>
      </c>
      <c r="AH28">
        <v>85</v>
      </c>
      <c r="AI28">
        <v>140</v>
      </c>
      <c r="AJ28">
        <v>0</v>
      </c>
      <c r="AK28">
        <v>15</v>
      </c>
      <c r="AL28">
        <v>10</v>
      </c>
      <c r="AM28">
        <v>150</v>
      </c>
      <c r="AN28">
        <v>95</v>
      </c>
      <c r="AO28">
        <v>15</v>
      </c>
      <c r="AP28">
        <v>0</v>
      </c>
      <c r="AQ28">
        <v>2</v>
      </c>
      <c r="AR28">
        <v>15</v>
      </c>
      <c r="AS28">
        <v>500</v>
      </c>
      <c r="AT28">
        <v>7</v>
      </c>
      <c r="AU28" t="s">
        <v>330</v>
      </c>
      <c r="AV28" t="s">
        <v>330</v>
      </c>
      <c r="AW28" t="s">
        <v>330</v>
      </c>
      <c r="AX28" t="s">
        <v>330</v>
      </c>
      <c r="AY28">
        <v>86</v>
      </c>
      <c r="AZ28">
        <v>3045</v>
      </c>
      <c r="BA28">
        <v>8</v>
      </c>
      <c r="BB28" t="s">
        <v>4577</v>
      </c>
      <c r="BC28" t="s">
        <v>1891</v>
      </c>
      <c r="BD28">
        <v>911104</v>
      </c>
      <c r="BE28" t="s">
        <v>4578</v>
      </c>
      <c r="BF28" t="s">
        <v>4579</v>
      </c>
      <c r="BG28">
        <v>90</v>
      </c>
      <c r="BH28">
        <v>0</v>
      </c>
    </row>
    <row r="29" spans="1:60" x14ac:dyDescent="0.25">
      <c r="A29">
        <v>2013</v>
      </c>
      <c r="B29" t="s">
        <v>4724</v>
      </c>
      <c r="C29" t="s">
        <v>1043</v>
      </c>
      <c r="D29" t="s">
        <v>1043</v>
      </c>
      <c r="E29" t="s">
        <v>4725</v>
      </c>
      <c r="G29" t="s">
        <v>4570</v>
      </c>
      <c r="H29" t="s">
        <v>4726</v>
      </c>
      <c r="I29">
        <v>1</v>
      </c>
      <c r="J29">
        <v>2</v>
      </c>
      <c r="K29" t="s">
        <v>1012</v>
      </c>
      <c r="L29">
        <v>5</v>
      </c>
      <c r="M29">
        <v>213</v>
      </c>
      <c r="N29" t="s">
        <v>1013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901251</v>
      </c>
      <c r="V29">
        <v>901253</v>
      </c>
      <c r="W29" t="s">
        <v>1891</v>
      </c>
      <c r="X29" t="s">
        <v>4727</v>
      </c>
      <c r="Y29" t="s">
        <v>4728</v>
      </c>
      <c r="Z29">
        <v>901250</v>
      </c>
      <c r="AA29">
        <v>10</v>
      </c>
      <c r="AB29">
        <v>10</v>
      </c>
      <c r="AC29">
        <v>5</v>
      </c>
      <c r="AD29">
        <v>5</v>
      </c>
      <c r="AE29">
        <v>100</v>
      </c>
      <c r="AF29">
        <v>100</v>
      </c>
      <c r="AG29">
        <v>115</v>
      </c>
      <c r="AH29">
        <v>80</v>
      </c>
      <c r="AI29">
        <v>45</v>
      </c>
      <c r="AJ29">
        <v>0</v>
      </c>
      <c r="AK29">
        <v>180</v>
      </c>
      <c r="AL29">
        <v>5</v>
      </c>
      <c r="AM29">
        <v>150</v>
      </c>
      <c r="AN29">
        <v>95</v>
      </c>
      <c r="AO29">
        <v>5</v>
      </c>
      <c r="AP29">
        <v>0</v>
      </c>
      <c r="AQ29">
        <v>2</v>
      </c>
      <c r="AR29">
        <v>15</v>
      </c>
      <c r="AS29">
        <v>500</v>
      </c>
      <c r="AT29">
        <v>9</v>
      </c>
      <c r="AU29" t="s">
        <v>330</v>
      </c>
      <c r="AV29" t="s">
        <v>330</v>
      </c>
      <c r="AW29" t="s">
        <v>330</v>
      </c>
      <c r="AX29" t="s">
        <v>330</v>
      </c>
      <c r="AY29">
        <v>59</v>
      </c>
      <c r="AZ29">
        <v>3045</v>
      </c>
      <c r="BA29">
        <v>18</v>
      </c>
      <c r="BB29" t="s">
        <v>4577</v>
      </c>
      <c r="BC29" t="s">
        <v>1891</v>
      </c>
      <c r="BD29">
        <v>911012</v>
      </c>
      <c r="BE29" t="s">
        <v>4578</v>
      </c>
      <c r="BF29" t="s">
        <v>4579</v>
      </c>
      <c r="BG29">
        <v>95</v>
      </c>
      <c r="BH29">
        <v>0</v>
      </c>
    </row>
    <row r="30" spans="1:60" x14ac:dyDescent="0.25">
      <c r="A30">
        <v>2005</v>
      </c>
      <c r="B30" t="s">
        <v>4729</v>
      </c>
      <c r="C30" t="s">
        <v>1034</v>
      </c>
      <c r="D30" t="s">
        <v>1034</v>
      </c>
      <c r="E30" t="s">
        <v>4730</v>
      </c>
      <c r="G30" t="s">
        <v>4570</v>
      </c>
      <c r="H30" t="s">
        <v>4731</v>
      </c>
      <c r="I30">
        <v>1</v>
      </c>
      <c r="J30">
        <v>2</v>
      </c>
      <c r="K30" t="s">
        <v>1035</v>
      </c>
      <c r="L30">
        <v>5</v>
      </c>
      <c r="M30">
        <v>205</v>
      </c>
      <c r="N30" t="s">
        <v>1013</v>
      </c>
      <c r="O30">
        <v>3</v>
      </c>
      <c r="P30">
        <v>0</v>
      </c>
      <c r="Q30">
        <v>4</v>
      </c>
      <c r="R30">
        <v>0</v>
      </c>
      <c r="S30">
        <v>1</v>
      </c>
      <c r="T30">
        <v>0</v>
      </c>
      <c r="U30">
        <v>900653</v>
      </c>
      <c r="V30">
        <v>900661</v>
      </c>
      <c r="W30" t="s">
        <v>1891</v>
      </c>
      <c r="X30" t="s">
        <v>4732</v>
      </c>
      <c r="Y30" t="s">
        <v>4733</v>
      </c>
      <c r="Z30">
        <v>900655</v>
      </c>
      <c r="AA30">
        <v>10</v>
      </c>
      <c r="AB30">
        <v>10</v>
      </c>
      <c r="AC30">
        <v>5</v>
      </c>
      <c r="AD30">
        <v>5</v>
      </c>
      <c r="AE30">
        <v>36</v>
      </c>
      <c r="AF30">
        <v>100</v>
      </c>
      <c r="AG30">
        <v>105</v>
      </c>
      <c r="AH30">
        <v>105</v>
      </c>
      <c r="AI30">
        <v>50</v>
      </c>
      <c r="AJ30">
        <v>60</v>
      </c>
      <c r="AK30">
        <v>15</v>
      </c>
      <c r="AL30">
        <v>20</v>
      </c>
      <c r="AM30">
        <v>150</v>
      </c>
      <c r="AN30">
        <v>95</v>
      </c>
      <c r="AO30">
        <v>10</v>
      </c>
      <c r="AP30">
        <v>0</v>
      </c>
      <c r="AQ30">
        <v>1</v>
      </c>
      <c r="AR30">
        <v>15</v>
      </c>
      <c r="AS30">
        <v>500</v>
      </c>
      <c r="AT30">
        <v>3</v>
      </c>
      <c r="AU30" t="s">
        <v>330</v>
      </c>
      <c r="AV30" t="s">
        <v>330</v>
      </c>
      <c r="AW30" t="s">
        <v>330</v>
      </c>
      <c r="AX30" t="s">
        <v>330</v>
      </c>
      <c r="AY30">
        <v>30</v>
      </c>
      <c r="AZ30">
        <v>3045</v>
      </c>
      <c r="BA30">
        <v>9</v>
      </c>
      <c r="BB30" t="s">
        <v>4577</v>
      </c>
      <c r="BC30" t="s">
        <v>1891</v>
      </c>
      <c r="BD30">
        <v>910018</v>
      </c>
      <c r="BE30" t="s">
        <v>4578</v>
      </c>
      <c r="BF30" t="s">
        <v>4579</v>
      </c>
      <c r="BG30">
        <v>100</v>
      </c>
      <c r="BH30">
        <v>0</v>
      </c>
    </row>
    <row r="31" spans="1:60" x14ac:dyDescent="0.25">
      <c r="A31">
        <v>2010</v>
      </c>
      <c r="B31" t="s">
        <v>4734</v>
      </c>
      <c r="C31" t="s">
        <v>1039</v>
      </c>
      <c r="D31" t="s">
        <v>1039</v>
      </c>
      <c r="E31" t="s">
        <v>4735</v>
      </c>
      <c r="G31" t="s">
        <v>4570</v>
      </c>
      <c r="H31" t="s">
        <v>4736</v>
      </c>
      <c r="I31">
        <v>1</v>
      </c>
      <c r="J31">
        <v>2</v>
      </c>
      <c r="K31" t="s">
        <v>1012</v>
      </c>
      <c r="L31">
        <v>5</v>
      </c>
      <c r="M31">
        <v>210</v>
      </c>
      <c r="N31" t="s">
        <v>1013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900841</v>
      </c>
      <c r="V31">
        <v>900842</v>
      </c>
      <c r="W31" t="s">
        <v>1891</v>
      </c>
      <c r="X31" t="s">
        <v>4584</v>
      </c>
      <c r="Y31" t="s">
        <v>4737</v>
      </c>
      <c r="Z31">
        <v>900840</v>
      </c>
      <c r="AA31">
        <v>10</v>
      </c>
      <c r="AB31">
        <v>10</v>
      </c>
      <c r="AC31">
        <v>5</v>
      </c>
      <c r="AD31">
        <v>5</v>
      </c>
      <c r="AE31">
        <v>95</v>
      </c>
      <c r="AF31">
        <v>95</v>
      </c>
      <c r="AG31">
        <v>105</v>
      </c>
      <c r="AH31">
        <v>115</v>
      </c>
      <c r="AI31">
        <v>95</v>
      </c>
      <c r="AJ31">
        <v>0</v>
      </c>
      <c r="AK31">
        <v>15</v>
      </c>
      <c r="AL31">
        <v>20</v>
      </c>
      <c r="AM31">
        <v>150</v>
      </c>
      <c r="AN31">
        <v>95</v>
      </c>
      <c r="AO31">
        <v>15</v>
      </c>
      <c r="AP31">
        <v>0</v>
      </c>
      <c r="AQ31">
        <v>2</v>
      </c>
      <c r="AR31">
        <v>15</v>
      </c>
      <c r="AS31">
        <v>500</v>
      </c>
      <c r="AT31">
        <v>7</v>
      </c>
      <c r="AU31" t="s">
        <v>330</v>
      </c>
      <c r="AV31" t="s">
        <v>330</v>
      </c>
      <c r="AW31" t="s">
        <v>330</v>
      </c>
      <c r="AX31" t="s">
        <v>330</v>
      </c>
      <c r="AY31">
        <v>94</v>
      </c>
      <c r="AZ31">
        <v>3045</v>
      </c>
      <c r="BA31">
        <v>8</v>
      </c>
      <c r="BB31" t="s">
        <v>4577</v>
      </c>
      <c r="BC31" t="s">
        <v>1891</v>
      </c>
      <c r="BD31">
        <v>911105</v>
      </c>
      <c r="BE31" t="s">
        <v>4578</v>
      </c>
      <c r="BF31" t="s">
        <v>4579</v>
      </c>
      <c r="BG31">
        <v>90</v>
      </c>
      <c r="BH31">
        <v>0</v>
      </c>
    </row>
    <row r="32" spans="1:60" x14ac:dyDescent="0.25">
      <c r="A32">
        <v>3006</v>
      </c>
      <c r="B32" t="s">
        <v>4738</v>
      </c>
      <c r="C32" t="s">
        <v>1050</v>
      </c>
      <c r="D32" t="s">
        <v>1050</v>
      </c>
      <c r="E32" t="s">
        <v>4739</v>
      </c>
      <c r="G32" t="s">
        <v>4570</v>
      </c>
      <c r="H32" t="s">
        <v>4740</v>
      </c>
      <c r="I32">
        <v>1</v>
      </c>
      <c r="J32">
        <v>3</v>
      </c>
      <c r="K32" t="s">
        <v>1041</v>
      </c>
      <c r="L32">
        <v>5</v>
      </c>
      <c r="M32">
        <v>306</v>
      </c>
      <c r="N32" t="s">
        <v>1013</v>
      </c>
      <c r="O32">
        <v>2</v>
      </c>
      <c r="P32">
        <v>0</v>
      </c>
      <c r="Q32">
        <v>3</v>
      </c>
      <c r="R32">
        <v>0</v>
      </c>
      <c r="S32">
        <v>1</v>
      </c>
      <c r="T32">
        <v>0</v>
      </c>
      <c r="U32">
        <v>0</v>
      </c>
      <c r="V32">
        <v>900676</v>
      </c>
      <c r="W32" t="s">
        <v>1891</v>
      </c>
      <c r="X32" t="s">
        <v>4732</v>
      </c>
      <c r="Y32" t="s">
        <v>4741</v>
      </c>
      <c r="Z32">
        <v>900654</v>
      </c>
      <c r="AA32">
        <v>10</v>
      </c>
      <c r="AB32">
        <v>10</v>
      </c>
      <c r="AC32">
        <v>5</v>
      </c>
      <c r="AD32">
        <v>5</v>
      </c>
      <c r="AE32">
        <v>36</v>
      </c>
      <c r="AF32">
        <v>90</v>
      </c>
      <c r="AG32">
        <v>100</v>
      </c>
      <c r="AH32">
        <v>100</v>
      </c>
      <c r="AI32">
        <v>100</v>
      </c>
      <c r="AJ32">
        <v>0</v>
      </c>
      <c r="AK32">
        <v>15</v>
      </c>
      <c r="AL32">
        <v>20</v>
      </c>
      <c r="AM32">
        <v>150</v>
      </c>
      <c r="AN32">
        <v>95</v>
      </c>
      <c r="AO32">
        <v>15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330</v>
      </c>
      <c r="AV32" t="s">
        <v>330</v>
      </c>
      <c r="AW32" t="s">
        <v>330</v>
      </c>
      <c r="AX32" t="s">
        <v>330</v>
      </c>
      <c r="AY32">
        <v>6</v>
      </c>
      <c r="AZ32">
        <v>3045</v>
      </c>
      <c r="BA32">
        <v>18</v>
      </c>
      <c r="BB32" t="s">
        <v>4577</v>
      </c>
      <c r="BC32" t="s">
        <v>1891</v>
      </c>
      <c r="BD32">
        <v>910003</v>
      </c>
      <c r="BE32" t="s">
        <v>4578</v>
      </c>
      <c r="BF32" t="s">
        <v>4579</v>
      </c>
      <c r="BG32">
        <v>95</v>
      </c>
      <c r="BH32">
        <v>0</v>
      </c>
    </row>
    <row r="33" spans="1:60" x14ac:dyDescent="0.25">
      <c r="A33">
        <v>3010</v>
      </c>
      <c r="B33" t="s">
        <v>4742</v>
      </c>
      <c r="C33" t="s">
        <v>1055</v>
      </c>
      <c r="D33" t="s">
        <v>1055</v>
      </c>
      <c r="E33" t="s">
        <v>4743</v>
      </c>
      <c r="G33" t="s">
        <v>4570</v>
      </c>
      <c r="H33" t="s">
        <v>4744</v>
      </c>
      <c r="I33">
        <v>1</v>
      </c>
      <c r="J33">
        <v>3</v>
      </c>
      <c r="K33" t="s">
        <v>1033</v>
      </c>
      <c r="L33">
        <v>1</v>
      </c>
      <c r="M33">
        <v>310</v>
      </c>
      <c r="N33" t="s">
        <v>1013</v>
      </c>
      <c r="O33">
        <v>8</v>
      </c>
      <c r="P33">
        <v>0</v>
      </c>
      <c r="Q33">
        <v>3</v>
      </c>
      <c r="R33">
        <v>0</v>
      </c>
      <c r="S33">
        <v>1</v>
      </c>
      <c r="T33">
        <v>0</v>
      </c>
      <c r="U33">
        <v>0</v>
      </c>
      <c r="V33">
        <v>901041</v>
      </c>
      <c r="W33" t="s">
        <v>1891</v>
      </c>
      <c r="X33" t="s">
        <v>4745</v>
      </c>
      <c r="Y33" t="s">
        <v>330</v>
      </c>
      <c r="Z33">
        <v>900107</v>
      </c>
      <c r="AA33">
        <v>10</v>
      </c>
      <c r="AB33">
        <v>10</v>
      </c>
      <c r="AC33">
        <v>5</v>
      </c>
      <c r="AD33">
        <v>5</v>
      </c>
      <c r="AE33">
        <v>160</v>
      </c>
      <c r="AF33">
        <v>320</v>
      </c>
      <c r="AG33">
        <v>90</v>
      </c>
      <c r="AH33">
        <v>350</v>
      </c>
      <c r="AI33">
        <v>0</v>
      </c>
      <c r="AJ33">
        <v>90</v>
      </c>
      <c r="AK33">
        <v>100</v>
      </c>
      <c r="AL33">
        <v>5</v>
      </c>
      <c r="AM33">
        <v>150</v>
      </c>
      <c r="AN33">
        <v>75</v>
      </c>
      <c r="AO33">
        <v>3</v>
      </c>
      <c r="AP33">
        <v>0</v>
      </c>
      <c r="AQ33">
        <v>2</v>
      </c>
      <c r="AR33">
        <v>15</v>
      </c>
      <c r="AS33">
        <v>500</v>
      </c>
      <c r="AT33">
        <v>5</v>
      </c>
      <c r="AU33" t="s">
        <v>330</v>
      </c>
      <c r="AV33" t="s">
        <v>330</v>
      </c>
      <c r="AW33" t="s">
        <v>330</v>
      </c>
      <c r="AX33" t="s">
        <v>330</v>
      </c>
      <c r="AY33">
        <v>99</v>
      </c>
      <c r="AZ33">
        <v>3045</v>
      </c>
      <c r="BA33">
        <v>21</v>
      </c>
      <c r="BB33" t="s">
        <v>4577</v>
      </c>
      <c r="BC33" t="s">
        <v>1891</v>
      </c>
      <c r="BD33">
        <v>910021</v>
      </c>
      <c r="BE33" t="s">
        <v>4578</v>
      </c>
      <c r="BF33" t="s">
        <v>4579</v>
      </c>
      <c r="BG33">
        <v>100</v>
      </c>
      <c r="BH33">
        <v>0</v>
      </c>
    </row>
    <row r="34" spans="1:60" x14ac:dyDescent="0.25">
      <c r="A34">
        <v>3003</v>
      </c>
      <c r="B34" t="s">
        <v>4746</v>
      </c>
      <c r="C34" t="s">
        <v>1047</v>
      </c>
      <c r="D34" t="s">
        <v>1047</v>
      </c>
      <c r="E34" t="s">
        <v>4747</v>
      </c>
      <c r="G34" t="s">
        <v>4570</v>
      </c>
      <c r="H34" t="s">
        <v>4748</v>
      </c>
      <c r="I34">
        <v>1</v>
      </c>
      <c r="J34">
        <v>3</v>
      </c>
      <c r="K34" t="s">
        <v>1015</v>
      </c>
      <c r="L34">
        <v>5</v>
      </c>
      <c r="M34">
        <v>303</v>
      </c>
      <c r="N34" t="s">
        <v>1013</v>
      </c>
      <c r="O34">
        <v>4</v>
      </c>
      <c r="P34">
        <v>0</v>
      </c>
      <c r="Q34">
        <v>3</v>
      </c>
      <c r="R34">
        <v>0</v>
      </c>
      <c r="S34">
        <v>1</v>
      </c>
      <c r="T34">
        <v>0</v>
      </c>
      <c r="U34">
        <v>0</v>
      </c>
      <c r="V34">
        <v>900525</v>
      </c>
      <c r="W34" t="s">
        <v>1891</v>
      </c>
      <c r="X34" t="s">
        <v>4584</v>
      </c>
      <c r="Y34" t="s">
        <v>4749</v>
      </c>
      <c r="Z34">
        <v>900524</v>
      </c>
      <c r="AA34">
        <v>10</v>
      </c>
      <c r="AB34">
        <v>10</v>
      </c>
      <c r="AC34">
        <v>5</v>
      </c>
      <c r="AD34">
        <v>5</v>
      </c>
      <c r="AE34">
        <v>135</v>
      </c>
      <c r="AF34">
        <v>80</v>
      </c>
      <c r="AG34">
        <v>75</v>
      </c>
      <c r="AH34">
        <v>120</v>
      </c>
      <c r="AI34">
        <v>80</v>
      </c>
      <c r="AJ34">
        <v>0</v>
      </c>
      <c r="AK34">
        <v>15</v>
      </c>
      <c r="AL34">
        <v>20</v>
      </c>
      <c r="AM34">
        <v>150</v>
      </c>
      <c r="AN34">
        <v>95</v>
      </c>
      <c r="AO34">
        <v>12</v>
      </c>
      <c r="AP34">
        <v>0</v>
      </c>
      <c r="AQ34">
        <v>1</v>
      </c>
      <c r="AR34">
        <v>15</v>
      </c>
      <c r="AS34">
        <v>500</v>
      </c>
      <c r="AT34">
        <v>3</v>
      </c>
      <c r="AU34" t="s">
        <v>330</v>
      </c>
      <c r="AV34" t="s">
        <v>330</v>
      </c>
      <c r="AW34" t="s">
        <v>330</v>
      </c>
      <c r="AX34" t="s">
        <v>330</v>
      </c>
      <c r="AY34">
        <v>10</v>
      </c>
      <c r="AZ34">
        <v>3045</v>
      </c>
      <c r="BA34">
        <v>16</v>
      </c>
      <c r="BB34" t="s">
        <v>4577</v>
      </c>
      <c r="BC34" t="s">
        <v>1891</v>
      </c>
      <c r="BD34">
        <v>910007</v>
      </c>
      <c r="BE34" t="s">
        <v>4578</v>
      </c>
      <c r="BF34" t="s">
        <v>4579</v>
      </c>
      <c r="BG34">
        <v>92</v>
      </c>
      <c r="BH34">
        <v>0</v>
      </c>
    </row>
    <row r="35" spans="1:60" x14ac:dyDescent="0.25">
      <c r="A35">
        <v>3004</v>
      </c>
      <c r="B35" t="s">
        <v>4750</v>
      </c>
      <c r="C35" t="s">
        <v>1048</v>
      </c>
      <c r="D35" t="s">
        <v>1048</v>
      </c>
      <c r="E35" t="s">
        <v>4751</v>
      </c>
      <c r="G35" t="s">
        <v>4570</v>
      </c>
      <c r="H35" t="s">
        <v>4752</v>
      </c>
      <c r="I35">
        <v>1</v>
      </c>
      <c r="J35">
        <v>3</v>
      </c>
      <c r="K35" t="s">
        <v>1012</v>
      </c>
      <c r="L35">
        <v>5</v>
      </c>
      <c r="M35">
        <v>304</v>
      </c>
      <c r="N35" t="s">
        <v>1013</v>
      </c>
      <c r="O35">
        <v>4</v>
      </c>
      <c r="P35">
        <v>0</v>
      </c>
      <c r="Q35">
        <v>3</v>
      </c>
      <c r="R35">
        <v>0</v>
      </c>
      <c r="S35">
        <v>1</v>
      </c>
      <c r="T35">
        <v>0</v>
      </c>
      <c r="U35">
        <v>0</v>
      </c>
      <c r="V35">
        <v>900523</v>
      </c>
      <c r="W35" t="s">
        <v>1891</v>
      </c>
      <c r="X35" t="s">
        <v>4584</v>
      </c>
      <c r="Y35" t="s">
        <v>330</v>
      </c>
      <c r="Z35">
        <v>900522</v>
      </c>
      <c r="AA35">
        <v>10</v>
      </c>
      <c r="AB35">
        <v>10</v>
      </c>
      <c r="AC35">
        <v>5</v>
      </c>
      <c r="AD35">
        <v>5</v>
      </c>
      <c r="AE35">
        <v>65</v>
      </c>
      <c r="AF35">
        <v>105</v>
      </c>
      <c r="AG35">
        <v>65</v>
      </c>
      <c r="AH35">
        <v>125</v>
      </c>
      <c r="AI35">
        <v>55</v>
      </c>
      <c r="AJ35">
        <v>0</v>
      </c>
      <c r="AK35">
        <v>180</v>
      </c>
      <c r="AL35">
        <v>50</v>
      </c>
      <c r="AM35">
        <v>200</v>
      </c>
      <c r="AN35">
        <v>95</v>
      </c>
      <c r="AO35">
        <v>6</v>
      </c>
      <c r="AP35">
        <v>0</v>
      </c>
      <c r="AQ35">
        <v>2</v>
      </c>
      <c r="AR35">
        <v>15</v>
      </c>
      <c r="AS35">
        <v>500</v>
      </c>
      <c r="AT35">
        <v>9</v>
      </c>
      <c r="AU35" t="s">
        <v>330</v>
      </c>
      <c r="AV35" t="s">
        <v>330</v>
      </c>
      <c r="AW35" t="s">
        <v>330</v>
      </c>
      <c r="AX35" t="s">
        <v>330</v>
      </c>
      <c r="AY35">
        <v>9</v>
      </c>
      <c r="AZ35">
        <v>3045</v>
      </c>
      <c r="BA35">
        <v>17</v>
      </c>
      <c r="BB35" t="s">
        <v>4577</v>
      </c>
      <c r="BC35" t="s">
        <v>1891</v>
      </c>
      <c r="BD35">
        <v>910006</v>
      </c>
      <c r="BE35" t="s">
        <v>4578</v>
      </c>
      <c r="BF35" t="s">
        <v>4579</v>
      </c>
      <c r="BG35">
        <v>100</v>
      </c>
      <c r="BH35">
        <v>0</v>
      </c>
    </row>
    <row r="36" spans="1:60" x14ac:dyDescent="0.25">
      <c r="A36">
        <v>3009</v>
      </c>
      <c r="B36" t="s">
        <v>4753</v>
      </c>
      <c r="C36" t="s">
        <v>1053</v>
      </c>
      <c r="D36" t="s">
        <v>1053</v>
      </c>
      <c r="E36" t="s">
        <v>4754</v>
      </c>
      <c r="G36" t="s">
        <v>4570</v>
      </c>
      <c r="H36" t="s">
        <v>4755</v>
      </c>
      <c r="I36">
        <v>1</v>
      </c>
      <c r="J36">
        <v>3</v>
      </c>
      <c r="K36" t="s">
        <v>1054</v>
      </c>
      <c r="L36">
        <v>5</v>
      </c>
      <c r="M36">
        <v>309</v>
      </c>
      <c r="N36" t="s">
        <v>1013</v>
      </c>
      <c r="O36">
        <v>4</v>
      </c>
      <c r="P36">
        <v>0</v>
      </c>
      <c r="Q36">
        <v>3</v>
      </c>
      <c r="R36">
        <v>0</v>
      </c>
      <c r="S36">
        <v>1</v>
      </c>
      <c r="T36">
        <v>0</v>
      </c>
      <c r="U36">
        <v>0</v>
      </c>
      <c r="V36">
        <v>900741</v>
      </c>
      <c r="W36" t="s">
        <v>1891</v>
      </c>
      <c r="X36" t="s">
        <v>4584</v>
      </c>
      <c r="Y36" t="s">
        <v>330</v>
      </c>
      <c r="Z36">
        <v>900740</v>
      </c>
      <c r="AA36">
        <v>10</v>
      </c>
      <c r="AB36">
        <v>10</v>
      </c>
      <c r="AC36">
        <v>5</v>
      </c>
      <c r="AD36">
        <v>5</v>
      </c>
      <c r="AE36">
        <v>55</v>
      </c>
      <c r="AF36">
        <v>72</v>
      </c>
      <c r="AG36">
        <v>50</v>
      </c>
      <c r="AH36">
        <v>130</v>
      </c>
      <c r="AI36">
        <v>90</v>
      </c>
      <c r="AJ36">
        <v>0</v>
      </c>
      <c r="AK36">
        <v>100</v>
      </c>
      <c r="AL36">
        <v>20</v>
      </c>
      <c r="AM36">
        <v>150</v>
      </c>
      <c r="AN36">
        <v>95</v>
      </c>
      <c r="AO36">
        <v>12</v>
      </c>
      <c r="AP36">
        <v>0</v>
      </c>
      <c r="AQ36">
        <v>2</v>
      </c>
      <c r="AR36">
        <v>15</v>
      </c>
      <c r="AS36">
        <v>500</v>
      </c>
      <c r="AT36">
        <v>9</v>
      </c>
      <c r="AU36" t="s">
        <v>330</v>
      </c>
      <c r="AV36" t="s">
        <v>330</v>
      </c>
      <c r="AW36" t="s">
        <v>330</v>
      </c>
      <c r="AX36" t="s">
        <v>330</v>
      </c>
      <c r="AY36">
        <v>13</v>
      </c>
      <c r="AZ36">
        <v>3045</v>
      </c>
      <c r="BA36">
        <v>21</v>
      </c>
      <c r="BB36" t="s">
        <v>4577</v>
      </c>
      <c r="BC36" t="s">
        <v>1891</v>
      </c>
      <c r="BD36">
        <v>910009</v>
      </c>
      <c r="BE36" t="s">
        <v>4578</v>
      </c>
      <c r="BF36" t="s">
        <v>4579</v>
      </c>
      <c r="BG36">
        <v>80</v>
      </c>
      <c r="BH36">
        <v>0</v>
      </c>
    </row>
    <row r="37" spans="1:60" x14ac:dyDescent="0.25">
      <c r="A37">
        <v>3008</v>
      </c>
      <c r="B37" t="s">
        <v>4756</v>
      </c>
      <c r="C37" t="s">
        <v>1052</v>
      </c>
      <c r="D37" t="s">
        <v>1052</v>
      </c>
      <c r="E37" t="s">
        <v>4757</v>
      </c>
      <c r="G37" t="s">
        <v>4570</v>
      </c>
      <c r="H37" t="s">
        <v>4758</v>
      </c>
      <c r="I37">
        <v>1</v>
      </c>
      <c r="J37">
        <v>3</v>
      </c>
      <c r="K37" t="s">
        <v>1041</v>
      </c>
      <c r="L37">
        <v>5</v>
      </c>
      <c r="M37">
        <v>308</v>
      </c>
      <c r="N37" t="s">
        <v>1013</v>
      </c>
      <c r="O37">
        <v>4</v>
      </c>
      <c r="P37">
        <v>0</v>
      </c>
      <c r="Q37">
        <v>3</v>
      </c>
      <c r="R37">
        <v>0</v>
      </c>
      <c r="S37">
        <v>1</v>
      </c>
      <c r="T37">
        <v>0</v>
      </c>
      <c r="U37">
        <v>0</v>
      </c>
      <c r="V37">
        <v>900575</v>
      </c>
      <c r="W37" t="s">
        <v>1891</v>
      </c>
      <c r="X37" t="s">
        <v>4584</v>
      </c>
      <c r="Y37" t="s">
        <v>4759</v>
      </c>
      <c r="Z37">
        <v>900574</v>
      </c>
      <c r="AA37">
        <v>10</v>
      </c>
      <c r="AB37">
        <v>10</v>
      </c>
      <c r="AC37">
        <v>5</v>
      </c>
      <c r="AD37">
        <v>5</v>
      </c>
      <c r="AE37">
        <v>90</v>
      </c>
      <c r="AF37">
        <v>68</v>
      </c>
      <c r="AG37">
        <v>120</v>
      </c>
      <c r="AH37">
        <v>110</v>
      </c>
      <c r="AI37">
        <v>95</v>
      </c>
      <c r="AJ37">
        <v>0</v>
      </c>
      <c r="AK37">
        <v>15</v>
      </c>
      <c r="AL37">
        <v>20</v>
      </c>
      <c r="AM37">
        <v>150</v>
      </c>
      <c r="AN37">
        <v>95</v>
      </c>
      <c r="AO37">
        <v>12</v>
      </c>
      <c r="AP37">
        <v>0</v>
      </c>
      <c r="AQ37">
        <v>1</v>
      </c>
      <c r="AR37">
        <v>15</v>
      </c>
      <c r="AS37">
        <v>500</v>
      </c>
      <c r="AT37">
        <v>4</v>
      </c>
      <c r="AU37" t="s">
        <v>330</v>
      </c>
      <c r="AV37" t="s">
        <v>330</v>
      </c>
      <c r="AW37" t="s">
        <v>330</v>
      </c>
      <c r="AX37" t="s">
        <v>330</v>
      </c>
      <c r="AY37">
        <v>2</v>
      </c>
      <c r="AZ37">
        <v>3045</v>
      </c>
      <c r="BA37">
        <v>21</v>
      </c>
      <c r="BB37" t="s">
        <v>4577</v>
      </c>
      <c r="BC37" t="s">
        <v>1891</v>
      </c>
      <c r="BD37">
        <v>910001</v>
      </c>
      <c r="BE37" t="s">
        <v>4578</v>
      </c>
      <c r="BF37" t="s">
        <v>4579</v>
      </c>
      <c r="BG37">
        <v>80</v>
      </c>
      <c r="BH37">
        <v>0</v>
      </c>
    </row>
    <row r="38" spans="1:60" x14ac:dyDescent="0.25">
      <c r="A38">
        <v>3001</v>
      </c>
      <c r="B38" t="s">
        <v>4760</v>
      </c>
      <c r="C38" t="s">
        <v>1045</v>
      </c>
      <c r="D38" t="s">
        <v>1045</v>
      </c>
      <c r="E38" t="s">
        <v>4761</v>
      </c>
      <c r="G38" t="s">
        <v>4570</v>
      </c>
      <c r="H38" t="s">
        <v>4762</v>
      </c>
      <c r="I38">
        <v>1</v>
      </c>
      <c r="J38">
        <v>3</v>
      </c>
      <c r="K38" t="s">
        <v>1012</v>
      </c>
      <c r="L38">
        <v>5</v>
      </c>
      <c r="M38">
        <v>301</v>
      </c>
      <c r="N38" t="s">
        <v>1013</v>
      </c>
      <c r="O38">
        <v>4</v>
      </c>
      <c r="P38">
        <v>0</v>
      </c>
      <c r="Q38">
        <v>3</v>
      </c>
      <c r="R38">
        <v>0</v>
      </c>
      <c r="S38">
        <v>1</v>
      </c>
      <c r="T38">
        <v>0</v>
      </c>
      <c r="U38">
        <v>0</v>
      </c>
      <c r="V38">
        <v>600501</v>
      </c>
      <c r="W38" t="s">
        <v>1891</v>
      </c>
      <c r="X38" t="s">
        <v>4584</v>
      </c>
      <c r="Y38" t="s">
        <v>4763</v>
      </c>
      <c r="Z38">
        <v>600503</v>
      </c>
      <c r="AA38">
        <v>10</v>
      </c>
      <c r="AB38">
        <v>10</v>
      </c>
      <c r="AC38">
        <v>5</v>
      </c>
      <c r="AD38">
        <v>5</v>
      </c>
      <c r="AE38">
        <v>100</v>
      </c>
      <c r="AF38">
        <v>62</v>
      </c>
      <c r="AG38">
        <v>100</v>
      </c>
      <c r="AH38">
        <v>65</v>
      </c>
      <c r="AI38">
        <v>130</v>
      </c>
      <c r="AJ38">
        <v>0</v>
      </c>
      <c r="AK38">
        <v>15</v>
      </c>
      <c r="AL38">
        <v>10</v>
      </c>
      <c r="AM38">
        <v>150</v>
      </c>
      <c r="AN38">
        <v>95</v>
      </c>
      <c r="AO38">
        <v>15</v>
      </c>
      <c r="AP38">
        <v>0</v>
      </c>
      <c r="AQ38">
        <v>2</v>
      </c>
      <c r="AR38">
        <v>15</v>
      </c>
      <c r="AS38">
        <v>500</v>
      </c>
      <c r="AT38">
        <v>7</v>
      </c>
      <c r="AU38" t="s">
        <v>330</v>
      </c>
      <c r="AV38" t="s">
        <v>330</v>
      </c>
      <c r="AW38" t="s">
        <v>330</v>
      </c>
      <c r="AX38" t="s">
        <v>330</v>
      </c>
      <c r="AY38">
        <v>4</v>
      </c>
      <c r="AZ38">
        <v>3045</v>
      </c>
      <c r="BA38">
        <v>14</v>
      </c>
      <c r="BB38" t="s">
        <v>4577</v>
      </c>
      <c r="BC38" t="s">
        <v>1891</v>
      </c>
      <c r="BD38">
        <v>910004</v>
      </c>
      <c r="BE38" t="s">
        <v>4578</v>
      </c>
      <c r="BF38" t="s">
        <v>4579</v>
      </c>
      <c r="BG38">
        <v>95</v>
      </c>
      <c r="BH38">
        <v>0</v>
      </c>
    </row>
    <row r="39" spans="1:60" x14ac:dyDescent="0.25">
      <c r="A39">
        <v>3007</v>
      </c>
      <c r="B39" t="s">
        <v>4764</v>
      </c>
      <c r="C39" t="s">
        <v>1051</v>
      </c>
      <c r="D39" t="s">
        <v>1051</v>
      </c>
      <c r="E39" t="s">
        <v>4765</v>
      </c>
      <c r="G39" t="s">
        <v>4570</v>
      </c>
      <c r="H39" t="s">
        <v>4766</v>
      </c>
      <c r="I39">
        <v>1</v>
      </c>
      <c r="J39">
        <v>3</v>
      </c>
      <c r="K39" t="s">
        <v>1041</v>
      </c>
      <c r="L39">
        <v>5</v>
      </c>
      <c r="M39">
        <v>307</v>
      </c>
      <c r="N39" t="s">
        <v>1013</v>
      </c>
      <c r="O39">
        <v>4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900573</v>
      </c>
      <c r="W39" t="s">
        <v>1891</v>
      </c>
      <c r="X39" t="s">
        <v>4584</v>
      </c>
      <c r="Y39" t="s">
        <v>330</v>
      </c>
      <c r="Z39">
        <v>900572</v>
      </c>
      <c r="AA39">
        <v>10</v>
      </c>
      <c r="AB39">
        <v>10</v>
      </c>
      <c r="AC39">
        <v>5</v>
      </c>
      <c r="AD39">
        <v>5</v>
      </c>
      <c r="AE39">
        <v>75</v>
      </c>
      <c r="AF39">
        <v>72</v>
      </c>
      <c r="AG39">
        <v>100</v>
      </c>
      <c r="AH39">
        <v>100</v>
      </c>
      <c r="AI39">
        <v>140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12</v>
      </c>
      <c r="AP39">
        <v>0</v>
      </c>
      <c r="AQ39">
        <v>2</v>
      </c>
      <c r="AR39">
        <v>15</v>
      </c>
      <c r="AS39">
        <v>500</v>
      </c>
      <c r="AT39">
        <v>5</v>
      </c>
      <c r="AU39" t="s">
        <v>330</v>
      </c>
      <c r="AV39" t="s">
        <v>330</v>
      </c>
      <c r="AW39" t="s">
        <v>330</v>
      </c>
      <c r="AX39" t="s">
        <v>330</v>
      </c>
      <c r="AY39">
        <v>3</v>
      </c>
      <c r="AZ39">
        <v>3045</v>
      </c>
      <c r="BA39">
        <v>20</v>
      </c>
      <c r="BB39" t="s">
        <v>4577</v>
      </c>
      <c r="BC39" t="s">
        <v>1891</v>
      </c>
      <c r="BD39">
        <v>910002</v>
      </c>
      <c r="BE39" t="s">
        <v>4578</v>
      </c>
      <c r="BF39" t="s">
        <v>4579</v>
      </c>
      <c r="BG39">
        <v>80</v>
      </c>
      <c r="BH39">
        <v>0</v>
      </c>
    </row>
    <row r="40" spans="1:60" x14ac:dyDescent="0.25">
      <c r="A40">
        <v>3005</v>
      </c>
      <c r="B40" t="s">
        <v>4767</v>
      </c>
      <c r="C40" t="s">
        <v>1049</v>
      </c>
      <c r="D40" t="s">
        <v>1049</v>
      </c>
      <c r="E40" t="s">
        <v>4768</v>
      </c>
      <c r="G40" t="s">
        <v>4570</v>
      </c>
      <c r="H40" t="s">
        <v>4769</v>
      </c>
      <c r="I40">
        <v>1</v>
      </c>
      <c r="J40">
        <v>3</v>
      </c>
      <c r="K40" t="s">
        <v>1012</v>
      </c>
      <c r="L40">
        <v>5</v>
      </c>
      <c r="M40">
        <v>305</v>
      </c>
      <c r="N40" t="s">
        <v>1013</v>
      </c>
      <c r="O40">
        <v>4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900571</v>
      </c>
      <c r="W40" t="s">
        <v>1891</v>
      </c>
      <c r="X40" t="s">
        <v>4584</v>
      </c>
      <c r="Y40" t="s">
        <v>4770</v>
      </c>
      <c r="Z40">
        <v>900570</v>
      </c>
      <c r="AA40">
        <v>10</v>
      </c>
      <c r="AB40">
        <v>10</v>
      </c>
      <c r="AC40">
        <v>5</v>
      </c>
      <c r="AD40">
        <v>5</v>
      </c>
      <c r="AE40">
        <v>80</v>
      </c>
      <c r="AF40">
        <v>80</v>
      </c>
      <c r="AG40">
        <v>115</v>
      </c>
      <c r="AH40">
        <v>50</v>
      </c>
      <c r="AI40">
        <v>45</v>
      </c>
      <c r="AJ40">
        <v>0</v>
      </c>
      <c r="AK40">
        <v>180</v>
      </c>
      <c r="AL40">
        <v>5</v>
      </c>
      <c r="AM40">
        <v>150</v>
      </c>
      <c r="AN40">
        <v>95</v>
      </c>
      <c r="AO40">
        <v>5</v>
      </c>
      <c r="AP40">
        <v>0</v>
      </c>
      <c r="AQ40">
        <v>2</v>
      </c>
      <c r="AR40">
        <v>15</v>
      </c>
      <c r="AS40">
        <v>500</v>
      </c>
      <c r="AT40">
        <v>9</v>
      </c>
      <c r="AU40" t="s">
        <v>330</v>
      </c>
      <c r="AV40" t="s">
        <v>330</v>
      </c>
      <c r="AW40" t="s">
        <v>330</v>
      </c>
      <c r="AX40" t="s">
        <v>330</v>
      </c>
      <c r="AY40">
        <v>29</v>
      </c>
      <c r="AZ40">
        <v>3045</v>
      </c>
      <c r="BA40">
        <v>18</v>
      </c>
      <c r="BB40" t="s">
        <v>4577</v>
      </c>
      <c r="BC40" t="s">
        <v>1891</v>
      </c>
      <c r="BD40">
        <v>910012</v>
      </c>
      <c r="BE40" t="s">
        <v>4578</v>
      </c>
      <c r="BF40" t="s">
        <v>4579</v>
      </c>
      <c r="BG40">
        <v>95</v>
      </c>
      <c r="BH40">
        <v>0</v>
      </c>
    </row>
    <row r="41" spans="1:60" x14ac:dyDescent="0.25">
      <c r="A41">
        <v>3002</v>
      </c>
      <c r="B41" t="s">
        <v>4771</v>
      </c>
      <c r="C41" t="s">
        <v>1046</v>
      </c>
      <c r="D41" t="s">
        <v>1046</v>
      </c>
      <c r="E41" t="s">
        <v>4772</v>
      </c>
      <c r="G41" t="s">
        <v>4570</v>
      </c>
      <c r="H41" t="s">
        <v>4773</v>
      </c>
      <c r="I41">
        <v>1</v>
      </c>
      <c r="J41">
        <v>3</v>
      </c>
      <c r="K41" t="s">
        <v>1012</v>
      </c>
      <c r="L41">
        <v>5</v>
      </c>
      <c r="M41">
        <v>302</v>
      </c>
      <c r="N41" t="s">
        <v>1013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600601</v>
      </c>
      <c r="W41" t="s">
        <v>1891</v>
      </c>
      <c r="X41" t="s">
        <v>4584</v>
      </c>
      <c r="Y41" t="s">
        <v>330</v>
      </c>
      <c r="Z41">
        <v>600602</v>
      </c>
      <c r="AA41">
        <v>10</v>
      </c>
      <c r="AB41">
        <v>10</v>
      </c>
      <c r="AC41">
        <v>5</v>
      </c>
      <c r="AD41">
        <v>5</v>
      </c>
      <c r="AE41">
        <v>92</v>
      </c>
      <c r="AF41">
        <v>85</v>
      </c>
      <c r="AG41">
        <v>100</v>
      </c>
      <c r="AH41">
        <v>110</v>
      </c>
      <c r="AI41">
        <v>90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2</v>
      </c>
      <c r="AR41">
        <v>15</v>
      </c>
      <c r="AS41">
        <v>500</v>
      </c>
      <c r="AT41">
        <v>7</v>
      </c>
      <c r="AU41" t="s">
        <v>330</v>
      </c>
      <c r="AV41" t="s">
        <v>330</v>
      </c>
      <c r="AW41" t="s">
        <v>330</v>
      </c>
      <c r="AX41" t="s">
        <v>330</v>
      </c>
      <c r="AY41">
        <v>7</v>
      </c>
      <c r="AZ41">
        <v>3045</v>
      </c>
      <c r="BA41">
        <v>15</v>
      </c>
      <c r="BB41" t="s">
        <v>4577</v>
      </c>
      <c r="BC41" t="s">
        <v>1891</v>
      </c>
      <c r="BD41">
        <v>910005</v>
      </c>
      <c r="BE41" t="s">
        <v>4578</v>
      </c>
      <c r="BF41" t="s">
        <v>4579</v>
      </c>
      <c r="BG41">
        <v>100</v>
      </c>
      <c r="BH41">
        <v>0</v>
      </c>
    </row>
  </sheetData>
  <autoFilter ref="A1:BH41" xr:uid="{B73B56D9-BCE9-49D8-8E2C-1557546D251C}">
    <sortState ref="A2:BH41">
      <sortCondition ref="J2:J41"/>
      <sortCondition ref="C2:C41"/>
    </sortState>
  </autoFilter>
  <sortState ref="A2:BH41">
    <sortCondition ref="J2:J41"/>
    <sortCondition ref="C2:C41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6"/>
  <sheetViews>
    <sheetView workbookViewId="0">
      <pane ySplit="1" topLeftCell="A2" activePane="bottomLeft" state="frozen"/>
      <selection pane="bottomLeft" activeCell="C16" sqref="C16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323</v>
      </c>
      <c r="C1" s="43" t="s">
        <v>1121</v>
      </c>
    </row>
    <row r="2" spans="1:3" x14ac:dyDescent="0.25">
      <c r="A2" s="1">
        <v>1001</v>
      </c>
      <c r="B2" t="s">
        <v>1124</v>
      </c>
      <c r="C2" t="s">
        <v>1122</v>
      </c>
    </row>
    <row r="3" spans="1:3" x14ac:dyDescent="0.25">
      <c r="A3" s="1">
        <v>1002</v>
      </c>
      <c r="B3" t="s">
        <v>1119</v>
      </c>
      <c r="C3" t="s">
        <v>1123</v>
      </c>
    </row>
    <row r="4" spans="1:3" x14ac:dyDescent="0.25">
      <c r="A4" s="1">
        <v>1003</v>
      </c>
      <c r="B4" t="s">
        <v>1120</v>
      </c>
      <c r="C4" t="s">
        <v>1131</v>
      </c>
    </row>
    <row r="5" spans="1:3" x14ac:dyDescent="0.25">
      <c r="A5" s="1">
        <v>1004</v>
      </c>
      <c r="B5" t="s">
        <v>1057</v>
      </c>
      <c r="C5" t="s">
        <v>1132</v>
      </c>
    </row>
    <row r="6" spans="1:3" x14ac:dyDescent="0.25">
      <c r="A6" s="1">
        <v>1005</v>
      </c>
      <c r="B6" t="s">
        <v>1058</v>
      </c>
      <c r="C6" t="s">
        <v>1133</v>
      </c>
    </row>
    <row r="8" spans="1:3" x14ac:dyDescent="0.25">
      <c r="A8" s="1">
        <v>2003</v>
      </c>
      <c r="B8" t="s">
        <v>1125</v>
      </c>
      <c r="C8" t="s">
        <v>1134</v>
      </c>
    </row>
    <row r="9" spans="1:3" x14ac:dyDescent="0.25">
      <c r="A9" s="1">
        <v>2004</v>
      </c>
      <c r="B9" t="s">
        <v>1126</v>
      </c>
      <c r="C9" t="s">
        <v>1135</v>
      </c>
    </row>
    <row r="11" spans="1:3" x14ac:dyDescent="0.25">
      <c r="A11" s="1">
        <v>3001</v>
      </c>
      <c r="B11" t="s">
        <v>1127</v>
      </c>
      <c r="C11" t="s">
        <v>1136</v>
      </c>
    </row>
    <row r="12" spans="1:3" x14ac:dyDescent="0.25">
      <c r="A12" s="1">
        <v>3002</v>
      </c>
      <c r="B12" t="s">
        <v>1129</v>
      </c>
      <c r="C12" t="s">
        <v>1137</v>
      </c>
    </row>
    <row r="13" spans="1:3" x14ac:dyDescent="0.25">
      <c r="A13" s="1">
        <v>3003</v>
      </c>
      <c r="B13" t="s">
        <v>1130</v>
      </c>
      <c r="C13" t="s">
        <v>1138</v>
      </c>
    </row>
    <row r="14" spans="1:3" x14ac:dyDescent="0.25">
      <c r="A14" s="1">
        <v>3004</v>
      </c>
      <c r="B14" t="s">
        <v>1128</v>
      </c>
      <c r="C14" t="s">
        <v>1139</v>
      </c>
    </row>
    <row r="15" spans="1:3" x14ac:dyDescent="0.25">
      <c r="A15" s="1">
        <v>3005</v>
      </c>
      <c r="B15" t="s">
        <v>1059</v>
      </c>
      <c r="C15" t="s">
        <v>1140</v>
      </c>
    </row>
    <row r="16" spans="1:3" x14ac:dyDescent="0.25">
      <c r="A16" s="1">
        <v>3006</v>
      </c>
      <c r="B16" t="s">
        <v>1060</v>
      </c>
      <c r="C16" t="s">
        <v>1141</v>
      </c>
    </row>
  </sheetData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X246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1072</v>
      </c>
      <c r="C1" s="43" t="s">
        <v>1079</v>
      </c>
      <c r="D1" s="43" t="s">
        <v>4774</v>
      </c>
      <c r="E1" s="43" t="s">
        <v>1094</v>
      </c>
      <c r="F1" s="43" t="s">
        <v>1095</v>
      </c>
      <c r="G1" s="43" t="s">
        <v>1096</v>
      </c>
      <c r="H1" s="43" t="s">
        <v>1097</v>
      </c>
      <c r="I1" s="43" t="s">
        <v>1098</v>
      </c>
      <c r="J1" s="43" t="s">
        <v>1099</v>
      </c>
      <c r="K1" s="43" t="s">
        <v>1100</v>
      </c>
      <c r="L1" s="43" t="s">
        <v>1101</v>
      </c>
      <c r="M1" s="43" t="s">
        <v>1102</v>
      </c>
      <c r="N1" s="43" t="s">
        <v>1103</v>
      </c>
      <c r="O1" s="43" t="s">
        <v>1104</v>
      </c>
      <c r="P1" s="43" t="s">
        <v>1105</v>
      </c>
      <c r="Q1" s="43" t="s">
        <v>1106</v>
      </c>
      <c r="R1" s="10" t="s">
        <v>2709</v>
      </c>
      <c r="S1" s="10" t="s">
        <v>4551</v>
      </c>
      <c r="T1" s="10" t="s">
        <v>4775</v>
      </c>
      <c r="U1" s="10" t="s">
        <v>41</v>
      </c>
      <c r="V1" s="10" t="s">
        <v>42</v>
      </c>
      <c r="W1" s="10" t="s">
        <v>894</v>
      </c>
      <c r="X1" s="10" t="s">
        <v>1010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4776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4776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4777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4677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4677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4776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4677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4677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4677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4677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4778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4597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4597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4597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4597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4779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4646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4646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4646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4646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4780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4651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4651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4651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4651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4781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4619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4619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4619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4619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4782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4604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4604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4604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4604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4783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4683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4683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4683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4683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4784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4785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4785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4785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4785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4786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4625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4625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4625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4625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4787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4640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4640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4640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4640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4788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4658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4658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4658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4658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4789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4590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4590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4590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4590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4790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4664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4664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4664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4664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4791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4671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4671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4671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4671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4792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4612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4612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4612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4612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4793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4575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4575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4575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4575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20100</v>
      </c>
      <c r="B87" s="1">
        <v>201</v>
      </c>
      <c r="C87" s="1">
        <v>0</v>
      </c>
      <c r="D87" s="1">
        <v>0</v>
      </c>
      <c r="E87" s="1">
        <v>0</v>
      </c>
      <c r="F87" s="1">
        <v>1</v>
      </c>
      <c r="G87" s="1">
        <v>44</v>
      </c>
      <c r="H87" s="1">
        <v>8</v>
      </c>
      <c r="I87" s="1">
        <v>32</v>
      </c>
      <c r="J87" s="1">
        <v>31</v>
      </c>
      <c r="K87" s="1">
        <v>46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330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20101</v>
      </c>
      <c r="B88" s="1">
        <v>201</v>
      </c>
      <c r="C88" s="1">
        <v>1</v>
      </c>
      <c r="D88" s="1">
        <v>1</v>
      </c>
      <c r="E88" s="1">
        <v>0</v>
      </c>
      <c r="F88" s="1">
        <v>2</v>
      </c>
      <c r="G88" s="1">
        <v>44</v>
      </c>
      <c r="H88" s="1">
        <v>8</v>
      </c>
      <c r="I88" s="1">
        <v>32</v>
      </c>
      <c r="J88" s="1">
        <v>31</v>
      </c>
      <c r="K88" s="1">
        <v>46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 t="s">
        <v>330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20102</v>
      </c>
      <c r="B89" s="1">
        <v>201</v>
      </c>
      <c r="C89" s="1">
        <v>2</v>
      </c>
      <c r="D89" s="1">
        <v>1</v>
      </c>
      <c r="E89" s="1">
        <v>0</v>
      </c>
      <c r="F89" s="1">
        <v>3</v>
      </c>
      <c r="G89" s="1">
        <v>44</v>
      </c>
      <c r="H89" s="1">
        <v>8</v>
      </c>
      <c r="I89" s="1">
        <v>32</v>
      </c>
      <c r="J89" s="1">
        <v>31</v>
      </c>
      <c r="K89" s="1">
        <v>46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 t="s">
        <v>330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20103</v>
      </c>
      <c r="B90" s="1">
        <v>201</v>
      </c>
      <c r="C90" s="1">
        <v>3</v>
      </c>
      <c r="D90" s="1">
        <v>1</v>
      </c>
      <c r="E90" s="1">
        <v>0</v>
      </c>
      <c r="F90" s="1">
        <v>4</v>
      </c>
      <c r="G90" s="1">
        <v>44</v>
      </c>
      <c r="H90" s="1">
        <v>8</v>
      </c>
      <c r="I90" s="1">
        <v>32</v>
      </c>
      <c r="J90" s="1">
        <v>31</v>
      </c>
      <c r="K90" s="1">
        <v>46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 t="s">
        <v>330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20104</v>
      </c>
      <c r="B91" s="1">
        <v>201</v>
      </c>
      <c r="C91" s="1">
        <v>4</v>
      </c>
      <c r="D91" s="1">
        <v>1</v>
      </c>
      <c r="E91" s="1">
        <v>0</v>
      </c>
      <c r="F91" s="1">
        <v>5</v>
      </c>
      <c r="G91" s="1">
        <v>44</v>
      </c>
      <c r="H91" s="1">
        <v>8</v>
      </c>
      <c r="I91" s="1">
        <v>32</v>
      </c>
      <c r="J91" s="1">
        <v>31</v>
      </c>
      <c r="K91" s="1">
        <v>46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 t="s">
        <v>330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</row>
    <row r="92" spans="1:24" x14ac:dyDescent="0.25">
      <c r="A92" s="1">
        <v>20200</v>
      </c>
      <c r="B92" s="1">
        <v>202</v>
      </c>
      <c r="C92" s="1">
        <v>0</v>
      </c>
      <c r="D92" s="1">
        <v>0</v>
      </c>
      <c r="E92" s="1">
        <v>0</v>
      </c>
      <c r="F92" s="1">
        <v>1</v>
      </c>
      <c r="G92" s="1">
        <v>77</v>
      </c>
      <c r="H92" s="1">
        <v>15</v>
      </c>
      <c r="I92" s="1">
        <v>27</v>
      </c>
      <c r="J92" s="1">
        <v>33</v>
      </c>
      <c r="K92" s="1">
        <v>39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 t="s">
        <v>330</v>
      </c>
      <c r="S92" s="1">
        <v>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</row>
    <row r="93" spans="1:24" x14ac:dyDescent="0.25">
      <c r="A93" s="1">
        <v>20201</v>
      </c>
      <c r="B93" s="1">
        <v>202</v>
      </c>
      <c r="C93" s="1">
        <v>1</v>
      </c>
      <c r="D93" s="1">
        <v>1</v>
      </c>
      <c r="E93" s="1">
        <v>0</v>
      </c>
      <c r="F93" s="1">
        <v>2</v>
      </c>
      <c r="G93" s="1">
        <v>77</v>
      </c>
      <c r="H93" s="1">
        <v>15</v>
      </c>
      <c r="I93" s="1">
        <v>27</v>
      </c>
      <c r="J93" s="1">
        <v>33</v>
      </c>
      <c r="K93" s="1">
        <v>39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 t="s">
        <v>330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</row>
    <row r="94" spans="1:24" x14ac:dyDescent="0.25">
      <c r="A94" s="1">
        <v>20202</v>
      </c>
      <c r="B94" s="1">
        <v>202</v>
      </c>
      <c r="C94" s="1">
        <v>2</v>
      </c>
      <c r="D94" s="1">
        <v>1</v>
      </c>
      <c r="E94" s="1">
        <v>0</v>
      </c>
      <c r="F94" s="1">
        <v>3</v>
      </c>
      <c r="G94" s="1">
        <v>77</v>
      </c>
      <c r="H94" s="1">
        <v>15</v>
      </c>
      <c r="I94" s="1">
        <v>27</v>
      </c>
      <c r="J94" s="1">
        <v>33</v>
      </c>
      <c r="K94" s="1">
        <v>39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 t="s">
        <v>330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</row>
    <row r="95" spans="1:24" x14ac:dyDescent="0.25">
      <c r="A95" s="1">
        <v>20203</v>
      </c>
      <c r="B95" s="1">
        <v>202</v>
      </c>
      <c r="C95" s="1">
        <v>3</v>
      </c>
      <c r="D95" s="1">
        <v>1</v>
      </c>
      <c r="E95" s="1">
        <v>0</v>
      </c>
      <c r="F95" s="1">
        <v>4</v>
      </c>
      <c r="G95" s="1">
        <v>77</v>
      </c>
      <c r="H95" s="1">
        <v>15</v>
      </c>
      <c r="I95" s="1">
        <v>27</v>
      </c>
      <c r="J95" s="1">
        <v>33</v>
      </c>
      <c r="K95" s="1">
        <v>39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 t="s">
        <v>330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</row>
    <row r="96" spans="1:24" x14ac:dyDescent="0.25">
      <c r="A96" s="1">
        <v>20204</v>
      </c>
      <c r="B96" s="1">
        <v>202</v>
      </c>
      <c r="C96" s="1">
        <v>4</v>
      </c>
      <c r="D96" s="1">
        <v>1</v>
      </c>
      <c r="E96" s="1">
        <v>0</v>
      </c>
      <c r="F96" s="1">
        <v>5</v>
      </c>
      <c r="G96" s="1">
        <v>77</v>
      </c>
      <c r="H96" s="1">
        <v>15</v>
      </c>
      <c r="I96" s="1">
        <v>27</v>
      </c>
      <c r="J96" s="1">
        <v>33</v>
      </c>
      <c r="K96" s="1">
        <v>39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 t="s">
        <v>330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</row>
    <row r="97" spans="1:24" x14ac:dyDescent="0.25">
      <c r="A97" s="1">
        <v>20300</v>
      </c>
      <c r="B97" s="1">
        <v>203</v>
      </c>
      <c r="C97" s="1">
        <v>0</v>
      </c>
      <c r="D97" s="1">
        <v>0</v>
      </c>
      <c r="E97" s="1">
        <v>0</v>
      </c>
      <c r="F97" s="1">
        <v>1</v>
      </c>
      <c r="G97" s="1">
        <v>83</v>
      </c>
      <c r="H97" s="1">
        <v>13</v>
      </c>
      <c r="I97" s="1">
        <v>30</v>
      </c>
      <c r="J97" s="1">
        <v>34</v>
      </c>
      <c r="K97" s="1">
        <v>22</v>
      </c>
      <c r="L97" s="1">
        <v>11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330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20301</v>
      </c>
      <c r="B98" s="1">
        <v>203</v>
      </c>
      <c r="C98" s="1">
        <v>1</v>
      </c>
      <c r="D98" s="1">
        <v>1</v>
      </c>
      <c r="E98" s="1">
        <v>0</v>
      </c>
      <c r="F98" s="1">
        <v>2</v>
      </c>
      <c r="G98" s="1">
        <v>83</v>
      </c>
      <c r="H98" s="1">
        <v>13</v>
      </c>
      <c r="I98" s="1">
        <v>30</v>
      </c>
      <c r="J98" s="1">
        <v>34</v>
      </c>
      <c r="K98" s="1">
        <v>22</v>
      </c>
      <c r="L98" s="1">
        <v>11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330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20302</v>
      </c>
      <c r="B99" s="1">
        <v>203</v>
      </c>
      <c r="C99" s="1">
        <v>2</v>
      </c>
      <c r="D99" s="1">
        <v>1</v>
      </c>
      <c r="E99" s="1">
        <v>0</v>
      </c>
      <c r="F99" s="1">
        <v>3</v>
      </c>
      <c r="G99" s="1">
        <v>83</v>
      </c>
      <c r="H99" s="1">
        <v>13</v>
      </c>
      <c r="I99" s="1">
        <v>30</v>
      </c>
      <c r="J99" s="1">
        <v>34</v>
      </c>
      <c r="K99" s="1">
        <v>22</v>
      </c>
      <c r="L99" s="1">
        <v>11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330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20303</v>
      </c>
      <c r="B100" s="1">
        <v>203</v>
      </c>
      <c r="C100" s="1">
        <v>3</v>
      </c>
      <c r="D100" s="1">
        <v>1</v>
      </c>
      <c r="E100" s="1">
        <v>0</v>
      </c>
      <c r="F100" s="1">
        <v>4</v>
      </c>
      <c r="G100" s="1">
        <v>83</v>
      </c>
      <c r="H100" s="1">
        <v>13</v>
      </c>
      <c r="I100" s="1">
        <v>30</v>
      </c>
      <c r="J100" s="1">
        <v>34</v>
      </c>
      <c r="K100" s="1">
        <v>22</v>
      </c>
      <c r="L100" s="1">
        <v>11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330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20304</v>
      </c>
      <c r="B101" s="1">
        <v>203</v>
      </c>
      <c r="C101" s="1">
        <v>4</v>
      </c>
      <c r="D101" s="1">
        <v>1</v>
      </c>
      <c r="E101" s="1">
        <v>0</v>
      </c>
      <c r="F101" s="1">
        <v>5</v>
      </c>
      <c r="G101" s="1">
        <v>83</v>
      </c>
      <c r="H101" s="1">
        <v>13</v>
      </c>
      <c r="I101" s="1">
        <v>30</v>
      </c>
      <c r="J101" s="1">
        <v>34</v>
      </c>
      <c r="K101" s="1">
        <v>22</v>
      </c>
      <c r="L101" s="1">
        <v>11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330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20400</v>
      </c>
      <c r="B102" s="1">
        <v>204</v>
      </c>
      <c r="C102" s="1">
        <v>0</v>
      </c>
      <c r="D102" s="1">
        <v>0</v>
      </c>
      <c r="E102" s="1">
        <v>0</v>
      </c>
      <c r="F102" s="1">
        <v>1</v>
      </c>
      <c r="G102" s="1">
        <v>64</v>
      </c>
      <c r="H102" s="1">
        <v>31</v>
      </c>
      <c r="I102" s="1">
        <v>27</v>
      </c>
      <c r="J102" s="1">
        <v>38</v>
      </c>
      <c r="K102" s="1">
        <v>17</v>
      </c>
      <c r="L102" s="1">
        <v>8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330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20401</v>
      </c>
      <c r="B103" s="1">
        <v>204</v>
      </c>
      <c r="C103" s="1">
        <v>1</v>
      </c>
      <c r="D103" s="1">
        <v>1</v>
      </c>
      <c r="E103" s="1">
        <v>0</v>
      </c>
      <c r="F103" s="1">
        <v>2</v>
      </c>
      <c r="G103" s="1">
        <v>64</v>
      </c>
      <c r="H103" s="1">
        <v>31</v>
      </c>
      <c r="I103" s="1">
        <v>27</v>
      </c>
      <c r="J103" s="1">
        <v>38</v>
      </c>
      <c r="K103" s="1">
        <v>17</v>
      </c>
      <c r="L103" s="1">
        <v>8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330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20402</v>
      </c>
      <c r="B104" s="1">
        <v>204</v>
      </c>
      <c r="C104" s="1">
        <v>2</v>
      </c>
      <c r="D104" s="1">
        <v>1</v>
      </c>
      <c r="E104" s="1">
        <v>0</v>
      </c>
      <c r="F104" s="1">
        <v>3</v>
      </c>
      <c r="G104" s="1">
        <v>64</v>
      </c>
      <c r="H104" s="1">
        <v>31</v>
      </c>
      <c r="I104" s="1">
        <v>27</v>
      </c>
      <c r="J104" s="1">
        <v>38</v>
      </c>
      <c r="K104" s="1">
        <v>17</v>
      </c>
      <c r="L104" s="1">
        <v>8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330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20403</v>
      </c>
      <c r="B105" s="1">
        <v>204</v>
      </c>
      <c r="C105" s="1">
        <v>3</v>
      </c>
      <c r="D105" s="1">
        <v>1</v>
      </c>
      <c r="E105" s="1">
        <v>0</v>
      </c>
      <c r="F105" s="1">
        <v>4</v>
      </c>
      <c r="G105" s="1">
        <v>64</v>
      </c>
      <c r="H105" s="1">
        <v>31</v>
      </c>
      <c r="I105" s="1">
        <v>27</v>
      </c>
      <c r="J105" s="1">
        <v>38</v>
      </c>
      <c r="K105" s="1">
        <v>17</v>
      </c>
      <c r="L105" s="1">
        <v>8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330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20404</v>
      </c>
      <c r="B106" s="1">
        <v>204</v>
      </c>
      <c r="C106" s="1">
        <v>4</v>
      </c>
      <c r="D106" s="1">
        <v>1</v>
      </c>
      <c r="E106" s="1">
        <v>0</v>
      </c>
      <c r="F106" s="1">
        <v>5</v>
      </c>
      <c r="G106" s="1">
        <v>64</v>
      </c>
      <c r="H106" s="1">
        <v>31</v>
      </c>
      <c r="I106" s="1">
        <v>27</v>
      </c>
      <c r="J106" s="1">
        <v>38</v>
      </c>
      <c r="K106" s="1">
        <v>17</v>
      </c>
      <c r="L106" s="1">
        <v>8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330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20500</v>
      </c>
      <c r="B107" s="1">
        <v>205</v>
      </c>
      <c r="C107" s="1">
        <v>0</v>
      </c>
      <c r="D107" s="1">
        <v>0</v>
      </c>
      <c r="E107" s="1">
        <v>0</v>
      </c>
      <c r="F107" s="1">
        <v>1</v>
      </c>
      <c r="G107" s="1">
        <v>23</v>
      </c>
      <c r="H107" s="1">
        <v>18</v>
      </c>
      <c r="I107" s="1">
        <v>44</v>
      </c>
      <c r="J107" s="1">
        <v>36</v>
      </c>
      <c r="K107" s="1">
        <v>30</v>
      </c>
      <c r="L107" s="1">
        <v>10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330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20501</v>
      </c>
      <c r="B108" s="1">
        <v>205</v>
      </c>
      <c r="C108" s="1">
        <v>1</v>
      </c>
      <c r="D108" s="1">
        <v>1</v>
      </c>
      <c r="E108" s="1">
        <v>0</v>
      </c>
      <c r="F108" s="1">
        <v>2</v>
      </c>
      <c r="G108" s="1">
        <v>23</v>
      </c>
      <c r="H108" s="1">
        <v>18</v>
      </c>
      <c r="I108" s="1">
        <v>44</v>
      </c>
      <c r="J108" s="1">
        <v>36</v>
      </c>
      <c r="K108" s="1">
        <v>30</v>
      </c>
      <c r="L108" s="1">
        <v>10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330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20502</v>
      </c>
      <c r="B109" s="1">
        <v>205</v>
      </c>
      <c r="C109" s="1">
        <v>2</v>
      </c>
      <c r="D109" s="1">
        <v>1</v>
      </c>
      <c r="E109" s="1">
        <v>0</v>
      </c>
      <c r="F109" s="1">
        <v>3</v>
      </c>
      <c r="G109" s="1">
        <v>23</v>
      </c>
      <c r="H109" s="1">
        <v>18</v>
      </c>
      <c r="I109" s="1">
        <v>44</v>
      </c>
      <c r="J109" s="1">
        <v>36</v>
      </c>
      <c r="K109" s="1">
        <v>30</v>
      </c>
      <c r="L109" s="1">
        <v>10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330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20503</v>
      </c>
      <c r="B110" s="1">
        <v>205</v>
      </c>
      <c r="C110" s="1">
        <v>3</v>
      </c>
      <c r="D110" s="1">
        <v>1</v>
      </c>
      <c r="E110" s="1">
        <v>0</v>
      </c>
      <c r="F110" s="1">
        <v>4</v>
      </c>
      <c r="G110" s="1">
        <v>23</v>
      </c>
      <c r="H110" s="1">
        <v>18</v>
      </c>
      <c r="I110" s="1">
        <v>44</v>
      </c>
      <c r="J110" s="1">
        <v>36</v>
      </c>
      <c r="K110" s="1">
        <v>30</v>
      </c>
      <c r="L110" s="1">
        <v>10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330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20504</v>
      </c>
      <c r="B111" s="1">
        <v>205</v>
      </c>
      <c r="C111" s="1">
        <v>4</v>
      </c>
      <c r="D111" s="1">
        <v>1</v>
      </c>
      <c r="E111" s="1">
        <v>0</v>
      </c>
      <c r="F111" s="1">
        <v>5</v>
      </c>
      <c r="G111" s="1">
        <v>23</v>
      </c>
      <c r="H111" s="1">
        <v>18</v>
      </c>
      <c r="I111" s="1">
        <v>44</v>
      </c>
      <c r="J111" s="1">
        <v>36</v>
      </c>
      <c r="K111" s="1">
        <v>30</v>
      </c>
      <c r="L111" s="1">
        <v>10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330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20600</v>
      </c>
      <c r="B112" s="1">
        <v>206</v>
      </c>
      <c r="C112" s="1">
        <v>0</v>
      </c>
      <c r="D112" s="1">
        <v>0</v>
      </c>
      <c r="E112" s="1">
        <v>0</v>
      </c>
      <c r="F112" s="1">
        <v>1</v>
      </c>
      <c r="G112" s="1">
        <v>332</v>
      </c>
      <c r="H112" s="1">
        <v>63</v>
      </c>
      <c r="I112" s="1">
        <v>24</v>
      </c>
      <c r="J112" s="1">
        <v>13</v>
      </c>
      <c r="K112" s="1">
        <v>11</v>
      </c>
      <c r="L112" s="1">
        <v>7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330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20601</v>
      </c>
      <c r="B113" s="1">
        <v>206</v>
      </c>
      <c r="C113" s="1">
        <v>1</v>
      </c>
      <c r="D113" s="1">
        <v>1</v>
      </c>
      <c r="E113" s="1">
        <v>0</v>
      </c>
      <c r="F113" s="1">
        <v>1</v>
      </c>
      <c r="G113" s="1">
        <v>432</v>
      </c>
      <c r="H113" s="1">
        <v>123</v>
      </c>
      <c r="I113" s="1">
        <v>24</v>
      </c>
      <c r="J113" s="1">
        <v>48</v>
      </c>
      <c r="K113" s="1">
        <v>11</v>
      </c>
      <c r="L113" s="1">
        <v>7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330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20602</v>
      </c>
      <c r="B114" s="1">
        <v>206</v>
      </c>
      <c r="C114" s="1">
        <v>2</v>
      </c>
      <c r="D114" s="1">
        <v>1</v>
      </c>
      <c r="E114" s="1">
        <v>0</v>
      </c>
      <c r="F114" s="1">
        <v>1</v>
      </c>
      <c r="G114" s="1">
        <v>532</v>
      </c>
      <c r="H114" s="1">
        <v>123</v>
      </c>
      <c r="I114" s="1">
        <v>24</v>
      </c>
      <c r="J114" s="1">
        <v>48</v>
      </c>
      <c r="K114" s="1">
        <v>36</v>
      </c>
      <c r="L114" s="1">
        <v>13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330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20603</v>
      </c>
      <c r="B115" s="1">
        <v>206</v>
      </c>
      <c r="C115" s="1">
        <v>3</v>
      </c>
      <c r="D115" s="1">
        <v>1</v>
      </c>
      <c r="E115" s="1">
        <v>0</v>
      </c>
      <c r="F115" s="1">
        <v>1</v>
      </c>
      <c r="G115" s="1">
        <v>632</v>
      </c>
      <c r="H115" s="1">
        <v>243</v>
      </c>
      <c r="I115" s="1">
        <v>24</v>
      </c>
      <c r="J115" s="1">
        <v>48</v>
      </c>
      <c r="K115" s="1">
        <v>36</v>
      </c>
      <c r="L115" s="1">
        <v>13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330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20604</v>
      </c>
      <c r="B116" s="1">
        <v>206</v>
      </c>
      <c r="C116" s="1">
        <v>4</v>
      </c>
      <c r="D116" s="1">
        <v>1</v>
      </c>
      <c r="E116" s="1">
        <v>0</v>
      </c>
      <c r="F116" s="1">
        <v>1</v>
      </c>
      <c r="G116" s="1">
        <v>732</v>
      </c>
      <c r="H116" s="1">
        <v>243</v>
      </c>
      <c r="I116" s="1">
        <v>44</v>
      </c>
      <c r="J116" s="1">
        <v>48</v>
      </c>
      <c r="K116" s="1">
        <v>36</v>
      </c>
      <c r="L116" s="1">
        <v>19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330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20800</v>
      </c>
      <c r="B117" s="1">
        <v>208</v>
      </c>
      <c r="C117" s="1">
        <v>0</v>
      </c>
      <c r="D117" s="1">
        <v>0</v>
      </c>
      <c r="E117" s="1">
        <v>0</v>
      </c>
      <c r="F117" s="1">
        <v>1</v>
      </c>
      <c r="G117" s="1">
        <v>87</v>
      </c>
      <c r="H117" s="1">
        <v>17</v>
      </c>
      <c r="I117" s="1">
        <v>31</v>
      </c>
      <c r="J117" s="1">
        <v>38</v>
      </c>
      <c r="K117" s="1">
        <v>47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330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20801</v>
      </c>
      <c r="B118" s="1">
        <v>208</v>
      </c>
      <c r="C118" s="1">
        <v>1</v>
      </c>
      <c r="D118" s="1">
        <v>1</v>
      </c>
      <c r="E118" s="1">
        <v>0</v>
      </c>
      <c r="F118" s="1">
        <v>2</v>
      </c>
      <c r="G118" s="1">
        <v>87</v>
      </c>
      <c r="H118" s="1">
        <v>17</v>
      </c>
      <c r="I118" s="1">
        <v>31</v>
      </c>
      <c r="J118" s="1">
        <v>38</v>
      </c>
      <c r="K118" s="1">
        <v>47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330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20802</v>
      </c>
      <c r="B119" s="1">
        <v>208</v>
      </c>
      <c r="C119" s="1">
        <v>2</v>
      </c>
      <c r="D119" s="1">
        <v>1</v>
      </c>
      <c r="E119" s="1">
        <v>0</v>
      </c>
      <c r="F119" s="1">
        <v>3</v>
      </c>
      <c r="G119" s="1">
        <v>87</v>
      </c>
      <c r="H119" s="1">
        <v>17</v>
      </c>
      <c r="I119" s="1">
        <v>31</v>
      </c>
      <c r="J119" s="1">
        <v>38</v>
      </c>
      <c r="K119" s="1">
        <v>47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330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20803</v>
      </c>
      <c r="B120" s="1">
        <v>208</v>
      </c>
      <c r="C120" s="1">
        <v>3</v>
      </c>
      <c r="D120" s="1">
        <v>1</v>
      </c>
      <c r="E120" s="1">
        <v>0</v>
      </c>
      <c r="F120" s="1">
        <v>4</v>
      </c>
      <c r="G120" s="1">
        <v>87</v>
      </c>
      <c r="H120" s="1">
        <v>17</v>
      </c>
      <c r="I120" s="1">
        <v>31</v>
      </c>
      <c r="J120" s="1">
        <v>38</v>
      </c>
      <c r="K120" s="1">
        <v>47</v>
      </c>
      <c r="L120" s="1">
        <v>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330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20804</v>
      </c>
      <c r="B121" s="1">
        <v>208</v>
      </c>
      <c r="C121" s="1">
        <v>4</v>
      </c>
      <c r="D121" s="1">
        <v>1</v>
      </c>
      <c r="E121" s="1">
        <v>0</v>
      </c>
      <c r="F121" s="1">
        <v>5</v>
      </c>
      <c r="G121" s="1">
        <v>87</v>
      </c>
      <c r="H121" s="1">
        <v>17</v>
      </c>
      <c r="I121" s="1">
        <v>31</v>
      </c>
      <c r="J121" s="1">
        <v>38</v>
      </c>
      <c r="K121" s="1">
        <v>47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330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20900</v>
      </c>
      <c r="B122" s="1">
        <v>209</v>
      </c>
      <c r="C122" s="1">
        <v>0</v>
      </c>
      <c r="D122" s="1">
        <v>0</v>
      </c>
      <c r="E122" s="1">
        <v>0</v>
      </c>
      <c r="F122" s="1">
        <v>1</v>
      </c>
      <c r="G122" s="1">
        <v>67</v>
      </c>
      <c r="H122" s="1">
        <v>11</v>
      </c>
      <c r="I122" s="1">
        <v>41</v>
      </c>
      <c r="J122" s="1">
        <v>25</v>
      </c>
      <c r="K122" s="1">
        <v>74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330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20901</v>
      </c>
      <c r="B123" s="1">
        <v>209</v>
      </c>
      <c r="C123" s="1">
        <v>1</v>
      </c>
      <c r="D123" s="1">
        <v>1</v>
      </c>
      <c r="E123" s="1">
        <v>0</v>
      </c>
      <c r="F123" s="1">
        <v>2</v>
      </c>
      <c r="G123" s="1">
        <v>67</v>
      </c>
      <c r="H123" s="1">
        <v>11</v>
      </c>
      <c r="I123" s="1">
        <v>41</v>
      </c>
      <c r="J123" s="1">
        <v>25</v>
      </c>
      <c r="K123" s="1">
        <v>74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330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20902</v>
      </c>
      <c r="B124" s="1">
        <v>209</v>
      </c>
      <c r="C124" s="1">
        <v>2</v>
      </c>
      <c r="D124" s="1">
        <v>1</v>
      </c>
      <c r="E124" s="1">
        <v>0</v>
      </c>
      <c r="F124" s="1">
        <v>3</v>
      </c>
      <c r="G124" s="1">
        <v>67</v>
      </c>
      <c r="H124" s="1">
        <v>11</v>
      </c>
      <c r="I124" s="1">
        <v>41</v>
      </c>
      <c r="J124" s="1">
        <v>25</v>
      </c>
      <c r="K124" s="1">
        <v>74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330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20903</v>
      </c>
      <c r="B125" s="1">
        <v>209</v>
      </c>
      <c r="C125" s="1">
        <v>3</v>
      </c>
      <c r="D125" s="1">
        <v>1</v>
      </c>
      <c r="E125" s="1">
        <v>0</v>
      </c>
      <c r="F125" s="1">
        <v>4</v>
      </c>
      <c r="G125" s="1">
        <v>67</v>
      </c>
      <c r="H125" s="1">
        <v>11</v>
      </c>
      <c r="I125" s="1">
        <v>41</v>
      </c>
      <c r="J125" s="1">
        <v>25</v>
      </c>
      <c r="K125" s="1">
        <v>74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330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20904</v>
      </c>
      <c r="B126" s="1">
        <v>209</v>
      </c>
      <c r="C126" s="1">
        <v>4</v>
      </c>
      <c r="D126" s="1">
        <v>1</v>
      </c>
      <c r="E126" s="1">
        <v>0</v>
      </c>
      <c r="F126" s="1">
        <v>5</v>
      </c>
      <c r="G126" s="1">
        <v>67</v>
      </c>
      <c r="H126" s="1">
        <v>11</v>
      </c>
      <c r="I126" s="1">
        <v>41</v>
      </c>
      <c r="J126" s="1">
        <v>25</v>
      </c>
      <c r="K126" s="1">
        <v>74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330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21000</v>
      </c>
      <c r="B127" s="1">
        <v>210</v>
      </c>
      <c r="C127" s="1">
        <v>0</v>
      </c>
      <c r="D127" s="1">
        <v>0</v>
      </c>
      <c r="E127" s="1">
        <v>0</v>
      </c>
      <c r="F127" s="1">
        <v>1</v>
      </c>
      <c r="G127" s="1">
        <v>59</v>
      </c>
      <c r="H127" s="1">
        <v>16</v>
      </c>
      <c r="I127" s="1">
        <v>42</v>
      </c>
      <c r="J127" s="1">
        <v>38</v>
      </c>
      <c r="K127" s="1">
        <v>53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330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21001</v>
      </c>
      <c r="B128" s="1">
        <v>210</v>
      </c>
      <c r="C128" s="1">
        <v>1</v>
      </c>
      <c r="D128" s="1">
        <v>1</v>
      </c>
      <c r="E128" s="1">
        <v>0</v>
      </c>
      <c r="F128" s="1">
        <v>2</v>
      </c>
      <c r="G128" s="1">
        <v>59</v>
      </c>
      <c r="H128" s="1">
        <v>16</v>
      </c>
      <c r="I128" s="1">
        <v>42</v>
      </c>
      <c r="J128" s="1">
        <v>38</v>
      </c>
      <c r="K128" s="1">
        <v>53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330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21002</v>
      </c>
      <c r="B129" s="1">
        <v>210</v>
      </c>
      <c r="C129" s="1">
        <v>2</v>
      </c>
      <c r="D129" s="1">
        <v>1</v>
      </c>
      <c r="E129" s="1">
        <v>0</v>
      </c>
      <c r="F129" s="1">
        <v>3</v>
      </c>
      <c r="G129" s="1">
        <v>59</v>
      </c>
      <c r="H129" s="1">
        <v>16</v>
      </c>
      <c r="I129" s="1">
        <v>42</v>
      </c>
      <c r="J129" s="1">
        <v>38</v>
      </c>
      <c r="K129" s="1">
        <v>53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330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21003</v>
      </c>
      <c r="B130" s="1">
        <v>210</v>
      </c>
      <c r="C130" s="1">
        <v>3</v>
      </c>
      <c r="D130" s="1">
        <v>1</v>
      </c>
      <c r="E130" s="1">
        <v>0</v>
      </c>
      <c r="F130" s="1">
        <v>4</v>
      </c>
      <c r="G130" s="1">
        <v>59</v>
      </c>
      <c r="H130" s="1">
        <v>16</v>
      </c>
      <c r="I130" s="1">
        <v>42</v>
      </c>
      <c r="J130" s="1">
        <v>38</v>
      </c>
      <c r="K130" s="1">
        <v>53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330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21004</v>
      </c>
      <c r="B131" s="1">
        <v>210</v>
      </c>
      <c r="C131" s="1">
        <v>4</v>
      </c>
      <c r="D131" s="1">
        <v>1</v>
      </c>
      <c r="E131" s="1">
        <v>0</v>
      </c>
      <c r="F131" s="1">
        <v>5</v>
      </c>
      <c r="G131" s="1">
        <v>59</v>
      </c>
      <c r="H131" s="1">
        <v>16</v>
      </c>
      <c r="I131" s="1">
        <v>42</v>
      </c>
      <c r="J131" s="1">
        <v>38</v>
      </c>
      <c r="K131" s="1">
        <v>53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330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21100</v>
      </c>
      <c r="B132" s="1">
        <v>211</v>
      </c>
      <c r="C132" s="1">
        <v>0</v>
      </c>
      <c r="D132" s="1">
        <v>0</v>
      </c>
      <c r="E132" s="1">
        <v>0</v>
      </c>
      <c r="F132" s="1">
        <v>1</v>
      </c>
      <c r="G132" s="1">
        <v>64</v>
      </c>
      <c r="H132" s="1">
        <v>16</v>
      </c>
      <c r="I132" s="1">
        <v>52</v>
      </c>
      <c r="J132" s="1">
        <v>40</v>
      </c>
      <c r="K132" s="1">
        <v>57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330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21101</v>
      </c>
      <c r="B133" s="1">
        <v>211</v>
      </c>
      <c r="C133" s="1">
        <v>1</v>
      </c>
      <c r="D133" s="1">
        <v>1</v>
      </c>
      <c r="E133" s="1">
        <v>0</v>
      </c>
      <c r="F133" s="1">
        <v>2</v>
      </c>
      <c r="G133" s="1">
        <v>64</v>
      </c>
      <c r="H133" s="1">
        <v>16</v>
      </c>
      <c r="I133" s="1">
        <v>52</v>
      </c>
      <c r="J133" s="1">
        <v>40</v>
      </c>
      <c r="K133" s="1">
        <v>57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330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21102</v>
      </c>
      <c r="B134" s="1">
        <v>211</v>
      </c>
      <c r="C134" s="1">
        <v>2</v>
      </c>
      <c r="D134" s="1">
        <v>1</v>
      </c>
      <c r="E134" s="1">
        <v>0</v>
      </c>
      <c r="F134" s="1">
        <v>3</v>
      </c>
      <c r="G134" s="1">
        <v>64</v>
      </c>
      <c r="H134" s="1">
        <v>16</v>
      </c>
      <c r="I134" s="1">
        <v>52</v>
      </c>
      <c r="J134" s="1">
        <v>40</v>
      </c>
      <c r="K134" s="1">
        <v>57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330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21103</v>
      </c>
      <c r="B135" s="1">
        <v>211</v>
      </c>
      <c r="C135" s="1">
        <v>3</v>
      </c>
      <c r="D135" s="1">
        <v>1</v>
      </c>
      <c r="E135" s="1">
        <v>0</v>
      </c>
      <c r="F135" s="1">
        <v>4</v>
      </c>
      <c r="G135" s="1">
        <v>64</v>
      </c>
      <c r="H135" s="1">
        <v>16</v>
      </c>
      <c r="I135" s="1">
        <v>52</v>
      </c>
      <c r="J135" s="1">
        <v>40</v>
      </c>
      <c r="K135" s="1">
        <v>57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330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21104</v>
      </c>
      <c r="B136" s="1">
        <v>211</v>
      </c>
      <c r="C136" s="1">
        <v>4</v>
      </c>
      <c r="D136" s="1">
        <v>1</v>
      </c>
      <c r="E136" s="1">
        <v>0</v>
      </c>
      <c r="F136" s="1">
        <v>5</v>
      </c>
      <c r="G136" s="1">
        <v>64</v>
      </c>
      <c r="H136" s="1">
        <v>16</v>
      </c>
      <c r="I136" s="1">
        <v>52</v>
      </c>
      <c r="J136" s="1">
        <v>40</v>
      </c>
      <c r="K136" s="1">
        <v>57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330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21200</v>
      </c>
      <c r="B137" s="1">
        <v>212</v>
      </c>
      <c r="C137" s="1">
        <v>0</v>
      </c>
      <c r="D137" s="1">
        <v>0</v>
      </c>
      <c r="E137" s="1">
        <v>0</v>
      </c>
      <c r="F137" s="1">
        <v>1</v>
      </c>
      <c r="G137" s="1">
        <v>80</v>
      </c>
      <c r="H137" s="1">
        <v>18</v>
      </c>
      <c r="I137" s="1">
        <v>27</v>
      </c>
      <c r="J137" s="1">
        <v>36</v>
      </c>
      <c r="K137" s="1">
        <v>45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330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21201</v>
      </c>
      <c r="B138" s="1">
        <v>212</v>
      </c>
      <c r="C138" s="1">
        <v>1</v>
      </c>
      <c r="D138" s="1">
        <v>1</v>
      </c>
      <c r="E138" s="1">
        <v>0</v>
      </c>
      <c r="F138" s="1">
        <v>2</v>
      </c>
      <c r="G138" s="1">
        <v>80</v>
      </c>
      <c r="H138" s="1">
        <v>18</v>
      </c>
      <c r="I138" s="1">
        <v>27</v>
      </c>
      <c r="J138" s="1">
        <v>36</v>
      </c>
      <c r="K138" s="1">
        <v>45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330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21202</v>
      </c>
      <c r="B139" s="1">
        <v>212</v>
      </c>
      <c r="C139" s="1">
        <v>2</v>
      </c>
      <c r="D139" s="1">
        <v>1</v>
      </c>
      <c r="E139" s="1">
        <v>0</v>
      </c>
      <c r="F139" s="1">
        <v>3</v>
      </c>
      <c r="G139" s="1">
        <v>80</v>
      </c>
      <c r="H139" s="1">
        <v>18</v>
      </c>
      <c r="I139" s="1">
        <v>27</v>
      </c>
      <c r="J139" s="1">
        <v>36</v>
      </c>
      <c r="K139" s="1">
        <v>45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330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21203</v>
      </c>
      <c r="B140" s="1">
        <v>212</v>
      </c>
      <c r="C140" s="1">
        <v>3</v>
      </c>
      <c r="D140" s="1">
        <v>1</v>
      </c>
      <c r="E140" s="1">
        <v>0</v>
      </c>
      <c r="F140" s="1">
        <v>4</v>
      </c>
      <c r="G140" s="1">
        <v>80</v>
      </c>
      <c r="H140" s="1">
        <v>18</v>
      </c>
      <c r="I140" s="1">
        <v>27</v>
      </c>
      <c r="J140" s="1">
        <v>36</v>
      </c>
      <c r="K140" s="1">
        <v>45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330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21204</v>
      </c>
      <c r="B141" s="1">
        <v>212</v>
      </c>
      <c r="C141" s="1">
        <v>4</v>
      </c>
      <c r="D141" s="1">
        <v>1</v>
      </c>
      <c r="E141" s="1">
        <v>0</v>
      </c>
      <c r="F141" s="1">
        <v>5</v>
      </c>
      <c r="G141" s="1">
        <v>80</v>
      </c>
      <c r="H141" s="1">
        <v>18</v>
      </c>
      <c r="I141" s="1">
        <v>27</v>
      </c>
      <c r="J141" s="1">
        <v>36</v>
      </c>
      <c r="K141" s="1">
        <v>45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330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21300</v>
      </c>
      <c r="B142" s="1">
        <v>213</v>
      </c>
      <c r="C142" s="1">
        <v>0</v>
      </c>
      <c r="D142" s="1">
        <v>0</v>
      </c>
      <c r="E142" s="1">
        <v>0</v>
      </c>
      <c r="F142" s="1">
        <v>1</v>
      </c>
      <c r="G142" s="1">
        <v>58</v>
      </c>
      <c r="H142" s="1">
        <v>14</v>
      </c>
      <c r="I142" s="1">
        <v>44</v>
      </c>
      <c r="J142" s="1">
        <v>25</v>
      </c>
      <c r="K142" s="1">
        <v>23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330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21301</v>
      </c>
      <c r="B143" s="1">
        <v>213</v>
      </c>
      <c r="C143" s="1">
        <v>1</v>
      </c>
      <c r="D143" s="1">
        <v>1</v>
      </c>
      <c r="E143" s="1">
        <v>0</v>
      </c>
      <c r="F143" s="1">
        <v>2</v>
      </c>
      <c r="G143" s="1">
        <v>58</v>
      </c>
      <c r="H143" s="1">
        <v>14</v>
      </c>
      <c r="I143" s="1">
        <v>44</v>
      </c>
      <c r="J143" s="1">
        <v>25</v>
      </c>
      <c r="K143" s="1">
        <v>23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330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21302</v>
      </c>
      <c r="B144" s="1">
        <v>213</v>
      </c>
      <c r="C144" s="1">
        <v>2</v>
      </c>
      <c r="D144" s="1">
        <v>1</v>
      </c>
      <c r="E144" s="1">
        <v>0</v>
      </c>
      <c r="F144" s="1">
        <v>3</v>
      </c>
      <c r="G144" s="1">
        <v>58</v>
      </c>
      <c r="H144" s="1">
        <v>14</v>
      </c>
      <c r="I144" s="1">
        <v>44</v>
      </c>
      <c r="J144" s="1">
        <v>25</v>
      </c>
      <c r="K144" s="1">
        <v>23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330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21303</v>
      </c>
      <c r="B145" s="1">
        <v>213</v>
      </c>
      <c r="C145" s="1">
        <v>3</v>
      </c>
      <c r="D145" s="1">
        <v>1</v>
      </c>
      <c r="E145" s="1">
        <v>0</v>
      </c>
      <c r="F145" s="1">
        <v>4</v>
      </c>
      <c r="G145" s="1">
        <v>58</v>
      </c>
      <c r="H145" s="1">
        <v>14</v>
      </c>
      <c r="I145" s="1">
        <v>44</v>
      </c>
      <c r="J145" s="1">
        <v>25</v>
      </c>
      <c r="K145" s="1">
        <v>23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330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21304</v>
      </c>
      <c r="B146" s="1">
        <v>213</v>
      </c>
      <c r="C146" s="1">
        <v>4</v>
      </c>
      <c r="D146" s="1">
        <v>1</v>
      </c>
      <c r="E146" s="1">
        <v>0</v>
      </c>
      <c r="F146" s="1">
        <v>5</v>
      </c>
      <c r="G146" s="1">
        <v>58</v>
      </c>
      <c r="H146" s="1">
        <v>14</v>
      </c>
      <c r="I146" s="1">
        <v>44</v>
      </c>
      <c r="J146" s="1">
        <v>25</v>
      </c>
      <c r="K146" s="1">
        <v>23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330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21400</v>
      </c>
      <c r="B147" s="1">
        <v>214</v>
      </c>
      <c r="C147" s="1">
        <v>0</v>
      </c>
      <c r="D147" s="1">
        <v>0</v>
      </c>
      <c r="E147" s="1">
        <v>0</v>
      </c>
      <c r="F147" s="1">
        <v>1</v>
      </c>
      <c r="G147" s="1">
        <v>107</v>
      </c>
      <c r="H147" s="1">
        <v>11</v>
      </c>
      <c r="I147" s="1">
        <v>22</v>
      </c>
      <c r="J147" s="1">
        <v>34</v>
      </c>
      <c r="K147" s="1">
        <v>28</v>
      </c>
      <c r="L147" s="1">
        <v>15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330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21401</v>
      </c>
      <c r="B148" s="1">
        <v>214</v>
      </c>
      <c r="C148" s="1">
        <v>1</v>
      </c>
      <c r="D148" s="1">
        <v>1</v>
      </c>
      <c r="E148" s="1">
        <v>0</v>
      </c>
      <c r="F148" s="1">
        <v>2</v>
      </c>
      <c r="G148" s="1">
        <v>107</v>
      </c>
      <c r="H148" s="1">
        <v>11</v>
      </c>
      <c r="I148" s="1">
        <v>22</v>
      </c>
      <c r="J148" s="1">
        <v>34</v>
      </c>
      <c r="K148" s="1">
        <v>28</v>
      </c>
      <c r="L148" s="1">
        <v>15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330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21402</v>
      </c>
      <c r="B149" s="1">
        <v>214</v>
      </c>
      <c r="C149" s="1">
        <v>2</v>
      </c>
      <c r="D149" s="1">
        <v>1</v>
      </c>
      <c r="E149" s="1">
        <v>0</v>
      </c>
      <c r="F149" s="1">
        <v>3</v>
      </c>
      <c r="G149" s="1">
        <v>107</v>
      </c>
      <c r="H149" s="1">
        <v>11</v>
      </c>
      <c r="I149" s="1">
        <v>22</v>
      </c>
      <c r="J149" s="1">
        <v>34</v>
      </c>
      <c r="K149" s="1">
        <v>28</v>
      </c>
      <c r="L149" s="1">
        <v>15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330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21403</v>
      </c>
      <c r="B150" s="1">
        <v>214</v>
      </c>
      <c r="C150" s="1">
        <v>3</v>
      </c>
      <c r="D150" s="1">
        <v>1</v>
      </c>
      <c r="E150" s="1">
        <v>0</v>
      </c>
      <c r="F150" s="1">
        <v>4</v>
      </c>
      <c r="G150" s="1">
        <v>107</v>
      </c>
      <c r="H150" s="1">
        <v>11</v>
      </c>
      <c r="I150" s="1">
        <v>22</v>
      </c>
      <c r="J150" s="1">
        <v>34</v>
      </c>
      <c r="K150" s="1">
        <v>28</v>
      </c>
      <c r="L150" s="1">
        <v>15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330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21404</v>
      </c>
      <c r="B151" s="1">
        <v>214</v>
      </c>
      <c r="C151" s="1">
        <v>4</v>
      </c>
      <c r="D151" s="1">
        <v>1</v>
      </c>
      <c r="E151" s="1">
        <v>0</v>
      </c>
      <c r="F151" s="1">
        <v>5</v>
      </c>
      <c r="G151" s="1">
        <v>107</v>
      </c>
      <c r="H151" s="1">
        <v>11</v>
      </c>
      <c r="I151" s="1">
        <v>22</v>
      </c>
      <c r="J151" s="1">
        <v>34</v>
      </c>
      <c r="K151" s="1">
        <v>28</v>
      </c>
      <c r="L151" s="1">
        <v>15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330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21500</v>
      </c>
      <c r="B152" s="1">
        <v>215</v>
      </c>
      <c r="C152" s="1">
        <v>0</v>
      </c>
      <c r="D152" s="1">
        <v>0</v>
      </c>
      <c r="E152" s="1">
        <v>0</v>
      </c>
      <c r="F152" s="1">
        <v>1</v>
      </c>
      <c r="G152" s="1">
        <v>47</v>
      </c>
      <c r="H152" s="1">
        <v>21</v>
      </c>
      <c r="I152" s="1">
        <v>29</v>
      </c>
      <c r="J152" s="1">
        <v>36</v>
      </c>
      <c r="K152" s="1">
        <v>28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330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21501</v>
      </c>
      <c r="B153" s="1">
        <v>215</v>
      </c>
      <c r="C153" s="1">
        <v>1</v>
      </c>
      <c r="D153" s="1">
        <v>1</v>
      </c>
      <c r="E153" s="1">
        <v>0</v>
      </c>
      <c r="F153" s="1">
        <v>2</v>
      </c>
      <c r="G153" s="1">
        <v>47</v>
      </c>
      <c r="H153" s="1">
        <v>21</v>
      </c>
      <c r="I153" s="1">
        <v>29</v>
      </c>
      <c r="J153" s="1">
        <v>36</v>
      </c>
      <c r="K153" s="1">
        <v>28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330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21502</v>
      </c>
      <c r="B154" s="1">
        <v>215</v>
      </c>
      <c r="C154" s="1">
        <v>2</v>
      </c>
      <c r="D154" s="1">
        <v>1</v>
      </c>
      <c r="E154" s="1">
        <v>0</v>
      </c>
      <c r="F154" s="1">
        <v>3</v>
      </c>
      <c r="G154" s="1">
        <v>47</v>
      </c>
      <c r="H154" s="1">
        <v>21</v>
      </c>
      <c r="I154" s="1">
        <v>29</v>
      </c>
      <c r="J154" s="1">
        <v>36</v>
      </c>
      <c r="K154" s="1">
        <v>28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330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21503</v>
      </c>
      <c r="B155" s="1">
        <v>215</v>
      </c>
      <c r="C155" s="1">
        <v>3</v>
      </c>
      <c r="D155" s="1">
        <v>1</v>
      </c>
      <c r="E155" s="1">
        <v>0</v>
      </c>
      <c r="F155" s="1">
        <v>4</v>
      </c>
      <c r="G155" s="1">
        <v>47</v>
      </c>
      <c r="H155" s="1">
        <v>21</v>
      </c>
      <c r="I155" s="1">
        <v>29</v>
      </c>
      <c r="J155" s="1">
        <v>36</v>
      </c>
      <c r="K155" s="1">
        <v>28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330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21504</v>
      </c>
      <c r="B156" s="1">
        <v>215</v>
      </c>
      <c r="C156" s="1">
        <v>4</v>
      </c>
      <c r="D156" s="1">
        <v>1</v>
      </c>
      <c r="E156" s="1">
        <v>0</v>
      </c>
      <c r="F156" s="1">
        <v>5</v>
      </c>
      <c r="G156" s="1">
        <v>47</v>
      </c>
      <c r="H156" s="1">
        <v>21</v>
      </c>
      <c r="I156" s="1">
        <v>29</v>
      </c>
      <c r="J156" s="1">
        <v>36</v>
      </c>
      <c r="K156" s="1">
        <v>28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330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30100</v>
      </c>
      <c r="B157" s="1">
        <v>301</v>
      </c>
      <c r="C157" s="1">
        <v>0</v>
      </c>
      <c r="D157" s="1">
        <v>0</v>
      </c>
      <c r="E157" s="1">
        <v>0</v>
      </c>
      <c r="F157" s="1">
        <v>1</v>
      </c>
      <c r="G157" s="1">
        <v>58</v>
      </c>
      <c r="H157" s="1">
        <v>10</v>
      </c>
      <c r="I157" s="1">
        <v>41</v>
      </c>
      <c r="J157" s="1">
        <v>18</v>
      </c>
      <c r="K157" s="1">
        <v>68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330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30101</v>
      </c>
      <c r="B158" s="1">
        <v>301</v>
      </c>
      <c r="C158" s="1">
        <v>1</v>
      </c>
      <c r="D158" s="1">
        <v>1</v>
      </c>
      <c r="E158" s="1">
        <v>0</v>
      </c>
      <c r="F158" s="1">
        <v>2</v>
      </c>
      <c r="G158" s="1">
        <v>58</v>
      </c>
      <c r="H158" s="1">
        <v>10</v>
      </c>
      <c r="I158" s="1">
        <v>41</v>
      </c>
      <c r="J158" s="1">
        <v>18</v>
      </c>
      <c r="K158" s="1">
        <v>68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330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30102</v>
      </c>
      <c r="B159" s="1">
        <v>301</v>
      </c>
      <c r="C159" s="1">
        <v>2</v>
      </c>
      <c r="D159" s="1">
        <v>1</v>
      </c>
      <c r="E159" s="1">
        <v>0</v>
      </c>
      <c r="F159" s="1">
        <v>3</v>
      </c>
      <c r="G159" s="1">
        <v>58</v>
      </c>
      <c r="H159" s="1">
        <v>10</v>
      </c>
      <c r="I159" s="1">
        <v>41</v>
      </c>
      <c r="J159" s="1">
        <v>18</v>
      </c>
      <c r="K159" s="1">
        <v>68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330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30103</v>
      </c>
      <c r="B160" s="1">
        <v>301</v>
      </c>
      <c r="C160" s="1">
        <v>3</v>
      </c>
      <c r="D160" s="1">
        <v>1</v>
      </c>
      <c r="E160" s="1">
        <v>0</v>
      </c>
      <c r="F160" s="1">
        <v>4</v>
      </c>
      <c r="G160" s="1">
        <v>58</v>
      </c>
      <c r="H160" s="1">
        <v>10</v>
      </c>
      <c r="I160" s="1">
        <v>41</v>
      </c>
      <c r="J160" s="1">
        <v>18</v>
      </c>
      <c r="K160" s="1">
        <v>68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330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30104</v>
      </c>
      <c r="B161" s="1">
        <v>301</v>
      </c>
      <c r="C161" s="1">
        <v>4</v>
      </c>
      <c r="D161" s="1">
        <v>1</v>
      </c>
      <c r="E161" s="1">
        <v>0</v>
      </c>
      <c r="F161" s="1">
        <v>5</v>
      </c>
      <c r="G161" s="1">
        <v>58</v>
      </c>
      <c r="H161" s="1">
        <v>10</v>
      </c>
      <c r="I161" s="1">
        <v>41</v>
      </c>
      <c r="J161" s="1">
        <v>18</v>
      </c>
      <c r="K161" s="1">
        <v>68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330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30200</v>
      </c>
      <c r="B162" s="1">
        <v>302</v>
      </c>
      <c r="C162" s="1">
        <v>0</v>
      </c>
      <c r="D162" s="1">
        <v>0</v>
      </c>
      <c r="E162" s="1">
        <v>0</v>
      </c>
      <c r="F162" s="1">
        <v>1</v>
      </c>
      <c r="G162" s="1">
        <v>53</v>
      </c>
      <c r="H162" s="1">
        <v>14</v>
      </c>
      <c r="I162" s="1">
        <v>41</v>
      </c>
      <c r="J162" s="1">
        <v>35</v>
      </c>
      <c r="K162" s="1">
        <v>47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330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30201</v>
      </c>
      <c r="B163" s="1">
        <v>302</v>
      </c>
      <c r="C163" s="1">
        <v>1</v>
      </c>
      <c r="D163" s="1">
        <v>1</v>
      </c>
      <c r="E163" s="1">
        <v>0</v>
      </c>
      <c r="F163" s="1">
        <v>2</v>
      </c>
      <c r="G163" s="1">
        <v>53</v>
      </c>
      <c r="H163" s="1">
        <v>14</v>
      </c>
      <c r="I163" s="1">
        <v>41</v>
      </c>
      <c r="J163" s="1">
        <v>35</v>
      </c>
      <c r="K163" s="1">
        <v>47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330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30202</v>
      </c>
      <c r="B164" s="1">
        <v>302</v>
      </c>
      <c r="C164" s="1">
        <v>2</v>
      </c>
      <c r="D164" s="1">
        <v>1</v>
      </c>
      <c r="E164" s="1">
        <v>0</v>
      </c>
      <c r="F164" s="1">
        <v>3</v>
      </c>
      <c r="G164" s="1">
        <v>53</v>
      </c>
      <c r="H164" s="1">
        <v>14</v>
      </c>
      <c r="I164" s="1">
        <v>41</v>
      </c>
      <c r="J164" s="1">
        <v>35</v>
      </c>
      <c r="K164" s="1">
        <v>47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330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30203</v>
      </c>
      <c r="B165" s="1">
        <v>302</v>
      </c>
      <c r="C165" s="1">
        <v>3</v>
      </c>
      <c r="D165" s="1">
        <v>1</v>
      </c>
      <c r="E165" s="1">
        <v>0</v>
      </c>
      <c r="F165" s="1">
        <v>4</v>
      </c>
      <c r="G165" s="1">
        <v>53</v>
      </c>
      <c r="H165" s="1">
        <v>14</v>
      </c>
      <c r="I165" s="1">
        <v>41</v>
      </c>
      <c r="J165" s="1">
        <v>35</v>
      </c>
      <c r="K165" s="1">
        <v>47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330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30204</v>
      </c>
      <c r="B166" s="1">
        <v>302</v>
      </c>
      <c r="C166" s="1">
        <v>4</v>
      </c>
      <c r="D166" s="1">
        <v>1</v>
      </c>
      <c r="E166" s="1">
        <v>0</v>
      </c>
      <c r="F166" s="1">
        <v>5</v>
      </c>
      <c r="G166" s="1">
        <v>53</v>
      </c>
      <c r="H166" s="1">
        <v>14</v>
      </c>
      <c r="I166" s="1">
        <v>41</v>
      </c>
      <c r="J166" s="1">
        <v>35</v>
      </c>
      <c r="K166" s="1">
        <v>47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330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30300</v>
      </c>
      <c r="B167" s="1">
        <v>303</v>
      </c>
      <c r="C167" s="1">
        <v>0</v>
      </c>
      <c r="D167" s="1">
        <v>0</v>
      </c>
      <c r="E167" s="1">
        <v>0</v>
      </c>
      <c r="F167" s="1">
        <v>1</v>
      </c>
      <c r="G167" s="1">
        <v>78</v>
      </c>
      <c r="H167" s="1">
        <v>12</v>
      </c>
      <c r="I167" s="1">
        <v>31</v>
      </c>
      <c r="J167" s="1">
        <v>38</v>
      </c>
      <c r="K167" s="1">
        <v>40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330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30301</v>
      </c>
      <c r="B168" s="1">
        <v>303</v>
      </c>
      <c r="C168" s="1">
        <v>1</v>
      </c>
      <c r="D168" s="1">
        <v>1</v>
      </c>
      <c r="E168" s="1">
        <v>0</v>
      </c>
      <c r="F168" s="1">
        <v>2</v>
      </c>
      <c r="G168" s="1">
        <v>78</v>
      </c>
      <c r="H168" s="1">
        <v>12</v>
      </c>
      <c r="I168" s="1">
        <v>31</v>
      </c>
      <c r="J168" s="1">
        <v>38</v>
      </c>
      <c r="K168" s="1">
        <v>40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330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30302</v>
      </c>
      <c r="B169" s="1">
        <v>303</v>
      </c>
      <c r="C169" s="1">
        <v>2</v>
      </c>
      <c r="D169" s="1">
        <v>1</v>
      </c>
      <c r="E169" s="1">
        <v>0</v>
      </c>
      <c r="F169" s="1">
        <v>3</v>
      </c>
      <c r="G169" s="1">
        <v>78</v>
      </c>
      <c r="H169" s="1">
        <v>12</v>
      </c>
      <c r="I169" s="1">
        <v>31</v>
      </c>
      <c r="J169" s="1">
        <v>38</v>
      </c>
      <c r="K169" s="1">
        <v>40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330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30303</v>
      </c>
      <c r="B170" s="1">
        <v>303</v>
      </c>
      <c r="C170" s="1">
        <v>3</v>
      </c>
      <c r="D170" s="1">
        <v>1</v>
      </c>
      <c r="E170" s="1">
        <v>0</v>
      </c>
      <c r="F170" s="1">
        <v>4</v>
      </c>
      <c r="G170" s="1">
        <v>78</v>
      </c>
      <c r="H170" s="1">
        <v>12</v>
      </c>
      <c r="I170" s="1">
        <v>31</v>
      </c>
      <c r="J170" s="1">
        <v>38</v>
      </c>
      <c r="K170" s="1">
        <v>40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330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30304</v>
      </c>
      <c r="B171" s="1">
        <v>303</v>
      </c>
      <c r="C171" s="1">
        <v>4</v>
      </c>
      <c r="D171" s="1">
        <v>1</v>
      </c>
      <c r="E171" s="1">
        <v>0</v>
      </c>
      <c r="F171" s="1">
        <v>5</v>
      </c>
      <c r="G171" s="1">
        <v>78</v>
      </c>
      <c r="H171" s="1">
        <v>12</v>
      </c>
      <c r="I171" s="1">
        <v>31</v>
      </c>
      <c r="J171" s="1">
        <v>38</v>
      </c>
      <c r="K171" s="1">
        <v>40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330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 s="1">
        <v>30400</v>
      </c>
      <c r="B172" s="1">
        <v>304</v>
      </c>
      <c r="C172" s="1">
        <v>0</v>
      </c>
      <c r="D172" s="1">
        <v>0</v>
      </c>
      <c r="E172" s="1">
        <v>0</v>
      </c>
      <c r="F172" s="1">
        <v>1</v>
      </c>
      <c r="G172" s="1">
        <v>38</v>
      </c>
      <c r="H172" s="1">
        <v>17</v>
      </c>
      <c r="I172" s="1">
        <v>28</v>
      </c>
      <c r="J172" s="1">
        <v>35</v>
      </c>
      <c r="K172" s="1">
        <v>31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 t="s">
        <v>330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</row>
    <row r="173" spans="1:24" x14ac:dyDescent="0.25">
      <c r="A173" s="1">
        <v>30401</v>
      </c>
      <c r="B173" s="1">
        <v>304</v>
      </c>
      <c r="C173" s="1">
        <v>1</v>
      </c>
      <c r="D173" s="1">
        <v>1</v>
      </c>
      <c r="E173" s="1">
        <v>0</v>
      </c>
      <c r="F173" s="1">
        <v>2</v>
      </c>
      <c r="G173" s="1">
        <v>38</v>
      </c>
      <c r="H173" s="1">
        <v>17</v>
      </c>
      <c r="I173" s="1">
        <v>28</v>
      </c>
      <c r="J173" s="1">
        <v>35</v>
      </c>
      <c r="K173" s="1">
        <v>31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 t="s">
        <v>330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</row>
    <row r="174" spans="1:24" x14ac:dyDescent="0.25">
      <c r="A174" s="1">
        <v>30402</v>
      </c>
      <c r="B174" s="1">
        <v>304</v>
      </c>
      <c r="C174" s="1">
        <v>2</v>
      </c>
      <c r="D174" s="1">
        <v>1</v>
      </c>
      <c r="E174" s="1">
        <v>0</v>
      </c>
      <c r="F174" s="1">
        <v>3</v>
      </c>
      <c r="G174" s="1">
        <v>38</v>
      </c>
      <c r="H174" s="1">
        <v>17</v>
      </c>
      <c r="I174" s="1">
        <v>28</v>
      </c>
      <c r="J174" s="1">
        <v>35</v>
      </c>
      <c r="K174" s="1">
        <v>31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 t="s">
        <v>330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</row>
    <row r="175" spans="1:24" x14ac:dyDescent="0.25">
      <c r="A175" s="1">
        <v>30403</v>
      </c>
      <c r="B175" s="1">
        <v>304</v>
      </c>
      <c r="C175" s="1">
        <v>3</v>
      </c>
      <c r="D175" s="1">
        <v>1</v>
      </c>
      <c r="E175" s="1">
        <v>0</v>
      </c>
      <c r="F175" s="1">
        <v>4</v>
      </c>
      <c r="G175" s="1">
        <v>38</v>
      </c>
      <c r="H175" s="1">
        <v>17</v>
      </c>
      <c r="I175" s="1">
        <v>28</v>
      </c>
      <c r="J175" s="1">
        <v>35</v>
      </c>
      <c r="K175" s="1">
        <v>31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 t="s">
        <v>330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</row>
    <row r="176" spans="1:24" x14ac:dyDescent="0.25">
      <c r="A176" s="1">
        <v>30404</v>
      </c>
      <c r="B176" s="1">
        <v>304</v>
      </c>
      <c r="C176" s="1">
        <v>4</v>
      </c>
      <c r="D176" s="1">
        <v>1</v>
      </c>
      <c r="E176" s="1">
        <v>0</v>
      </c>
      <c r="F176" s="1">
        <v>5</v>
      </c>
      <c r="G176" s="1">
        <v>38</v>
      </c>
      <c r="H176" s="1">
        <v>17</v>
      </c>
      <c r="I176" s="1">
        <v>28</v>
      </c>
      <c r="J176" s="1">
        <v>35</v>
      </c>
      <c r="K176" s="1">
        <v>31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 t="s">
        <v>330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</row>
    <row r="177" spans="1:24" x14ac:dyDescent="0.25">
      <c r="A177" s="1">
        <v>30500</v>
      </c>
      <c r="B177" s="1">
        <v>305</v>
      </c>
      <c r="C177" s="1">
        <v>0</v>
      </c>
      <c r="D177" s="1">
        <v>0</v>
      </c>
      <c r="E177" s="1">
        <v>0</v>
      </c>
      <c r="F177" s="1">
        <v>1</v>
      </c>
      <c r="G177" s="1">
        <v>46</v>
      </c>
      <c r="H177" s="1">
        <v>12</v>
      </c>
      <c r="I177" s="1">
        <v>46</v>
      </c>
      <c r="J177" s="1">
        <v>18</v>
      </c>
      <c r="K177" s="1">
        <v>25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330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30501</v>
      </c>
      <c r="B178" s="1">
        <v>305</v>
      </c>
      <c r="C178" s="1">
        <v>1</v>
      </c>
      <c r="D178" s="1">
        <v>1</v>
      </c>
      <c r="E178" s="1">
        <v>0</v>
      </c>
      <c r="F178" s="1">
        <v>2</v>
      </c>
      <c r="G178" s="1">
        <v>46</v>
      </c>
      <c r="H178" s="1">
        <v>12</v>
      </c>
      <c r="I178" s="1">
        <v>46</v>
      </c>
      <c r="J178" s="1">
        <v>18</v>
      </c>
      <c r="K178" s="1">
        <v>25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330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30502</v>
      </c>
      <c r="B179" s="1">
        <v>305</v>
      </c>
      <c r="C179" s="1">
        <v>2</v>
      </c>
      <c r="D179" s="1">
        <v>1</v>
      </c>
      <c r="E179" s="1">
        <v>0</v>
      </c>
      <c r="F179" s="1">
        <v>3</v>
      </c>
      <c r="G179" s="1">
        <v>46</v>
      </c>
      <c r="H179" s="1">
        <v>12</v>
      </c>
      <c r="I179" s="1">
        <v>46</v>
      </c>
      <c r="J179" s="1">
        <v>18</v>
      </c>
      <c r="K179" s="1">
        <v>25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330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30503</v>
      </c>
      <c r="B180" s="1">
        <v>305</v>
      </c>
      <c r="C180" s="1">
        <v>3</v>
      </c>
      <c r="D180" s="1">
        <v>1</v>
      </c>
      <c r="E180" s="1">
        <v>0</v>
      </c>
      <c r="F180" s="1">
        <v>4</v>
      </c>
      <c r="G180" s="1">
        <v>46</v>
      </c>
      <c r="H180" s="1">
        <v>12</v>
      </c>
      <c r="I180" s="1">
        <v>46</v>
      </c>
      <c r="J180" s="1">
        <v>18</v>
      </c>
      <c r="K180" s="1">
        <v>25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330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30504</v>
      </c>
      <c r="B181" s="1">
        <v>305</v>
      </c>
      <c r="C181" s="1">
        <v>4</v>
      </c>
      <c r="D181" s="1">
        <v>1</v>
      </c>
      <c r="E181" s="1">
        <v>0</v>
      </c>
      <c r="F181" s="1">
        <v>5</v>
      </c>
      <c r="G181" s="1">
        <v>46</v>
      </c>
      <c r="H181" s="1">
        <v>12</v>
      </c>
      <c r="I181" s="1">
        <v>46</v>
      </c>
      <c r="J181" s="1">
        <v>18</v>
      </c>
      <c r="K181" s="1">
        <v>25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330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30600</v>
      </c>
      <c r="B182" s="1">
        <v>306</v>
      </c>
      <c r="C182" s="1">
        <v>0</v>
      </c>
      <c r="D182" s="1">
        <v>0</v>
      </c>
      <c r="E182" s="1">
        <v>0</v>
      </c>
      <c r="F182" s="1">
        <v>1</v>
      </c>
      <c r="G182" s="1">
        <v>23</v>
      </c>
      <c r="H182" s="1">
        <v>17</v>
      </c>
      <c r="I182" s="1">
        <v>44</v>
      </c>
      <c r="J182" s="1">
        <v>34</v>
      </c>
      <c r="K182" s="1">
        <v>57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330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30601</v>
      </c>
      <c r="B183" s="1">
        <v>306</v>
      </c>
      <c r="C183" s="1">
        <v>1</v>
      </c>
      <c r="D183" s="1">
        <v>1</v>
      </c>
      <c r="E183" s="1">
        <v>0</v>
      </c>
      <c r="F183" s="1">
        <v>2</v>
      </c>
      <c r="G183" s="1">
        <v>23</v>
      </c>
      <c r="H183" s="1">
        <v>17</v>
      </c>
      <c r="I183" s="1">
        <v>44</v>
      </c>
      <c r="J183" s="1">
        <v>34</v>
      </c>
      <c r="K183" s="1">
        <v>57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330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30602</v>
      </c>
      <c r="B184" s="1">
        <v>306</v>
      </c>
      <c r="C184" s="1">
        <v>2</v>
      </c>
      <c r="D184" s="1">
        <v>1</v>
      </c>
      <c r="E184" s="1">
        <v>0</v>
      </c>
      <c r="F184" s="1">
        <v>3</v>
      </c>
      <c r="G184" s="1">
        <v>23</v>
      </c>
      <c r="H184" s="1">
        <v>17</v>
      </c>
      <c r="I184" s="1">
        <v>44</v>
      </c>
      <c r="J184" s="1">
        <v>34</v>
      </c>
      <c r="K184" s="1">
        <v>57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330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30603</v>
      </c>
      <c r="B185" s="1">
        <v>306</v>
      </c>
      <c r="C185" s="1">
        <v>3</v>
      </c>
      <c r="D185" s="1">
        <v>1</v>
      </c>
      <c r="E185" s="1">
        <v>0</v>
      </c>
      <c r="F185" s="1">
        <v>4</v>
      </c>
      <c r="G185" s="1">
        <v>23</v>
      </c>
      <c r="H185" s="1">
        <v>17</v>
      </c>
      <c r="I185" s="1">
        <v>44</v>
      </c>
      <c r="J185" s="1">
        <v>34</v>
      </c>
      <c r="K185" s="1">
        <v>57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330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30604</v>
      </c>
      <c r="B186" s="1">
        <v>306</v>
      </c>
      <c r="C186" s="1">
        <v>4</v>
      </c>
      <c r="D186" s="1">
        <v>1</v>
      </c>
      <c r="E186" s="1">
        <v>0</v>
      </c>
      <c r="F186" s="1">
        <v>5</v>
      </c>
      <c r="G186" s="1">
        <v>23</v>
      </c>
      <c r="H186" s="1">
        <v>17</v>
      </c>
      <c r="I186" s="1">
        <v>44</v>
      </c>
      <c r="J186" s="1">
        <v>34</v>
      </c>
      <c r="K186" s="1">
        <v>57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330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30700</v>
      </c>
      <c r="B187" s="1">
        <v>307</v>
      </c>
      <c r="C187" s="1">
        <v>0</v>
      </c>
      <c r="D187" s="1">
        <v>0</v>
      </c>
      <c r="E187" s="1">
        <v>0</v>
      </c>
      <c r="F187" s="1">
        <v>1</v>
      </c>
      <c r="G187" s="1">
        <v>44</v>
      </c>
      <c r="H187" s="1">
        <v>11</v>
      </c>
      <c r="I187" s="1">
        <v>41</v>
      </c>
      <c r="J187" s="1">
        <v>31</v>
      </c>
      <c r="K187" s="1">
        <v>74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330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30701</v>
      </c>
      <c r="B188" s="1">
        <v>307</v>
      </c>
      <c r="C188" s="1">
        <v>1</v>
      </c>
      <c r="D188" s="1">
        <v>1</v>
      </c>
      <c r="E188" s="1">
        <v>0</v>
      </c>
      <c r="F188" s="1">
        <v>2</v>
      </c>
      <c r="G188" s="1">
        <v>44</v>
      </c>
      <c r="H188" s="1">
        <v>11</v>
      </c>
      <c r="I188" s="1">
        <v>41</v>
      </c>
      <c r="J188" s="1">
        <v>31</v>
      </c>
      <c r="K188" s="1">
        <v>74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330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30702</v>
      </c>
      <c r="B189" s="1">
        <v>307</v>
      </c>
      <c r="C189" s="1">
        <v>2</v>
      </c>
      <c r="D189" s="1">
        <v>1</v>
      </c>
      <c r="E189" s="1">
        <v>0</v>
      </c>
      <c r="F189" s="1">
        <v>3</v>
      </c>
      <c r="G189" s="1">
        <v>44</v>
      </c>
      <c r="H189" s="1">
        <v>11</v>
      </c>
      <c r="I189" s="1">
        <v>41</v>
      </c>
      <c r="J189" s="1">
        <v>31</v>
      </c>
      <c r="K189" s="1">
        <v>74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330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30703</v>
      </c>
      <c r="B190" s="1">
        <v>307</v>
      </c>
      <c r="C190" s="1">
        <v>3</v>
      </c>
      <c r="D190" s="1">
        <v>1</v>
      </c>
      <c r="E190" s="1">
        <v>0</v>
      </c>
      <c r="F190" s="1">
        <v>4</v>
      </c>
      <c r="G190" s="1">
        <v>44</v>
      </c>
      <c r="H190" s="1">
        <v>11</v>
      </c>
      <c r="I190" s="1">
        <v>41</v>
      </c>
      <c r="J190" s="1">
        <v>31</v>
      </c>
      <c r="K190" s="1">
        <v>74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330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30704</v>
      </c>
      <c r="B191" s="1">
        <v>307</v>
      </c>
      <c r="C191" s="1">
        <v>4</v>
      </c>
      <c r="D191" s="1">
        <v>1</v>
      </c>
      <c r="E191" s="1">
        <v>0</v>
      </c>
      <c r="F191" s="1">
        <v>5</v>
      </c>
      <c r="G191" s="1">
        <v>44</v>
      </c>
      <c r="H191" s="1">
        <v>11</v>
      </c>
      <c r="I191" s="1">
        <v>41</v>
      </c>
      <c r="J191" s="1">
        <v>31</v>
      </c>
      <c r="K191" s="1">
        <v>74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330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30800</v>
      </c>
      <c r="B192" s="1">
        <v>308</v>
      </c>
      <c r="C192" s="1">
        <v>0</v>
      </c>
      <c r="D192" s="1">
        <v>0</v>
      </c>
      <c r="E192" s="1">
        <v>0</v>
      </c>
      <c r="F192" s="1">
        <v>1</v>
      </c>
      <c r="G192" s="1">
        <v>53</v>
      </c>
      <c r="H192" s="1">
        <v>11</v>
      </c>
      <c r="I192" s="1">
        <v>48</v>
      </c>
      <c r="J192" s="1">
        <v>35</v>
      </c>
      <c r="K192" s="1">
        <v>52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330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30801</v>
      </c>
      <c r="B193" s="1">
        <v>308</v>
      </c>
      <c r="C193" s="1">
        <v>1</v>
      </c>
      <c r="D193" s="1">
        <v>1</v>
      </c>
      <c r="E193" s="1">
        <v>0</v>
      </c>
      <c r="F193" s="1">
        <v>2</v>
      </c>
      <c r="G193" s="1">
        <v>53</v>
      </c>
      <c r="H193" s="1">
        <v>11</v>
      </c>
      <c r="I193" s="1">
        <v>48</v>
      </c>
      <c r="J193" s="1">
        <v>35</v>
      </c>
      <c r="K193" s="1">
        <v>52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330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30802</v>
      </c>
      <c r="B194" s="1">
        <v>308</v>
      </c>
      <c r="C194" s="1">
        <v>2</v>
      </c>
      <c r="D194" s="1">
        <v>1</v>
      </c>
      <c r="E194" s="1">
        <v>0</v>
      </c>
      <c r="F194" s="1">
        <v>3</v>
      </c>
      <c r="G194" s="1">
        <v>53</v>
      </c>
      <c r="H194" s="1">
        <v>11</v>
      </c>
      <c r="I194" s="1">
        <v>48</v>
      </c>
      <c r="J194" s="1">
        <v>35</v>
      </c>
      <c r="K194" s="1">
        <v>52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330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30803</v>
      </c>
      <c r="B195" s="1">
        <v>308</v>
      </c>
      <c r="C195" s="1">
        <v>3</v>
      </c>
      <c r="D195" s="1">
        <v>1</v>
      </c>
      <c r="E195" s="1">
        <v>0</v>
      </c>
      <c r="F195" s="1">
        <v>4</v>
      </c>
      <c r="G195" s="1">
        <v>53</v>
      </c>
      <c r="H195" s="1">
        <v>11</v>
      </c>
      <c r="I195" s="1">
        <v>48</v>
      </c>
      <c r="J195" s="1">
        <v>35</v>
      </c>
      <c r="K195" s="1">
        <v>52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330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30804</v>
      </c>
      <c r="B196" s="1">
        <v>308</v>
      </c>
      <c r="C196" s="1">
        <v>4</v>
      </c>
      <c r="D196" s="1">
        <v>1</v>
      </c>
      <c r="E196" s="1">
        <v>0</v>
      </c>
      <c r="F196" s="1">
        <v>5</v>
      </c>
      <c r="G196" s="1">
        <v>53</v>
      </c>
      <c r="H196" s="1">
        <v>11</v>
      </c>
      <c r="I196" s="1">
        <v>48</v>
      </c>
      <c r="J196" s="1">
        <v>35</v>
      </c>
      <c r="K196" s="1">
        <v>52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330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30900</v>
      </c>
      <c r="B197" s="1">
        <v>309</v>
      </c>
      <c r="C197" s="1">
        <v>0</v>
      </c>
      <c r="D197" s="1">
        <v>0</v>
      </c>
      <c r="E197" s="1">
        <v>0</v>
      </c>
      <c r="F197" s="1">
        <v>1</v>
      </c>
      <c r="G197" s="1">
        <v>34</v>
      </c>
      <c r="H197" s="1">
        <v>14</v>
      </c>
      <c r="I197" s="1">
        <v>24</v>
      </c>
      <c r="J197" s="1">
        <v>41</v>
      </c>
      <c r="K197" s="1">
        <v>51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330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30901</v>
      </c>
      <c r="B198" s="1">
        <v>309</v>
      </c>
      <c r="C198" s="1">
        <v>1</v>
      </c>
      <c r="D198" s="1">
        <v>1</v>
      </c>
      <c r="E198" s="1">
        <v>0</v>
      </c>
      <c r="F198" s="1">
        <v>2</v>
      </c>
      <c r="G198" s="1">
        <v>34</v>
      </c>
      <c r="H198" s="1">
        <v>14</v>
      </c>
      <c r="I198" s="1">
        <v>24</v>
      </c>
      <c r="J198" s="1">
        <v>41</v>
      </c>
      <c r="K198" s="1">
        <v>51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330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30902</v>
      </c>
      <c r="B199" s="1">
        <v>309</v>
      </c>
      <c r="C199" s="1">
        <v>2</v>
      </c>
      <c r="D199" s="1">
        <v>1</v>
      </c>
      <c r="E199" s="1">
        <v>0</v>
      </c>
      <c r="F199" s="1">
        <v>3</v>
      </c>
      <c r="G199" s="1">
        <v>34</v>
      </c>
      <c r="H199" s="1">
        <v>14</v>
      </c>
      <c r="I199" s="1">
        <v>24</v>
      </c>
      <c r="J199" s="1">
        <v>41</v>
      </c>
      <c r="K199" s="1">
        <v>51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330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30903</v>
      </c>
      <c r="B200" s="1">
        <v>309</v>
      </c>
      <c r="C200" s="1">
        <v>3</v>
      </c>
      <c r="D200" s="1">
        <v>1</v>
      </c>
      <c r="E200" s="1">
        <v>0</v>
      </c>
      <c r="F200" s="1">
        <v>4</v>
      </c>
      <c r="G200" s="1">
        <v>34</v>
      </c>
      <c r="H200" s="1">
        <v>14</v>
      </c>
      <c r="I200" s="1">
        <v>24</v>
      </c>
      <c r="J200" s="1">
        <v>41</v>
      </c>
      <c r="K200" s="1">
        <v>51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330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30904</v>
      </c>
      <c r="B201" s="1">
        <v>309</v>
      </c>
      <c r="C201" s="1">
        <v>4</v>
      </c>
      <c r="D201" s="1">
        <v>1</v>
      </c>
      <c r="E201" s="1">
        <v>0</v>
      </c>
      <c r="F201" s="1">
        <v>5</v>
      </c>
      <c r="G201" s="1">
        <v>34</v>
      </c>
      <c r="H201" s="1">
        <v>14</v>
      </c>
      <c r="I201" s="1">
        <v>24</v>
      </c>
      <c r="J201" s="1">
        <v>41</v>
      </c>
      <c r="K201" s="1">
        <v>51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330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31000</v>
      </c>
      <c r="B202" s="1">
        <v>310</v>
      </c>
      <c r="C202" s="1">
        <v>0</v>
      </c>
      <c r="D202" s="1">
        <v>0</v>
      </c>
      <c r="E202" s="1">
        <v>0</v>
      </c>
      <c r="F202" s="1">
        <v>1</v>
      </c>
      <c r="G202" s="1">
        <v>483</v>
      </c>
      <c r="H202" s="1">
        <v>197</v>
      </c>
      <c r="I202" s="1">
        <v>22</v>
      </c>
      <c r="J202" s="1">
        <v>35</v>
      </c>
      <c r="K202" s="1">
        <v>0</v>
      </c>
      <c r="L202" s="1">
        <v>5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330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31001</v>
      </c>
      <c r="B203" s="1">
        <v>310</v>
      </c>
      <c r="C203" s="1">
        <v>1</v>
      </c>
      <c r="D203" s="1">
        <v>1</v>
      </c>
      <c r="E203" s="1">
        <v>0</v>
      </c>
      <c r="F203" s="1">
        <v>1</v>
      </c>
      <c r="G203" s="1">
        <v>533</v>
      </c>
      <c r="H203" s="1">
        <v>197</v>
      </c>
      <c r="I203" s="1">
        <v>32</v>
      </c>
      <c r="J203" s="1">
        <v>35</v>
      </c>
      <c r="K203" s="1">
        <v>0</v>
      </c>
      <c r="L203" s="1">
        <v>8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330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31002</v>
      </c>
      <c r="B204" s="1">
        <v>310</v>
      </c>
      <c r="C204" s="1">
        <v>2</v>
      </c>
      <c r="D204" s="1">
        <v>1</v>
      </c>
      <c r="E204" s="1">
        <v>0</v>
      </c>
      <c r="F204" s="1">
        <v>1</v>
      </c>
      <c r="G204" s="1">
        <v>583</v>
      </c>
      <c r="H204" s="1">
        <v>367</v>
      </c>
      <c r="I204" s="1">
        <v>32</v>
      </c>
      <c r="J204" s="1">
        <v>77</v>
      </c>
      <c r="K204" s="1">
        <v>0</v>
      </c>
      <c r="L204" s="1">
        <v>8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330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31003</v>
      </c>
      <c r="B205" s="1">
        <v>310</v>
      </c>
      <c r="C205" s="1">
        <v>3</v>
      </c>
      <c r="D205" s="1">
        <v>1</v>
      </c>
      <c r="E205" s="1">
        <v>0</v>
      </c>
      <c r="F205" s="1">
        <v>1</v>
      </c>
      <c r="G205" s="1">
        <v>633</v>
      </c>
      <c r="H205" s="1">
        <v>367</v>
      </c>
      <c r="I205" s="1">
        <v>32</v>
      </c>
      <c r="J205" s="1">
        <v>155</v>
      </c>
      <c r="K205" s="1">
        <v>0</v>
      </c>
      <c r="L205" s="1">
        <v>13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330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31004</v>
      </c>
      <c r="B206" s="1">
        <v>310</v>
      </c>
      <c r="C206" s="1">
        <v>4</v>
      </c>
      <c r="D206" s="1">
        <v>1</v>
      </c>
      <c r="E206" s="1">
        <v>0</v>
      </c>
      <c r="F206" s="1">
        <v>1</v>
      </c>
      <c r="G206" s="1">
        <v>683</v>
      </c>
      <c r="H206" s="1">
        <v>592</v>
      </c>
      <c r="I206" s="1">
        <v>47</v>
      </c>
      <c r="J206" s="1">
        <v>155</v>
      </c>
      <c r="K206" s="1">
        <v>0</v>
      </c>
      <c r="L206" s="1">
        <v>13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330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80100</v>
      </c>
      <c r="B207" s="1">
        <v>801</v>
      </c>
      <c r="C207" s="1">
        <v>0</v>
      </c>
      <c r="D207" s="1">
        <v>0</v>
      </c>
      <c r="E207" s="1">
        <v>0</v>
      </c>
      <c r="F207" s="1">
        <v>1</v>
      </c>
      <c r="G207" s="1">
        <v>331</v>
      </c>
      <c r="H207" s="1">
        <v>42</v>
      </c>
      <c r="I207" s="1">
        <v>36</v>
      </c>
      <c r="J207" s="1">
        <v>19</v>
      </c>
      <c r="K207" s="1">
        <v>58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4776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80101</v>
      </c>
      <c r="B208" s="1">
        <v>801</v>
      </c>
      <c r="C208" s="1">
        <v>1</v>
      </c>
      <c r="D208" s="1">
        <v>1</v>
      </c>
      <c r="E208" s="1">
        <v>0</v>
      </c>
      <c r="F208" s="1">
        <v>1</v>
      </c>
      <c r="G208" s="1">
        <v>331</v>
      </c>
      <c r="H208" s="1">
        <v>42</v>
      </c>
      <c r="I208" s="1">
        <v>36</v>
      </c>
      <c r="J208" s="1">
        <v>19</v>
      </c>
      <c r="K208" s="1">
        <v>58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200</v>
      </c>
      <c r="R208" s="1" t="s">
        <v>4677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80102</v>
      </c>
      <c r="B209" s="1">
        <v>801</v>
      </c>
      <c r="C209" s="1">
        <v>2</v>
      </c>
      <c r="D209" s="1">
        <v>1</v>
      </c>
      <c r="E209" s="1">
        <v>0</v>
      </c>
      <c r="F209" s="1">
        <v>1</v>
      </c>
      <c r="G209" s="1">
        <v>331</v>
      </c>
      <c r="H209" s="1">
        <v>72</v>
      </c>
      <c r="I209" s="1">
        <v>36</v>
      </c>
      <c r="J209" s="1">
        <v>29</v>
      </c>
      <c r="K209" s="1">
        <v>58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200</v>
      </c>
      <c r="R209" s="1" t="s">
        <v>4677</v>
      </c>
      <c r="S209" s="1">
        <v>3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80103</v>
      </c>
      <c r="B210" s="1">
        <v>801</v>
      </c>
      <c r="C210" s="1">
        <v>3</v>
      </c>
      <c r="D210" s="1">
        <v>1</v>
      </c>
      <c r="E210" s="1">
        <v>0</v>
      </c>
      <c r="F210" s="1">
        <v>1</v>
      </c>
      <c r="G210" s="1">
        <v>331</v>
      </c>
      <c r="H210" s="1">
        <v>72</v>
      </c>
      <c r="I210" s="1">
        <v>42</v>
      </c>
      <c r="J210" s="1">
        <v>29</v>
      </c>
      <c r="K210" s="1">
        <v>73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200</v>
      </c>
      <c r="R210" s="1" t="s">
        <v>4677</v>
      </c>
      <c r="S210" s="1">
        <v>3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80104</v>
      </c>
      <c r="B211" s="1">
        <v>801</v>
      </c>
      <c r="C211" s="1">
        <v>4</v>
      </c>
      <c r="D211" s="1">
        <v>1</v>
      </c>
      <c r="E211" s="1">
        <v>2</v>
      </c>
      <c r="F211" s="1">
        <v>1</v>
      </c>
      <c r="G211" s="1">
        <v>331</v>
      </c>
      <c r="H211" s="1">
        <v>72</v>
      </c>
      <c r="I211" s="1">
        <v>42</v>
      </c>
      <c r="J211" s="1">
        <v>29</v>
      </c>
      <c r="K211" s="1">
        <v>73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200</v>
      </c>
      <c r="R211" s="1" t="s">
        <v>4677</v>
      </c>
      <c r="S211" s="1">
        <v>3</v>
      </c>
      <c r="T211" s="1">
        <v>0</v>
      </c>
      <c r="U211" s="1">
        <v>0</v>
      </c>
      <c r="V211" s="1">
        <v>30007</v>
      </c>
      <c r="W211" s="1">
        <v>0</v>
      </c>
      <c r="X211" s="1">
        <v>0</v>
      </c>
    </row>
    <row r="212" spans="1:24" x14ac:dyDescent="0.25">
      <c r="A212" s="1">
        <v>80200</v>
      </c>
      <c r="B212" s="1">
        <v>802</v>
      </c>
      <c r="C212" s="1">
        <v>0</v>
      </c>
      <c r="D212" s="1">
        <v>0</v>
      </c>
      <c r="E212" s="1">
        <v>0</v>
      </c>
      <c r="F212" s="1">
        <v>1</v>
      </c>
      <c r="G212" s="1">
        <v>319</v>
      </c>
      <c r="H212" s="1">
        <v>42</v>
      </c>
      <c r="I212" s="1">
        <v>32</v>
      </c>
      <c r="J212" s="1">
        <v>31</v>
      </c>
      <c r="K212" s="1">
        <v>42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4778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80201</v>
      </c>
      <c r="B213" s="1">
        <v>802</v>
      </c>
      <c r="C213" s="1">
        <v>1</v>
      </c>
      <c r="D213" s="1">
        <v>1</v>
      </c>
      <c r="E213" s="1">
        <v>0</v>
      </c>
      <c r="F213" s="1">
        <v>1</v>
      </c>
      <c r="G213" s="1">
        <v>319</v>
      </c>
      <c r="H213" s="1">
        <v>42</v>
      </c>
      <c r="I213" s="1">
        <v>32</v>
      </c>
      <c r="J213" s="1">
        <v>31</v>
      </c>
      <c r="K213" s="1">
        <v>42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200</v>
      </c>
      <c r="R213" s="1" t="s">
        <v>4597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80202</v>
      </c>
      <c r="B214" s="1">
        <v>802</v>
      </c>
      <c r="C214" s="1">
        <v>2</v>
      </c>
      <c r="D214" s="1">
        <v>1</v>
      </c>
      <c r="E214" s="1">
        <v>0</v>
      </c>
      <c r="F214" s="1">
        <v>1</v>
      </c>
      <c r="G214" s="1">
        <v>319</v>
      </c>
      <c r="H214" s="1">
        <v>82</v>
      </c>
      <c r="I214" s="1">
        <v>32</v>
      </c>
      <c r="J214" s="1">
        <v>31</v>
      </c>
      <c r="K214" s="1">
        <v>42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200</v>
      </c>
      <c r="R214" s="1" t="s">
        <v>4597</v>
      </c>
      <c r="S214" s="1">
        <v>0</v>
      </c>
      <c r="T214" s="1">
        <v>2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80203</v>
      </c>
      <c r="B215" s="1">
        <v>802</v>
      </c>
      <c r="C215" s="1">
        <v>3</v>
      </c>
      <c r="D215" s="1">
        <v>1</v>
      </c>
      <c r="E215" s="1">
        <v>0</v>
      </c>
      <c r="F215" s="1">
        <v>1</v>
      </c>
      <c r="G215" s="1">
        <v>439</v>
      </c>
      <c r="H215" s="1">
        <v>82</v>
      </c>
      <c r="I215" s="1">
        <v>32</v>
      </c>
      <c r="J215" s="1">
        <v>31</v>
      </c>
      <c r="K215" s="1">
        <v>57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200</v>
      </c>
      <c r="R215" s="1" t="s">
        <v>4597</v>
      </c>
      <c r="S215" s="1">
        <v>0</v>
      </c>
      <c r="T215" s="1">
        <v>2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80204</v>
      </c>
      <c r="B216" s="1">
        <v>802</v>
      </c>
      <c r="C216" s="1">
        <v>4</v>
      </c>
      <c r="D216" s="1">
        <v>1</v>
      </c>
      <c r="E216" s="1">
        <v>3</v>
      </c>
      <c r="F216" s="1">
        <v>1</v>
      </c>
      <c r="G216" s="1">
        <v>439</v>
      </c>
      <c r="H216" s="1">
        <v>82</v>
      </c>
      <c r="I216" s="1">
        <v>32</v>
      </c>
      <c r="J216" s="1">
        <v>31</v>
      </c>
      <c r="K216" s="1">
        <v>57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200</v>
      </c>
      <c r="R216" s="1" t="s">
        <v>4597</v>
      </c>
      <c r="S216" s="1">
        <v>0</v>
      </c>
      <c r="T216" s="1">
        <v>2</v>
      </c>
      <c r="U216" s="1">
        <v>0</v>
      </c>
      <c r="V216" s="1">
        <v>0</v>
      </c>
      <c r="W216" s="1">
        <v>600308</v>
      </c>
      <c r="X216" s="1">
        <v>0</v>
      </c>
    </row>
    <row r="217" spans="1:24" x14ac:dyDescent="0.25">
      <c r="A217" s="1">
        <v>80300</v>
      </c>
      <c r="B217" s="1">
        <v>803</v>
      </c>
      <c r="C217" s="1">
        <v>0</v>
      </c>
      <c r="D217" s="1">
        <v>0</v>
      </c>
      <c r="E217" s="1">
        <v>0</v>
      </c>
      <c r="F217" s="1">
        <v>1</v>
      </c>
      <c r="G217" s="1">
        <v>348</v>
      </c>
      <c r="H217" s="1">
        <v>57</v>
      </c>
      <c r="I217" s="1">
        <v>39</v>
      </c>
      <c r="J217" s="1">
        <v>17</v>
      </c>
      <c r="K217" s="1">
        <v>32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4779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80301</v>
      </c>
      <c r="B218" s="1">
        <v>803</v>
      </c>
      <c r="C218" s="1">
        <v>1</v>
      </c>
      <c r="D218" s="1">
        <v>1</v>
      </c>
      <c r="E218" s="1">
        <v>0</v>
      </c>
      <c r="F218" s="1">
        <v>1</v>
      </c>
      <c r="G218" s="1">
        <v>348</v>
      </c>
      <c r="H218" s="1">
        <v>57</v>
      </c>
      <c r="I218" s="1">
        <v>39</v>
      </c>
      <c r="J218" s="1">
        <v>17</v>
      </c>
      <c r="K218" s="1">
        <v>32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200</v>
      </c>
      <c r="R218" s="1" t="s">
        <v>4646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80302</v>
      </c>
      <c r="B219" s="1">
        <v>803</v>
      </c>
      <c r="C219" s="1">
        <v>2</v>
      </c>
      <c r="D219" s="1">
        <v>1</v>
      </c>
      <c r="E219" s="1">
        <v>0</v>
      </c>
      <c r="F219" s="1">
        <v>1</v>
      </c>
      <c r="G219" s="1">
        <v>348</v>
      </c>
      <c r="H219" s="1">
        <v>77</v>
      </c>
      <c r="I219" s="1">
        <v>39</v>
      </c>
      <c r="J219" s="1">
        <v>17</v>
      </c>
      <c r="K219" s="1">
        <v>47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200</v>
      </c>
      <c r="R219" s="1" t="s">
        <v>4646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80303</v>
      </c>
      <c r="B220" s="1">
        <v>803</v>
      </c>
      <c r="C220" s="1">
        <v>3</v>
      </c>
      <c r="D220" s="1">
        <v>1</v>
      </c>
      <c r="E220" s="1">
        <v>0</v>
      </c>
      <c r="F220" s="1">
        <v>1</v>
      </c>
      <c r="G220" s="1">
        <v>348</v>
      </c>
      <c r="H220" s="1">
        <v>77</v>
      </c>
      <c r="I220" s="1">
        <v>39</v>
      </c>
      <c r="J220" s="1">
        <v>33</v>
      </c>
      <c r="K220" s="1">
        <v>63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200</v>
      </c>
      <c r="R220" s="1" t="s">
        <v>4646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80304</v>
      </c>
      <c r="B221" s="1">
        <v>803</v>
      </c>
      <c r="C221" s="1">
        <v>4</v>
      </c>
      <c r="D221" s="1">
        <v>1</v>
      </c>
      <c r="E221" s="1">
        <v>4</v>
      </c>
      <c r="F221" s="1">
        <v>1</v>
      </c>
      <c r="G221" s="1">
        <v>348</v>
      </c>
      <c r="H221" s="1">
        <v>77</v>
      </c>
      <c r="I221" s="1">
        <v>39</v>
      </c>
      <c r="J221" s="1">
        <v>33</v>
      </c>
      <c r="K221" s="1">
        <v>63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200</v>
      </c>
      <c r="R221" s="1" t="s">
        <v>4646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900598</v>
      </c>
    </row>
    <row r="222" spans="1:24" x14ac:dyDescent="0.25">
      <c r="A222" s="1">
        <v>80400</v>
      </c>
      <c r="B222" s="1">
        <v>804</v>
      </c>
      <c r="C222" s="1">
        <v>0</v>
      </c>
      <c r="D222" s="1">
        <v>0</v>
      </c>
      <c r="E222" s="1">
        <v>0</v>
      </c>
      <c r="F222" s="1">
        <v>1</v>
      </c>
      <c r="G222" s="1">
        <v>44</v>
      </c>
      <c r="H222" s="1">
        <v>8</v>
      </c>
      <c r="I222" s="1">
        <v>32</v>
      </c>
      <c r="J222" s="1">
        <v>31</v>
      </c>
      <c r="K222" s="1">
        <v>46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330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80401</v>
      </c>
      <c r="B223" s="1">
        <v>804</v>
      </c>
      <c r="C223" s="1">
        <v>1</v>
      </c>
      <c r="D223" s="1">
        <v>1</v>
      </c>
      <c r="E223" s="1">
        <v>0</v>
      </c>
      <c r="F223" s="1">
        <v>2</v>
      </c>
      <c r="G223" s="1">
        <v>44</v>
      </c>
      <c r="H223" s="1">
        <v>8</v>
      </c>
      <c r="I223" s="1">
        <v>32</v>
      </c>
      <c r="J223" s="1">
        <v>31</v>
      </c>
      <c r="K223" s="1">
        <v>46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330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80402</v>
      </c>
      <c r="B224" s="1">
        <v>804</v>
      </c>
      <c r="C224" s="1">
        <v>2</v>
      </c>
      <c r="D224" s="1">
        <v>1</v>
      </c>
      <c r="E224" s="1">
        <v>0</v>
      </c>
      <c r="F224" s="1">
        <v>3</v>
      </c>
      <c r="G224" s="1">
        <v>44</v>
      </c>
      <c r="H224" s="1">
        <v>8</v>
      </c>
      <c r="I224" s="1">
        <v>32</v>
      </c>
      <c r="J224" s="1">
        <v>31</v>
      </c>
      <c r="K224" s="1">
        <v>46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330</v>
      </c>
      <c r="S224" s="1">
        <v>0</v>
      </c>
      <c r="T224" s="1">
        <v>1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80403</v>
      </c>
      <c r="B225" s="1">
        <v>804</v>
      </c>
      <c r="C225" s="1">
        <v>3</v>
      </c>
      <c r="D225" s="1">
        <v>1</v>
      </c>
      <c r="E225" s="1">
        <v>3</v>
      </c>
      <c r="F225" s="1">
        <v>4</v>
      </c>
      <c r="G225" s="1">
        <v>44</v>
      </c>
      <c r="H225" s="1">
        <v>8</v>
      </c>
      <c r="I225" s="1">
        <v>32</v>
      </c>
      <c r="J225" s="1">
        <v>31</v>
      </c>
      <c r="K225" s="1">
        <v>46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330</v>
      </c>
      <c r="S225" s="1">
        <v>0</v>
      </c>
      <c r="T225" s="1">
        <v>1</v>
      </c>
      <c r="U225" s="1">
        <v>0</v>
      </c>
      <c r="V225" s="1">
        <v>0</v>
      </c>
      <c r="W225" s="1">
        <v>900526</v>
      </c>
      <c r="X225" s="1">
        <v>0</v>
      </c>
    </row>
    <row r="226" spans="1:24" x14ac:dyDescent="0.25">
      <c r="A226" s="1">
        <v>80404</v>
      </c>
      <c r="B226" s="1">
        <v>804</v>
      </c>
      <c r="C226" s="1">
        <v>4</v>
      </c>
      <c r="D226" s="1">
        <v>1</v>
      </c>
      <c r="E226" s="1">
        <v>4</v>
      </c>
      <c r="F226" s="1">
        <v>5</v>
      </c>
      <c r="G226" s="1">
        <v>44</v>
      </c>
      <c r="H226" s="1">
        <v>8</v>
      </c>
      <c r="I226" s="1">
        <v>32</v>
      </c>
      <c r="J226" s="1">
        <v>31</v>
      </c>
      <c r="K226" s="1">
        <v>46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330</v>
      </c>
      <c r="S226" s="1">
        <v>0</v>
      </c>
      <c r="T226" s="1">
        <v>1</v>
      </c>
      <c r="U226" s="1">
        <v>0</v>
      </c>
      <c r="V226" s="1">
        <v>0</v>
      </c>
      <c r="W226" s="1">
        <v>900526</v>
      </c>
      <c r="X226" s="1">
        <v>900598</v>
      </c>
    </row>
    <row r="227" spans="1:24" x14ac:dyDescent="0.25">
      <c r="A227" s="1">
        <v>80500</v>
      </c>
      <c r="B227" s="1">
        <v>805</v>
      </c>
      <c r="C227" s="1">
        <v>0</v>
      </c>
      <c r="D227" s="1">
        <v>0</v>
      </c>
      <c r="E227" s="1">
        <v>0</v>
      </c>
      <c r="F227" s="1">
        <v>1</v>
      </c>
      <c r="G227" s="1">
        <v>58</v>
      </c>
      <c r="H227" s="1">
        <v>10</v>
      </c>
      <c r="I227" s="1">
        <v>41</v>
      </c>
      <c r="J227" s="1">
        <v>18</v>
      </c>
      <c r="K227" s="1">
        <v>68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330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80501</v>
      </c>
      <c r="B228" s="1">
        <v>805</v>
      </c>
      <c r="C228" s="1">
        <v>1</v>
      </c>
      <c r="D228" s="1">
        <v>1</v>
      </c>
      <c r="E228" s="1">
        <v>0</v>
      </c>
      <c r="F228" s="1">
        <v>2</v>
      </c>
      <c r="G228" s="1">
        <v>58</v>
      </c>
      <c r="H228" s="1">
        <v>10</v>
      </c>
      <c r="I228" s="1">
        <v>41</v>
      </c>
      <c r="J228" s="1">
        <v>18</v>
      </c>
      <c r="K228" s="1">
        <v>68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 t="s">
        <v>330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80502</v>
      </c>
      <c r="B229" s="1">
        <v>805</v>
      </c>
      <c r="C229" s="1">
        <v>2</v>
      </c>
      <c r="D229" s="1">
        <v>1</v>
      </c>
      <c r="E229" s="1">
        <v>0</v>
      </c>
      <c r="F229" s="1">
        <v>3</v>
      </c>
      <c r="G229" s="1">
        <v>58</v>
      </c>
      <c r="H229" s="1">
        <v>10</v>
      </c>
      <c r="I229" s="1">
        <v>41</v>
      </c>
      <c r="J229" s="1">
        <v>18</v>
      </c>
      <c r="K229" s="1">
        <v>68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0</v>
      </c>
      <c r="R229" s="1" t="s">
        <v>330</v>
      </c>
      <c r="S229" s="1">
        <v>0</v>
      </c>
      <c r="T229" s="1">
        <v>1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80503</v>
      </c>
      <c r="B230" s="1">
        <v>805</v>
      </c>
      <c r="C230" s="1">
        <v>3</v>
      </c>
      <c r="D230" s="1">
        <v>1</v>
      </c>
      <c r="E230" s="1">
        <v>0</v>
      </c>
      <c r="F230" s="1">
        <v>4</v>
      </c>
      <c r="G230" s="1">
        <v>58</v>
      </c>
      <c r="H230" s="1">
        <v>10</v>
      </c>
      <c r="I230" s="1">
        <v>41</v>
      </c>
      <c r="J230" s="1">
        <v>18</v>
      </c>
      <c r="K230" s="1">
        <v>68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0</v>
      </c>
      <c r="R230" s="1" t="s">
        <v>330</v>
      </c>
      <c r="S230" s="1">
        <v>0</v>
      </c>
      <c r="T230" s="1">
        <v>1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80504</v>
      </c>
      <c r="B231" s="1">
        <v>805</v>
      </c>
      <c r="C231" s="1">
        <v>4</v>
      </c>
      <c r="D231" s="1">
        <v>1</v>
      </c>
      <c r="E231" s="1">
        <v>4</v>
      </c>
      <c r="F231" s="1">
        <v>5</v>
      </c>
      <c r="G231" s="1">
        <v>58</v>
      </c>
      <c r="H231" s="1">
        <v>10</v>
      </c>
      <c r="I231" s="1">
        <v>41</v>
      </c>
      <c r="J231" s="1">
        <v>18</v>
      </c>
      <c r="K231" s="1">
        <v>68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0</v>
      </c>
      <c r="R231" s="1" t="s">
        <v>330</v>
      </c>
      <c r="S231" s="1">
        <v>0</v>
      </c>
      <c r="T231" s="1">
        <v>1</v>
      </c>
      <c r="U231" s="1">
        <v>0</v>
      </c>
      <c r="V231" s="1">
        <v>0</v>
      </c>
      <c r="W231" s="1">
        <v>0</v>
      </c>
      <c r="X231" s="1">
        <v>600308</v>
      </c>
    </row>
    <row r="232" spans="1:24" x14ac:dyDescent="0.25">
      <c r="A232" s="1">
        <v>80600</v>
      </c>
      <c r="B232" s="1">
        <v>806</v>
      </c>
      <c r="C232" s="1">
        <v>0</v>
      </c>
      <c r="D232" s="1">
        <v>0</v>
      </c>
      <c r="E232" s="1">
        <v>0</v>
      </c>
      <c r="F232" s="1">
        <v>1</v>
      </c>
      <c r="G232" s="1">
        <v>23</v>
      </c>
      <c r="H232" s="1">
        <v>17</v>
      </c>
      <c r="I232" s="1">
        <v>44</v>
      </c>
      <c r="J232" s="1">
        <v>34</v>
      </c>
      <c r="K232" s="1">
        <v>57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330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80601</v>
      </c>
      <c r="B233" s="1">
        <v>806</v>
      </c>
      <c r="C233" s="1">
        <v>1</v>
      </c>
      <c r="D233" s="1">
        <v>1</v>
      </c>
      <c r="E233" s="1">
        <v>0</v>
      </c>
      <c r="F233" s="1">
        <v>2</v>
      </c>
      <c r="G233" s="1">
        <v>23</v>
      </c>
      <c r="H233" s="1">
        <v>17</v>
      </c>
      <c r="I233" s="1">
        <v>44</v>
      </c>
      <c r="J233" s="1">
        <v>34</v>
      </c>
      <c r="K233" s="1">
        <v>57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 t="s">
        <v>330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80602</v>
      </c>
      <c r="B234" s="1">
        <v>806</v>
      </c>
      <c r="C234" s="1">
        <v>2</v>
      </c>
      <c r="D234" s="1">
        <v>1</v>
      </c>
      <c r="E234" s="1">
        <v>0</v>
      </c>
      <c r="F234" s="1">
        <v>3</v>
      </c>
      <c r="G234" s="1">
        <v>23</v>
      </c>
      <c r="H234" s="1">
        <v>17</v>
      </c>
      <c r="I234" s="1">
        <v>44</v>
      </c>
      <c r="J234" s="1">
        <v>34</v>
      </c>
      <c r="K234" s="1">
        <v>57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 t="s">
        <v>330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80603</v>
      </c>
      <c r="B235" s="1">
        <v>806</v>
      </c>
      <c r="C235" s="1">
        <v>3</v>
      </c>
      <c r="D235" s="1">
        <v>1</v>
      </c>
      <c r="E235" s="1">
        <v>0</v>
      </c>
      <c r="F235" s="1">
        <v>4</v>
      </c>
      <c r="G235" s="1">
        <v>23</v>
      </c>
      <c r="H235" s="1">
        <v>17</v>
      </c>
      <c r="I235" s="1">
        <v>44</v>
      </c>
      <c r="J235" s="1">
        <v>34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 t="s">
        <v>330</v>
      </c>
      <c r="S235" s="1">
        <v>0</v>
      </c>
      <c r="T235" s="1">
        <v>0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80604</v>
      </c>
      <c r="B236" s="1">
        <v>806</v>
      </c>
      <c r="C236" s="1">
        <v>4</v>
      </c>
      <c r="D236" s="1">
        <v>1</v>
      </c>
      <c r="E236" s="1">
        <v>0</v>
      </c>
      <c r="F236" s="1">
        <v>5</v>
      </c>
      <c r="G236" s="1">
        <v>23</v>
      </c>
      <c r="H236" s="1">
        <v>17</v>
      </c>
      <c r="I236" s="1">
        <v>44</v>
      </c>
      <c r="J236" s="1">
        <v>34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 t="s">
        <v>330</v>
      </c>
      <c r="S236" s="1">
        <v>0</v>
      </c>
      <c r="T236" s="1">
        <v>0</v>
      </c>
      <c r="U236" s="1">
        <v>0</v>
      </c>
      <c r="V236" s="1">
        <v>0</v>
      </c>
      <c r="W236" s="1">
        <v>0</v>
      </c>
      <c r="X236" s="1">
        <v>0</v>
      </c>
    </row>
    <row r="237" spans="1:24" x14ac:dyDescent="0.25">
      <c r="A237" s="1">
        <v>80700</v>
      </c>
      <c r="B237" s="1">
        <v>807</v>
      </c>
      <c r="C237" s="1">
        <v>0</v>
      </c>
      <c r="D237" s="1">
        <v>0</v>
      </c>
      <c r="E237" s="1">
        <v>0</v>
      </c>
      <c r="F237" s="1">
        <v>1</v>
      </c>
      <c r="G237" s="1">
        <v>23</v>
      </c>
      <c r="H237" s="1">
        <v>17</v>
      </c>
      <c r="I237" s="1">
        <v>44</v>
      </c>
      <c r="J237" s="1">
        <v>34</v>
      </c>
      <c r="K237" s="1">
        <v>57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330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80701</v>
      </c>
      <c r="B238" s="1">
        <v>807</v>
      </c>
      <c r="C238" s="1">
        <v>1</v>
      </c>
      <c r="D238" s="1">
        <v>1</v>
      </c>
      <c r="E238" s="1">
        <v>0</v>
      </c>
      <c r="F238" s="1">
        <v>2</v>
      </c>
      <c r="G238" s="1">
        <v>23</v>
      </c>
      <c r="H238" s="1">
        <v>17</v>
      </c>
      <c r="I238" s="1">
        <v>44</v>
      </c>
      <c r="J238" s="1">
        <v>34</v>
      </c>
      <c r="K238" s="1">
        <v>57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 t="s">
        <v>330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80702</v>
      </c>
      <c r="B239" s="1">
        <v>807</v>
      </c>
      <c r="C239" s="1">
        <v>2</v>
      </c>
      <c r="D239" s="1">
        <v>1</v>
      </c>
      <c r="E239" s="1">
        <v>0</v>
      </c>
      <c r="F239" s="1">
        <v>3</v>
      </c>
      <c r="G239" s="1">
        <v>23</v>
      </c>
      <c r="H239" s="1">
        <v>17</v>
      </c>
      <c r="I239" s="1">
        <v>44</v>
      </c>
      <c r="J239" s="1">
        <v>34</v>
      </c>
      <c r="K239" s="1">
        <v>57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 t="s">
        <v>330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80703</v>
      </c>
      <c r="B240" s="1">
        <v>807</v>
      </c>
      <c r="C240" s="1">
        <v>3</v>
      </c>
      <c r="D240" s="1">
        <v>1</v>
      </c>
      <c r="E240" s="1">
        <v>0</v>
      </c>
      <c r="F240" s="1">
        <v>4</v>
      </c>
      <c r="G240" s="1">
        <v>23</v>
      </c>
      <c r="H240" s="1">
        <v>17</v>
      </c>
      <c r="I240" s="1">
        <v>44</v>
      </c>
      <c r="J240" s="1">
        <v>34</v>
      </c>
      <c r="K240" s="1">
        <v>57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 t="s">
        <v>330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80704</v>
      </c>
      <c r="B241" s="1">
        <v>807</v>
      </c>
      <c r="C241" s="1">
        <v>4</v>
      </c>
      <c r="D241" s="1">
        <v>1</v>
      </c>
      <c r="E241" s="1">
        <v>0</v>
      </c>
      <c r="F241" s="1">
        <v>5</v>
      </c>
      <c r="G241" s="1">
        <v>23</v>
      </c>
      <c r="H241" s="1">
        <v>17</v>
      </c>
      <c r="I241" s="1">
        <v>44</v>
      </c>
      <c r="J241" s="1">
        <v>34</v>
      </c>
      <c r="K241" s="1">
        <v>57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 t="s">
        <v>330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</row>
    <row r="242" spans="1:24" x14ac:dyDescent="0.25">
      <c r="A242" s="1">
        <v>80800</v>
      </c>
      <c r="B242" s="1">
        <v>808</v>
      </c>
      <c r="C242" s="1">
        <v>0</v>
      </c>
      <c r="D242" s="1">
        <v>0</v>
      </c>
      <c r="E242" s="1">
        <v>0</v>
      </c>
      <c r="F242" s="1">
        <v>1</v>
      </c>
      <c r="G242" s="1">
        <v>23</v>
      </c>
      <c r="H242" s="1">
        <v>18</v>
      </c>
      <c r="I242" s="1">
        <v>44</v>
      </c>
      <c r="J242" s="1">
        <v>36</v>
      </c>
      <c r="K242" s="1">
        <v>30</v>
      </c>
      <c r="L242" s="1">
        <v>10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330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80801</v>
      </c>
      <c r="B243" s="1">
        <v>808</v>
      </c>
      <c r="C243" s="1">
        <v>1</v>
      </c>
      <c r="D243" s="1">
        <v>1</v>
      </c>
      <c r="E243" s="1">
        <v>0</v>
      </c>
      <c r="F243" s="1">
        <v>2</v>
      </c>
      <c r="G243" s="1">
        <v>23</v>
      </c>
      <c r="H243" s="1">
        <v>18</v>
      </c>
      <c r="I243" s="1">
        <v>44</v>
      </c>
      <c r="J243" s="1">
        <v>36</v>
      </c>
      <c r="K243" s="1">
        <v>30</v>
      </c>
      <c r="L243" s="1">
        <v>10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330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80802</v>
      </c>
      <c r="B244" s="1">
        <v>808</v>
      </c>
      <c r="C244" s="1">
        <v>2</v>
      </c>
      <c r="D244" s="1">
        <v>1</v>
      </c>
      <c r="E244" s="1">
        <v>0</v>
      </c>
      <c r="F244" s="1">
        <v>3</v>
      </c>
      <c r="G244" s="1">
        <v>23</v>
      </c>
      <c r="H244" s="1">
        <v>18</v>
      </c>
      <c r="I244" s="1">
        <v>44</v>
      </c>
      <c r="J244" s="1">
        <v>36</v>
      </c>
      <c r="K244" s="1">
        <v>30</v>
      </c>
      <c r="L244" s="1">
        <v>10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330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80803</v>
      </c>
      <c r="B245" s="1">
        <v>808</v>
      </c>
      <c r="C245" s="1">
        <v>3</v>
      </c>
      <c r="D245" s="1">
        <v>1</v>
      </c>
      <c r="E245" s="1">
        <v>0</v>
      </c>
      <c r="F245" s="1">
        <v>4</v>
      </c>
      <c r="G245" s="1">
        <v>23</v>
      </c>
      <c r="H245" s="1">
        <v>18</v>
      </c>
      <c r="I245" s="1">
        <v>44</v>
      </c>
      <c r="J245" s="1">
        <v>36</v>
      </c>
      <c r="K245" s="1">
        <v>30</v>
      </c>
      <c r="L245" s="1">
        <v>10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330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</row>
    <row r="246" spans="1:24" x14ac:dyDescent="0.25">
      <c r="A246" s="1">
        <v>80804</v>
      </c>
      <c r="B246" s="1">
        <v>808</v>
      </c>
      <c r="C246" s="1">
        <v>4</v>
      </c>
      <c r="D246" s="1">
        <v>1</v>
      </c>
      <c r="E246" s="1">
        <v>0</v>
      </c>
      <c r="F246" s="1">
        <v>5</v>
      </c>
      <c r="G246" s="1">
        <v>23</v>
      </c>
      <c r="H246" s="1">
        <v>18</v>
      </c>
      <c r="I246" s="1">
        <v>44</v>
      </c>
      <c r="J246" s="1">
        <v>36</v>
      </c>
      <c r="K246" s="1">
        <v>30</v>
      </c>
      <c r="L246" s="1">
        <v>10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330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</row>
  </sheetData>
  <autoFilter ref="A1:X246" xr:uid="{8FF13B79-9497-42BB-B50C-F41909FFCFDA}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workbookViewId="0">
      <pane ySplit="2" topLeftCell="A3" activePane="bottomLeft" state="frozen"/>
      <selection activeCell="A10" sqref="A10"/>
      <selection pane="bottomLeft" sqref="A1:C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42" t="s">
        <v>771</v>
      </c>
      <c r="B1" s="242"/>
      <c r="C1" s="242"/>
      <c r="E1" s="242" t="s">
        <v>772</v>
      </c>
      <c r="F1" s="242"/>
      <c r="G1" s="242"/>
      <c r="I1" s="242" t="s">
        <v>877</v>
      </c>
      <c r="J1" s="242"/>
      <c r="K1" s="242"/>
      <c r="M1" s="242" t="s">
        <v>1080</v>
      </c>
      <c r="N1" s="242"/>
      <c r="O1" s="242"/>
      <c r="Q1" s="243" t="s">
        <v>773</v>
      </c>
      <c r="R1" s="243"/>
      <c r="S1" s="243"/>
      <c r="T1" s="243"/>
      <c r="U1" s="243"/>
      <c r="V1" s="243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768</v>
      </c>
      <c r="R2" s="49">
        <v>2</v>
      </c>
      <c r="S2" s="49">
        <v>3</v>
      </c>
      <c r="T2" s="49">
        <v>4</v>
      </c>
      <c r="U2" s="49">
        <v>5</v>
      </c>
      <c r="V2" s="49" t="s">
        <v>707</v>
      </c>
    </row>
    <row r="3" spans="1:22" x14ac:dyDescent="0.25">
      <c r="A3" s="47">
        <v>1</v>
      </c>
      <c r="B3" s="44">
        <v>0</v>
      </c>
      <c r="C3" s="104">
        <v>100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200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400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700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1100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1600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2200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2900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3700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4600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5600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6700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7900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9200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10600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12100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13700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15400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17200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19100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21100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23200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25400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27700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30100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32600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35200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38000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41100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44500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48700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53300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58300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63700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69500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75800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82500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89700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97400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105600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114400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123700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133600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144100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155200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167000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179500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192600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206500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221100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236500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252600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269500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17700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779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5">
    <mergeCell ref="A1:C1"/>
    <mergeCell ref="E1:G1"/>
    <mergeCell ref="Q1:V1"/>
    <mergeCell ref="I1:K1"/>
    <mergeCell ref="M1:O1"/>
  </mergeCells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6"/>
  <sheetViews>
    <sheetView topLeftCell="A42" workbookViewId="0">
      <selection activeCell="C46" sqref="C46"/>
    </sheetView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788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789</v>
      </c>
    </row>
    <row r="8" spans="2:11" customFormat="1" x14ac:dyDescent="0.25">
      <c r="B8" s="16" t="s">
        <v>978</v>
      </c>
      <c r="C8" t="s">
        <v>980</v>
      </c>
      <c r="G8" s="131" t="s">
        <v>957</v>
      </c>
      <c r="H8" s="132" t="s">
        <v>958</v>
      </c>
    </row>
    <row r="9" spans="2:11" customFormat="1" x14ac:dyDescent="0.25">
      <c r="B9" t="s">
        <v>973</v>
      </c>
      <c r="C9" t="s">
        <v>963</v>
      </c>
      <c r="G9" s="133" t="str">
        <f>IFERROR(INDEX('Strat Buff Data'!B:B,MATCH(Main!$B72,'Strat Buff Data'!$A:$A,0)),"N/A")</f>
        <v>N/A</v>
      </c>
      <c r="H9" s="134" t="str">
        <f>IFERROR(INDEX('Strat Buff Data'!C:C,MATCH(Main!$B72,'Strat Buff Data'!$A:$A,0)),"N/A")</f>
        <v>N/A</v>
      </c>
      <c r="K9" s="1"/>
    </row>
    <row r="10" spans="2:11" customFormat="1" x14ac:dyDescent="0.25">
      <c r="B10" t="s">
        <v>974</v>
      </c>
      <c r="C10" t="s">
        <v>964</v>
      </c>
      <c r="G10" s="133" t="str">
        <f>IFERROR(INDEX('Strat Buff Data'!B:B,MATCH(Main!$B73,'Strat Buff Data'!$A:$A,0)),"N/A")</f>
        <v>N/A</v>
      </c>
      <c r="H10" s="134" t="str">
        <f>IFERROR(INDEX('Strat Buff Data'!C:C,MATCH(Main!$B73,'Strat Buff Data'!$A:$A,0)),"N/A")</f>
        <v>N/A</v>
      </c>
      <c r="K10" s="1"/>
    </row>
    <row r="11" spans="2:11" customFormat="1" x14ac:dyDescent="0.25">
      <c r="B11" t="s">
        <v>975</v>
      </c>
      <c r="C11" t="s">
        <v>965</v>
      </c>
      <c r="G11" s="135" t="str">
        <f>IFERROR(INDEX('Strat Buff Data'!B:B,MATCH(Main!$B74,'Strat Buff Data'!$A:$A,0)),"N/A")</f>
        <v>N/A</v>
      </c>
      <c r="H11" s="136" t="str">
        <f>IFERROR(INDEX('Strat Buff Data'!C:C,MATCH(Main!$B74,'Strat Buff Data'!$A:$A,0)),"N/A")</f>
        <v>N/A</v>
      </c>
    </row>
    <row r="12" spans="2:11" customFormat="1" x14ac:dyDescent="0.25"/>
    <row r="13" spans="2:11" customFormat="1" x14ac:dyDescent="0.25">
      <c r="B13" t="s">
        <v>976</v>
      </c>
      <c r="C13" t="str">
        <f>INDEX($C$8:$C$11,COUNTA(Main!$B$72:$B$74)+1)</f>
        <v>"fairy_skill_on_team": "[]",</v>
      </c>
      <c r="K13" s="1"/>
    </row>
    <row r="14" spans="2:11" customFormat="1" x14ac:dyDescent="0.25">
      <c r="B14" t="s">
        <v>962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966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977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3" x14ac:dyDescent="0.25">
      <c r="A17"/>
      <c r="B17" s="9" t="s">
        <v>780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95" t="s">
        <v>791</v>
      </c>
    </row>
    <row r="20" spans="1:3" x14ac:dyDescent="0.25">
      <c r="A20"/>
      <c r="B20" t="s">
        <v>978</v>
      </c>
      <c r="C20" t="s">
        <v>979</v>
      </c>
    </row>
    <row r="21" spans="1:3" x14ac:dyDescent="0.25">
      <c r="A21"/>
      <c r="B21" t="s">
        <v>867</v>
      </c>
      <c r="C21" t="s">
        <v>868</v>
      </c>
    </row>
    <row r="22" spans="1:3" x14ac:dyDescent="0.25">
      <c r="A22"/>
      <c r="B22" t="s">
        <v>981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95" t="s">
        <v>982</v>
      </c>
    </row>
    <row r="25" spans="1:3" x14ac:dyDescent="0.25">
      <c r="A25"/>
      <c r="B25" t="s">
        <v>978</v>
      </c>
      <c r="C25" t="s">
        <v>979</v>
      </c>
    </row>
    <row r="26" spans="1:3" x14ac:dyDescent="0.25">
      <c r="A26"/>
      <c r="B26" t="s">
        <v>867</v>
      </c>
      <c r="C26" t="s">
        <v>983</v>
      </c>
    </row>
    <row r="27" spans="1:3" x14ac:dyDescent="0.25">
      <c r="A27"/>
      <c r="B27" t="s">
        <v>981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985</v>
      </c>
      <c r="C28" t="str">
        <f>SUBSTITUTE(C27,1801,18&amp;TEXT(Main!C79,"00"))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3" x14ac:dyDescent="0.25">
      <c r="A29"/>
    </row>
    <row r="30" spans="1:3" s="153" customFormat="1" x14ac:dyDescent="0.25">
      <c r="B30" s="151" t="s">
        <v>866</v>
      </c>
      <c r="C30" s="152"/>
    </row>
    <row r="31" spans="1:3" s="153" customFormat="1" x14ac:dyDescent="0.25">
      <c r="B31" s="149" t="s">
        <v>776</v>
      </c>
      <c r="C31" s="150" t="str">
        <f ca="1">LEFT(CELL("filename",Main!$A$1),FIND("[",CELL("filename",Main!$A$1))-1)&amp;"Preset\gun_with_user_info.json"</f>
        <v>C:\Users\danny\Documents\GitHub\GFLBattleSim-JSONGenerator\Preset\gun_with_user_info.json</v>
      </c>
    </row>
    <row r="32" spans="1:3" s="153" customFormat="1" x14ac:dyDescent="0.25">
      <c r="B32" s="149" t="s">
        <v>777</v>
      </c>
      <c r="C32" s="150" t="str">
        <f ca="1">LEFT(CELL("filename",Main!$A$1),FIND("[",CELL("filename",Main!$A$1))-1)&amp;"Preset\equip_with_user_info.json"</f>
        <v>C:\Users\danny\Documents\GitHub\GFLBattleSim-JSONGenerator\Preset\equip_with_user_info.json</v>
      </c>
    </row>
    <row r="33" spans="2:3" s="153" customFormat="1" x14ac:dyDescent="0.25">
      <c r="B33" s="149" t="s">
        <v>897</v>
      </c>
      <c r="C33" s="150" t="str">
        <f ca="1">LEFT(CELL("filename",Main!$A$1),FIND("[",CELL("filename",Main!$A$1))-1)&amp;"Preset\squad_with_user_info.json"</f>
        <v>C:\Users\danny\Documents\GitHub\GFLBattleSim-JSONGenerator\Preset\squad_with_user_info.json</v>
      </c>
    </row>
    <row r="34" spans="2:3" s="153" customFormat="1" x14ac:dyDescent="0.25">
      <c r="B34" s="149" t="s">
        <v>898</v>
      </c>
      <c r="C34" s="150" t="str">
        <f ca="1">LEFT(CELL("filename",Main!$A$1),FIND("[",CELL("filename",Main!$A$1))-1)&amp;"Preset\chip_with_user_info.json"</f>
        <v>C:\Users\danny\Documents\GitHub\GFLBattleSim-JSONGenerator\Preset\chip_with_user_info.json</v>
      </c>
    </row>
    <row r="35" spans="2:3" s="153" customFormat="1" x14ac:dyDescent="0.25">
      <c r="B35" s="40" t="s">
        <v>778</v>
      </c>
      <c r="C35" s="150" t="str">
        <f ca="1">LEFT(CELL("filename",Main!$A$1),FIND("[",CELL("filename",Main!$A$1))-1)&amp;"Preset\fairy_with_user_info.json"</f>
        <v>C:\Users\danny\Documents\GitHub\GFLBattleSim-JSONGenerator\Preset\fairy_with_user_info.json</v>
      </c>
    </row>
    <row r="36" spans="2:3" s="153" customFormat="1" x14ac:dyDescent="0.25">
      <c r="B36" s="40" t="s">
        <v>781</v>
      </c>
      <c r="C36" s="150" t="str">
        <f ca="1">LEFT(CELL("filename",Main!$A$1),FIND("[",CELL("filename",Main!$A$1))-1)&amp;"Preset\"&amp;IF(DayNight="Day","battle_day\","battle_night_new\")&amp;"mission_act_info.json"</f>
        <v>C:\Users\danny\Documents\GitHub\GFLBattleSim-JSONGenerator\Preset\battle_night_new\mission_act_info.json</v>
      </c>
    </row>
    <row r="37" spans="2:3" s="153" customFormat="1" x14ac:dyDescent="0.25">
      <c r="B37" s="40" t="s">
        <v>1147</v>
      </c>
      <c r="C37" s="150" t="str">
        <f ca="1">LEFT(CELL("filename",Main!$A$1),FIND("[",CELL("filename",Main!$A$1))-1)&amp;"Preset\sangvis_with_user_info.json"</f>
        <v>C:\Users\danny\Documents\GitHub\GFLBattleSim-JSONGenerator\Preset\sangvis_with_user_info.json</v>
      </c>
    </row>
    <row r="38" spans="2:3" s="153" customFormat="1" x14ac:dyDescent="0.25">
      <c r="B38" s="40" t="s">
        <v>1148</v>
      </c>
      <c r="C38" s="150" t="str">
        <f ca="1">LEFT(CELL("filename",Main!$A$1),FIND("[",CELL("filename",Main!$A$1))-1)&amp;"Preset\sangvis_team_with_user_info.json"</f>
        <v>C:\Users\danny\Documents\GitHub\GFLBattleSim-JSONGenerator\Preset\sangvis_team_with_user_info.json</v>
      </c>
    </row>
    <row r="39" spans="2:3" s="153" customFormat="1" x14ac:dyDescent="0.25">
      <c r="B39" s="40" t="s">
        <v>1149</v>
      </c>
      <c r="C39" s="150" t="str">
        <f ca="1">LEFT(CELL("filename",Main!$A$1),FIND("[",CELL("filename",Main!$A$1))-1)&amp;"Preset\sangvis_chip_with_user_info.json"</f>
        <v>C:\Users\danny\Documents\GitHub\GFLBattleSim-JSONGenerator\Preset\sangvis_chip_with_user_info.json</v>
      </c>
    </row>
    <row r="40" spans="2:3" s="153" customFormat="1" x14ac:dyDescent="0.25">
      <c r="B40" s="40" t="s">
        <v>792</v>
      </c>
      <c r="C40" s="150" t="str">
        <f ca="1">LEFT(CELL("filename",Main!$A$1),FIND("[",CELL("filename",Main!$A$1))-1)&amp;"GFBattleSimulator.json"</f>
        <v>C:\Users\danny\Documents\GitHub\GFLBattleSim-JSONGenerator\GFBattleSimulator.json</v>
      </c>
    </row>
    <row r="41" spans="2:3" x14ac:dyDescent="0.25">
      <c r="B41" t="s">
        <v>1858</v>
      </c>
      <c r="C41" s="150" t="str">
        <f ca="1">LEFT(CELL("filename",Main!$A$1),FIND("[",CELL("filename",Main!$A$1))-1)&amp;"Preset\battle_day\spot_act_info.json"</f>
        <v>C:\Users\danny\Documents\GitHub\GFLBattleSim-JSONGenerator\Preset\battle_day\spot_act_info.json</v>
      </c>
    </row>
    <row r="42" spans="2:3" x14ac:dyDescent="0.25">
      <c r="B42" t="s">
        <v>1859</v>
      </c>
      <c r="C42" s="150" t="str">
        <f ca="1">LEFT(CELL("filename",Main!$A$1),FIND("[",CELL("filename",Main!$A$1))-1)&amp;"Preset\battle_night_new\spot_act_info.json"</f>
        <v>C:\Users\danny\Documents\GitHub\GFLBattleSim-JSONGenerator\Preset\battle_night_new\spot_act_info.json</v>
      </c>
    </row>
    <row r="44" spans="2:3" x14ac:dyDescent="0.25">
      <c r="B44" s="10" t="s">
        <v>5595</v>
      </c>
    </row>
    <row r="45" spans="2:3" x14ac:dyDescent="0.25">
      <c r="B45" t="s">
        <v>776</v>
      </c>
      <c r="C45" s="233" t="s">
        <v>5596</v>
      </c>
    </row>
    <row r="46" spans="2:3" x14ac:dyDescent="0.25">
      <c r="B46" t="s">
        <v>777</v>
      </c>
      <c r="C46" s="233" t="s">
        <v>5719</v>
      </c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X166"/>
  <sheetViews>
    <sheetView topLeftCell="AO1" workbookViewId="0">
      <pane ySplit="1" topLeftCell="A2" activePane="bottomLeft" state="frozen"/>
      <selection activeCell="AV3" sqref="AV3"/>
      <selection pane="bottomLeft" activeCell="AV1" sqref="AV1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</cols>
  <sheetData>
    <row r="1" spans="1:50" x14ac:dyDescent="0.25">
      <c r="A1" s="10" t="s">
        <v>283</v>
      </c>
      <c r="B1" s="10" t="s">
        <v>269</v>
      </c>
      <c r="C1" s="43" t="s">
        <v>284</v>
      </c>
      <c r="D1" s="43" t="s">
        <v>285</v>
      </c>
      <c r="E1" s="43" t="s">
        <v>286</v>
      </c>
      <c r="F1" s="43" t="s">
        <v>287</v>
      </c>
      <c r="G1" s="43" t="s">
        <v>307</v>
      </c>
      <c r="H1" s="43" t="s">
        <v>288</v>
      </c>
      <c r="I1" s="43" t="s">
        <v>289</v>
      </c>
      <c r="J1" s="43" t="s">
        <v>290</v>
      </c>
      <c r="K1" s="43" t="s">
        <v>291</v>
      </c>
      <c r="L1" s="43" t="s">
        <v>308</v>
      </c>
      <c r="M1" s="43" t="s">
        <v>292</v>
      </c>
      <c r="N1" s="43" t="s">
        <v>293</v>
      </c>
      <c r="O1" s="43" t="s">
        <v>294</v>
      </c>
      <c r="P1" s="43" t="s">
        <v>295</v>
      </c>
      <c r="Q1" s="43" t="s">
        <v>309</v>
      </c>
      <c r="R1" s="43" t="s">
        <v>296</v>
      </c>
      <c r="S1" s="43" t="s">
        <v>297</v>
      </c>
      <c r="T1" s="43" t="s">
        <v>298</v>
      </c>
      <c r="U1" s="43" t="s">
        <v>299</v>
      </c>
      <c r="V1" s="43" t="s">
        <v>310</v>
      </c>
      <c r="W1" s="43" t="s">
        <v>300</v>
      </c>
      <c r="X1" s="43" t="s">
        <v>114</v>
      </c>
      <c r="Y1" s="43" t="s">
        <v>301</v>
      </c>
      <c r="Z1" s="43" t="s">
        <v>302</v>
      </c>
      <c r="AA1" s="43" t="s">
        <v>311</v>
      </c>
      <c r="AB1" s="43" t="s">
        <v>303</v>
      </c>
      <c r="AC1" s="43" t="s">
        <v>304</v>
      </c>
      <c r="AD1" s="43" t="s">
        <v>305</v>
      </c>
      <c r="AE1" s="43" t="s">
        <v>306</v>
      </c>
      <c r="AF1" s="43" t="s">
        <v>312</v>
      </c>
      <c r="AG1" s="97"/>
      <c r="AH1" s="43" t="s">
        <v>718</v>
      </c>
      <c r="AI1" s="43" t="s">
        <v>719</v>
      </c>
      <c r="AJ1" s="43" t="s">
        <v>721</v>
      </c>
      <c r="AK1" s="43" t="s">
        <v>760</v>
      </c>
      <c r="AL1" s="43" t="s">
        <v>726</v>
      </c>
      <c r="AM1" s="43" t="s">
        <v>727</v>
      </c>
      <c r="AN1" s="43" t="s">
        <v>9</v>
      </c>
      <c r="AO1" s="43" t="s">
        <v>734</v>
      </c>
      <c r="AP1" s="43" t="s">
        <v>759</v>
      </c>
      <c r="AQ1" s="43" t="s">
        <v>739</v>
      </c>
      <c r="AR1" s="43" t="s">
        <v>643</v>
      </c>
      <c r="AS1" s="43" t="s">
        <v>748</v>
      </c>
      <c r="AT1" s="43" t="s">
        <v>749</v>
      </c>
      <c r="AU1" s="43" t="s">
        <v>932</v>
      </c>
      <c r="AV1" s="43" t="s">
        <v>707</v>
      </c>
      <c r="AX1" s="1"/>
    </row>
    <row r="2" spans="1:50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752</v>
      </c>
      <c r="F2" s="9" t="s">
        <v>1712</v>
      </c>
      <c r="G2" s="9" t="s">
        <v>264</v>
      </c>
      <c r="H2" s="9" t="s">
        <v>117</v>
      </c>
      <c r="I2" s="9" t="s">
        <v>757</v>
      </c>
      <c r="J2" s="9" t="s">
        <v>1727</v>
      </c>
      <c r="K2" s="9" t="s">
        <v>758</v>
      </c>
      <c r="L2" t="s">
        <v>1801</v>
      </c>
      <c r="M2" s="9" t="s">
        <v>1204</v>
      </c>
      <c r="N2" s="9" t="s">
        <v>809</v>
      </c>
      <c r="O2" s="9" t="s">
        <v>1469</v>
      </c>
      <c r="P2" s="9" t="s">
        <v>174</v>
      </c>
      <c r="Q2" s="9" t="s">
        <v>1734</v>
      </c>
      <c r="R2" s="9" t="s">
        <v>1235</v>
      </c>
      <c r="S2" s="9" t="s">
        <v>138</v>
      </c>
      <c r="T2" s="9" t="s">
        <v>723</v>
      </c>
      <c r="U2" s="9" t="s">
        <v>846</v>
      </c>
      <c r="V2" s="9" t="s">
        <v>1499</v>
      </c>
      <c r="W2" s="9" t="s">
        <v>1674</v>
      </c>
      <c r="X2" s="9" t="s">
        <v>115</v>
      </c>
      <c r="Y2" s="9" t="s">
        <v>1684</v>
      </c>
      <c r="Z2" s="9" t="s">
        <v>744</v>
      </c>
      <c r="AA2" s="9" t="s">
        <v>945</v>
      </c>
      <c r="AC2" s="9" t="s">
        <v>247</v>
      </c>
      <c r="AD2" s="9" t="s">
        <v>1656</v>
      </c>
      <c r="AE2" s="9" t="s">
        <v>730</v>
      </c>
      <c r="AH2" t="s">
        <v>521</v>
      </c>
      <c r="AI2" t="s">
        <v>525</v>
      </c>
      <c r="AJ2" t="s">
        <v>529</v>
      </c>
      <c r="AK2" t="s">
        <v>556</v>
      </c>
      <c r="AL2" t="s">
        <v>533</v>
      </c>
      <c r="AM2" t="s">
        <v>537</v>
      </c>
      <c r="AN2" t="s">
        <v>562</v>
      </c>
      <c r="AO2" t="s">
        <v>541</v>
      </c>
      <c r="AP2" t="s">
        <v>566</v>
      </c>
      <c r="AQ2" t="s">
        <v>545</v>
      </c>
      <c r="AR2" t="s">
        <v>549</v>
      </c>
      <c r="AS2" t="s">
        <v>560</v>
      </c>
      <c r="AT2" t="s">
        <v>574</v>
      </c>
      <c r="AU2" t="s">
        <v>926</v>
      </c>
      <c r="AV2" t="s">
        <v>758</v>
      </c>
    </row>
    <row r="3" spans="1:50" x14ac:dyDescent="0.25">
      <c r="A3" s="9">
        <v>3</v>
      </c>
      <c r="B3" t="s">
        <v>7</v>
      </c>
      <c r="C3" s="9" t="s">
        <v>1225</v>
      </c>
      <c r="D3" s="9" t="s">
        <v>72</v>
      </c>
      <c r="E3" s="9" t="s">
        <v>1779</v>
      </c>
      <c r="F3" s="9" t="s">
        <v>195</v>
      </c>
      <c r="G3" s="9" t="s">
        <v>843</v>
      </c>
      <c r="H3" s="9" t="s">
        <v>77</v>
      </c>
      <c r="I3" s="9" t="s">
        <v>1740</v>
      </c>
      <c r="J3" s="9" t="s">
        <v>802</v>
      </c>
      <c r="K3" s="9" t="s">
        <v>1741</v>
      </c>
      <c r="L3" s="9" t="s">
        <v>834</v>
      </c>
      <c r="M3" s="9" t="s">
        <v>94</v>
      </c>
      <c r="N3" s="9" t="s">
        <v>202</v>
      </c>
      <c r="O3" s="9" t="s">
        <v>227</v>
      </c>
      <c r="P3" s="9" t="s">
        <v>830</v>
      </c>
      <c r="R3" s="9" t="s">
        <v>1213</v>
      </c>
      <c r="S3" s="9" t="s">
        <v>1668</v>
      </c>
      <c r="T3" s="9" t="s">
        <v>1699</v>
      </c>
      <c r="U3" t="s">
        <v>5570</v>
      </c>
      <c r="V3" s="9" t="s">
        <v>260</v>
      </c>
      <c r="W3" s="9" t="s">
        <v>109</v>
      </c>
      <c r="X3" s="9" t="s">
        <v>806</v>
      </c>
      <c r="Y3" s="9" t="s">
        <v>162</v>
      </c>
      <c r="Z3" s="9" t="s">
        <v>252</v>
      </c>
      <c r="AC3" s="9" t="s">
        <v>729</v>
      </c>
      <c r="AD3" s="9" t="s">
        <v>821</v>
      </c>
      <c r="AE3" s="9" t="s">
        <v>245</v>
      </c>
      <c r="AH3" t="s">
        <v>522</v>
      </c>
      <c r="AI3" t="s">
        <v>526</v>
      </c>
      <c r="AJ3" t="s">
        <v>530</v>
      </c>
      <c r="AK3" t="s">
        <v>557</v>
      </c>
      <c r="AL3" t="s">
        <v>534</v>
      </c>
      <c r="AM3" t="s">
        <v>538</v>
      </c>
      <c r="AN3" t="s">
        <v>563</v>
      </c>
      <c r="AO3" t="s">
        <v>542</v>
      </c>
      <c r="AP3" t="s">
        <v>567</v>
      </c>
      <c r="AQ3" t="s">
        <v>546</v>
      </c>
      <c r="AR3" t="s">
        <v>550</v>
      </c>
      <c r="AS3" t="s">
        <v>561</v>
      </c>
      <c r="AT3" t="s">
        <v>575</v>
      </c>
      <c r="AU3" t="s">
        <v>925</v>
      </c>
      <c r="AV3" t="s">
        <v>723</v>
      </c>
    </row>
    <row r="4" spans="1:50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824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1669</v>
      </c>
      <c r="L4" s="9"/>
      <c r="M4" s="9" t="s">
        <v>90</v>
      </c>
      <c r="N4" s="9" t="s">
        <v>173</v>
      </c>
      <c r="O4" t="s">
        <v>1808</v>
      </c>
      <c r="P4" s="9" t="s">
        <v>170</v>
      </c>
      <c r="R4" s="9" t="s">
        <v>848</v>
      </c>
      <c r="S4" s="9" t="s">
        <v>137</v>
      </c>
      <c r="T4" s="9" t="s">
        <v>231</v>
      </c>
      <c r="U4" s="9" t="s">
        <v>213</v>
      </c>
      <c r="W4" s="9" t="s">
        <v>125</v>
      </c>
      <c r="X4" s="9" t="s">
        <v>232</v>
      </c>
      <c r="Y4" s="9" t="s">
        <v>750</v>
      </c>
      <c r="Z4" s="9" t="s">
        <v>176</v>
      </c>
      <c r="AC4" s="9" t="s">
        <v>146</v>
      </c>
      <c r="AD4" s="9" t="s">
        <v>217</v>
      </c>
      <c r="AE4" s="9" t="s">
        <v>248</v>
      </c>
      <c r="AH4" t="s">
        <v>523</v>
      </c>
      <c r="AI4" t="s">
        <v>527</v>
      </c>
      <c r="AJ4" t="s">
        <v>531</v>
      </c>
      <c r="AK4" t="s">
        <v>558</v>
      </c>
      <c r="AL4" t="s">
        <v>535</v>
      </c>
      <c r="AM4" t="s">
        <v>539</v>
      </c>
      <c r="AN4" t="s">
        <v>564</v>
      </c>
      <c r="AO4" t="s">
        <v>543</v>
      </c>
      <c r="AP4" t="s">
        <v>568</v>
      </c>
      <c r="AQ4" t="s">
        <v>547</v>
      </c>
      <c r="AR4" t="s">
        <v>551</v>
      </c>
      <c r="AT4" t="s">
        <v>576</v>
      </c>
      <c r="AU4" t="s">
        <v>924</v>
      </c>
      <c r="AV4" t="s">
        <v>1660</v>
      </c>
    </row>
    <row r="5" spans="1:50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1738</v>
      </c>
      <c r="F5" s="9" t="s">
        <v>152</v>
      </c>
      <c r="H5" s="9" t="s">
        <v>85</v>
      </c>
      <c r="I5" s="9" t="s">
        <v>158</v>
      </c>
      <c r="J5" s="9" t="s">
        <v>835</v>
      </c>
      <c r="K5" s="9" t="s">
        <v>849</v>
      </c>
      <c r="M5" s="9" t="s">
        <v>1664</v>
      </c>
      <c r="N5" s="9" t="s">
        <v>817</v>
      </c>
      <c r="O5" s="9" t="s">
        <v>191</v>
      </c>
      <c r="P5" s="9" t="s">
        <v>171</v>
      </c>
      <c r="R5" s="9" t="s">
        <v>103</v>
      </c>
      <c r="S5" s="9" t="s">
        <v>1678</v>
      </c>
      <c r="T5" s="9" t="s">
        <v>1787</v>
      </c>
      <c r="U5" s="9" t="s">
        <v>210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1711</v>
      </c>
      <c r="AH5" t="s">
        <v>524</v>
      </c>
      <c r="AI5" t="s">
        <v>528</v>
      </c>
      <c r="AJ5" t="s">
        <v>532</v>
      </c>
      <c r="AK5" t="s">
        <v>559</v>
      </c>
      <c r="AL5" t="s">
        <v>536</v>
      </c>
      <c r="AM5" t="s">
        <v>540</v>
      </c>
      <c r="AN5" t="s">
        <v>565</v>
      </c>
      <c r="AO5" t="s">
        <v>544</v>
      </c>
      <c r="AP5" t="s">
        <v>569</v>
      </c>
      <c r="AQ5" t="s">
        <v>548</v>
      </c>
      <c r="AT5" t="s">
        <v>577</v>
      </c>
      <c r="AU5" t="s">
        <v>923</v>
      </c>
      <c r="AV5" t="s">
        <v>730</v>
      </c>
    </row>
    <row r="6" spans="1:50" x14ac:dyDescent="0.25">
      <c r="A6" s="9">
        <v>6</v>
      </c>
      <c r="B6" t="s">
        <v>4</v>
      </c>
      <c r="C6" s="9" t="s">
        <v>1671</v>
      </c>
      <c r="D6" s="9" t="s">
        <v>1697</v>
      </c>
      <c r="E6" s="9" t="s">
        <v>192</v>
      </c>
      <c r="F6" s="9" t="s">
        <v>1739</v>
      </c>
      <c r="H6" s="9" t="s">
        <v>80</v>
      </c>
      <c r="I6" s="9" t="s">
        <v>1661</v>
      </c>
      <c r="J6" s="9" t="s">
        <v>1772</v>
      </c>
      <c r="K6" s="9" t="s">
        <v>1694</v>
      </c>
      <c r="M6" s="9" t="s">
        <v>97</v>
      </c>
      <c r="N6" s="9" t="s">
        <v>86</v>
      </c>
      <c r="O6" s="9" t="s">
        <v>199</v>
      </c>
      <c r="P6" s="9" t="s">
        <v>907</v>
      </c>
      <c r="R6" s="9" t="s">
        <v>751</v>
      </c>
      <c r="S6" s="9" t="s">
        <v>5576</v>
      </c>
      <c r="T6" s="9" t="s">
        <v>1761</v>
      </c>
      <c r="U6" s="9" t="s">
        <v>1742</v>
      </c>
      <c r="W6" s="9" t="s">
        <v>113</v>
      </c>
      <c r="X6" s="9" t="s">
        <v>107</v>
      </c>
      <c r="Y6" s="9" t="s">
        <v>262</v>
      </c>
      <c r="Z6" s="9" t="s">
        <v>241</v>
      </c>
      <c r="AC6" s="9" t="s">
        <v>164</v>
      </c>
      <c r="AD6" s="9" t="s">
        <v>731</v>
      </c>
      <c r="AE6" s="9" t="s">
        <v>194</v>
      </c>
      <c r="AP6" t="s">
        <v>570</v>
      </c>
      <c r="AQ6" t="s">
        <v>552</v>
      </c>
      <c r="AU6" t="s">
        <v>922</v>
      </c>
      <c r="AV6" t="s">
        <v>937</v>
      </c>
    </row>
    <row r="7" spans="1:50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1185</v>
      </c>
      <c r="I7" s="9" t="s">
        <v>78</v>
      </c>
      <c r="J7" s="9" t="s">
        <v>263</v>
      </c>
      <c r="K7" s="9" t="s">
        <v>728</v>
      </c>
      <c r="N7" s="9" t="s">
        <v>88</v>
      </c>
      <c r="O7" s="9" t="s">
        <v>256</v>
      </c>
      <c r="P7" s="9" t="s">
        <v>1690</v>
      </c>
      <c r="R7" s="9" t="s">
        <v>136</v>
      </c>
      <c r="S7" s="9" t="s">
        <v>1673</v>
      </c>
      <c r="T7" s="9" t="s">
        <v>101</v>
      </c>
      <c r="U7" s="9" t="s">
        <v>234</v>
      </c>
      <c r="X7" s="9" t="s">
        <v>1223</v>
      </c>
      <c r="Y7" s="9" t="s">
        <v>845</v>
      </c>
      <c r="Z7" s="9" t="s">
        <v>261</v>
      </c>
      <c r="AC7" s="9" t="s">
        <v>1686</v>
      </c>
      <c r="AD7" s="9" t="s">
        <v>147</v>
      </c>
      <c r="AE7" t="s">
        <v>4795</v>
      </c>
      <c r="AP7" t="s">
        <v>571</v>
      </c>
      <c r="AQ7" t="s">
        <v>553</v>
      </c>
      <c r="AU7" t="s">
        <v>931</v>
      </c>
      <c r="AV7" t="s">
        <v>936</v>
      </c>
    </row>
    <row r="8" spans="1:50" x14ac:dyDescent="0.25">
      <c r="A8" s="9"/>
      <c r="C8" s="9" t="s">
        <v>70</v>
      </c>
      <c r="D8" s="9" t="s">
        <v>63</v>
      </c>
      <c r="E8" s="9" t="s">
        <v>793</v>
      </c>
      <c r="F8" s="9" t="s">
        <v>1681</v>
      </c>
      <c r="G8" s="9"/>
      <c r="H8" s="9" t="s">
        <v>920</v>
      </c>
      <c r="I8" s="9" t="s">
        <v>165</v>
      </c>
      <c r="J8" s="9" t="s">
        <v>157</v>
      </c>
      <c r="K8" s="9" t="s">
        <v>1654</v>
      </c>
      <c r="N8" s="9" t="s">
        <v>797</v>
      </c>
      <c r="O8" s="9" t="s">
        <v>796</v>
      </c>
      <c r="P8" s="9" t="s">
        <v>235</v>
      </c>
      <c r="S8" s="9" t="s">
        <v>1217</v>
      </c>
      <c r="T8" s="9" t="s">
        <v>1714</v>
      </c>
      <c r="U8" s="9" t="s">
        <v>1716</v>
      </c>
      <c r="X8" s="9" t="s">
        <v>798</v>
      </c>
      <c r="Y8" s="9" t="s">
        <v>105</v>
      </c>
      <c r="Z8" s="9" t="s">
        <v>1767</v>
      </c>
      <c r="AC8" s="9" t="s">
        <v>215</v>
      </c>
      <c r="AD8" s="9" t="s">
        <v>722</v>
      </c>
      <c r="AE8" s="9" t="s">
        <v>1689</v>
      </c>
      <c r="AP8" t="s">
        <v>572</v>
      </c>
      <c r="AQ8" t="s">
        <v>554</v>
      </c>
      <c r="AU8" t="s">
        <v>921</v>
      </c>
      <c r="AV8" t="s">
        <v>938</v>
      </c>
    </row>
    <row r="9" spans="1:50" x14ac:dyDescent="0.25">
      <c r="A9" s="9"/>
      <c r="C9" s="9" t="s">
        <v>1245</v>
      </c>
      <c r="D9" s="9" t="s">
        <v>68</v>
      </c>
      <c r="E9" s="9" t="s">
        <v>254</v>
      </c>
      <c r="F9" s="9" t="s">
        <v>120</v>
      </c>
      <c r="G9" s="9"/>
      <c r="H9" s="9" t="s">
        <v>116</v>
      </c>
      <c r="I9" s="9" t="s">
        <v>1717</v>
      </c>
      <c r="J9" s="9" t="s">
        <v>1713</v>
      </c>
      <c r="K9" s="9" t="s">
        <v>249</v>
      </c>
      <c r="N9" s="9" t="s">
        <v>89</v>
      </c>
      <c r="O9" s="9" t="s">
        <v>814</v>
      </c>
      <c r="P9" s="9" t="s">
        <v>813</v>
      </c>
      <c r="S9" s="9" t="s">
        <v>206</v>
      </c>
      <c r="T9" s="9" t="s">
        <v>175</v>
      </c>
      <c r="U9" s="9" t="s">
        <v>1719</v>
      </c>
      <c r="X9" s="9" t="s">
        <v>112</v>
      </c>
      <c r="Y9" s="9" t="s">
        <v>106</v>
      </c>
      <c r="Z9" s="9" t="s">
        <v>205</v>
      </c>
      <c r="AC9" s="9" t="s">
        <v>818</v>
      </c>
      <c r="AD9" s="9" t="s">
        <v>149</v>
      </c>
      <c r="AE9" s="9" t="s">
        <v>1257</v>
      </c>
      <c r="AP9" t="s">
        <v>573</v>
      </c>
      <c r="AQ9" t="s">
        <v>555</v>
      </c>
      <c r="AU9" t="s">
        <v>939</v>
      </c>
      <c r="AV9" t="s">
        <v>933</v>
      </c>
    </row>
    <row r="10" spans="1:50" x14ac:dyDescent="0.25">
      <c r="A10" s="9"/>
      <c r="C10" s="9"/>
      <c r="D10" s="9" t="s">
        <v>1696</v>
      </c>
      <c r="E10" s="9" t="s">
        <v>956</v>
      </c>
      <c r="F10" s="9" t="s">
        <v>1718</v>
      </c>
      <c r="G10" s="9"/>
      <c r="H10" s="9" t="s">
        <v>118</v>
      </c>
      <c r="I10" s="9" t="s">
        <v>84</v>
      </c>
      <c r="J10" s="9" t="s">
        <v>720</v>
      </c>
      <c r="K10" t="s">
        <v>1744</v>
      </c>
      <c r="N10" s="9" t="s">
        <v>184</v>
      </c>
      <c r="O10" s="9" t="s">
        <v>735</v>
      </c>
      <c r="P10" s="9" t="s">
        <v>1784</v>
      </c>
      <c r="S10" s="9" t="s">
        <v>216</v>
      </c>
      <c r="T10" s="9" t="s">
        <v>1708</v>
      </c>
      <c r="U10" s="9" t="s">
        <v>233</v>
      </c>
      <c r="X10" s="9" t="s">
        <v>110</v>
      </c>
      <c r="Y10" s="9" t="s">
        <v>114</v>
      </c>
      <c r="Z10" s="9" t="s">
        <v>301</v>
      </c>
      <c r="AD10" t="s">
        <v>5547</v>
      </c>
      <c r="AE10" s="9" t="s">
        <v>819</v>
      </c>
      <c r="AU10" t="s">
        <v>940</v>
      </c>
      <c r="AV10" t="s">
        <v>935</v>
      </c>
    </row>
    <row r="11" spans="1:50" x14ac:dyDescent="0.25">
      <c r="A11" s="9"/>
      <c r="C11" s="9"/>
      <c r="D11" s="9" t="s">
        <v>1700</v>
      </c>
      <c r="E11" s="9" t="s">
        <v>1230</v>
      </c>
      <c r="F11" s="9" t="s">
        <v>200</v>
      </c>
      <c r="G11" s="9"/>
      <c r="I11" s="9" t="s">
        <v>208</v>
      </c>
      <c r="J11" s="9" t="s">
        <v>1710</v>
      </c>
      <c r="K11" s="9" t="s">
        <v>238</v>
      </c>
      <c r="N11" s="9" t="s">
        <v>1683</v>
      </c>
      <c r="O11" s="9" t="s">
        <v>1676</v>
      </c>
      <c r="P11" s="9" t="s">
        <v>143</v>
      </c>
      <c r="S11" s="9" t="s">
        <v>203</v>
      </c>
      <c r="T11" s="9" t="s">
        <v>716</v>
      </c>
      <c r="U11" s="9" t="s">
        <v>253</v>
      </c>
      <c r="X11" s="9" t="s">
        <v>240</v>
      </c>
      <c r="Y11" s="9" t="s">
        <v>189</v>
      </c>
      <c r="Z11" s="9" t="s">
        <v>302</v>
      </c>
      <c r="AD11" t="s">
        <v>4817</v>
      </c>
      <c r="AE11" s="9" t="s">
        <v>145</v>
      </c>
      <c r="AL11" s="40"/>
      <c r="AU11" t="s">
        <v>941</v>
      </c>
      <c r="AV11" t="s">
        <v>934</v>
      </c>
    </row>
    <row r="12" spans="1:50" x14ac:dyDescent="0.25">
      <c r="A12" s="9"/>
      <c r="C12" s="9"/>
      <c r="D12" s="9" t="s">
        <v>71</v>
      </c>
      <c r="E12" t="s">
        <v>1806</v>
      </c>
      <c r="F12" s="9" t="s">
        <v>1745</v>
      </c>
      <c r="G12" s="9"/>
      <c r="I12" s="9" t="s">
        <v>1682</v>
      </c>
      <c r="J12" s="9" t="s">
        <v>255</v>
      </c>
      <c r="K12" s="9" t="s">
        <v>812</v>
      </c>
      <c r="N12" s="9" t="s">
        <v>1702</v>
      </c>
      <c r="O12" s="9" t="s">
        <v>91</v>
      </c>
      <c r="P12" s="9" t="s">
        <v>166</v>
      </c>
      <c r="S12" s="9" t="s">
        <v>182</v>
      </c>
      <c r="T12" s="9" t="s">
        <v>1769</v>
      </c>
      <c r="U12" s="9" t="s">
        <v>155</v>
      </c>
      <c r="Y12" s="9" t="s">
        <v>128</v>
      </c>
      <c r="Z12" s="9" t="s">
        <v>126</v>
      </c>
      <c r="AD12" s="9" t="s">
        <v>946</v>
      </c>
      <c r="AE12" t="s">
        <v>4808</v>
      </c>
      <c r="AL12" s="40"/>
      <c r="AU12" t="s">
        <v>928</v>
      </c>
      <c r="AV12" t="s">
        <v>713</v>
      </c>
    </row>
    <row r="13" spans="1:50" x14ac:dyDescent="0.25">
      <c r="A13" s="9"/>
      <c r="C13" s="9"/>
      <c r="D13" s="9" t="s">
        <v>163</v>
      </c>
      <c r="E13" s="9" t="s">
        <v>1736</v>
      </c>
      <c r="F13" s="9" t="s">
        <v>828</v>
      </c>
      <c r="G13" s="9"/>
      <c r="I13" s="9" t="s">
        <v>1693</v>
      </c>
      <c r="J13" s="9" t="s">
        <v>736</v>
      </c>
      <c r="K13" s="9" t="s">
        <v>1461</v>
      </c>
      <c r="N13" s="9" t="s">
        <v>242</v>
      </c>
      <c r="O13" s="9" t="s">
        <v>159</v>
      </c>
      <c r="P13" s="9" t="s">
        <v>93</v>
      </c>
      <c r="S13" s="9" t="s">
        <v>733</v>
      </c>
      <c r="T13" s="9" t="s">
        <v>827</v>
      </c>
      <c r="U13" s="9" t="s">
        <v>259</v>
      </c>
      <c r="Y13" s="9" t="s">
        <v>111</v>
      </c>
      <c r="Z13" s="9" t="s">
        <v>154</v>
      </c>
      <c r="AD13" s="9" t="s">
        <v>1688</v>
      </c>
      <c r="AE13" s="9" t="s">
        <v>820</v>
      </c>
      <c r="AL13" s="40"/>
      <c r="AU13" t="s">
        <v>927</v>
      </c>
      <c r="AV13" t="s">
        <v>714</v>
      </c>
    </row>
    <row r="14" spans="1:50" x14ac:dyDescent="0.25">
      <c r="A14" s="9"/>
      <c r="C14" s="9"/>
      <c r="D14" s="9" t="s">
        <v>129</v>
      </c>
      <c r="E14" s="9" t="s">
        <v>209</v>
      </c>
      <c r="F14" s="9" t="s">
        <v>823</v>
      </c>
      <c r="G14" s="9"/>
      <c r="I14" s="9" t="s">
        <v>1662</v>
      </c>
      <c r="J14" s="9" t="s">
        <v>1680</v>
      </c>
      <c r="K14" s="9" t="s">
        <v>82</v>
      </c>
      <c r="N14" s="9" t="s">
        <v>1695</v>
      </c>
      <c r="O14" s="9" t="s">
        <v>187</v>
      </c>
      <c r="P14" s="9" t="s">
        <v>267</v>
      </c>
      <c r="S14" s="9" t="s">
        <v>102</v>
      </c>
      <c r="T14" s="9" t="s">
        <v>1728</v>
      </c>
      <c r="U14" s="9" t="s">
        <v>104</v>
      </c>
      <c r="Y14" s="9" t="s">
        <v>816</v>
      </c>
      <c r="Z14" s="9" t="s">
        <v>794</v>
      </c>
      <c r="AD14" s="9" t="s">
        <v>1685</v>
      </c>
      <c r="AE14" s="9" t="s">
        <v>5720</v>
      </c>
      <c r="AL14" s="40"/>
      <c r="AM14" s="40"/>
      <c r="AU14" t="s">
        <v>930</v>
      </c>
      <c r="AV14" t="s">
        <v>715</v>
      </c>
    </row>
    <row r="15" spans="1:50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226</v>
      </c>
      <c r="K15" s="9" t="s">
        <v>190</v>
      </c>
      <c r="N15" s="9" t="s">
        <v>142</v>
      </c>
      <c r="O15" s="9" t="s">
        <v>87</v>
      </c>
      <c r="P15" s="9" t="s">
        <v>96</v>
      </c>
      <c r="S15" s="9" t="s">
        <v>1723</v>
      </c>
      <c r="T15" s="9" t="s">
        <v>1214</v>
      </c>
      <c r="U15" s="9" t="s">
        <v>124</v>
      </c>
      <c r="Y15" s="9" t="s">
        <v>795</v>
      </c>
      <c r="Z15" s="9" t="s">
        <v>1715</v>
      </c>
      <c r="AD15" s="9" t="s">
        <v>150</v>
      </c>
      <c r="AE15" s="217" t="s">
        <v>1452</v>
      </c>
      <c r="AL15" s="40"/>
      <c r="AM15" s="40"/>
      <c r="AP15" s="40"/>
      <c r="AU15" t="s">
        <v>929</v>
      </c>
      <c r="AV15" t="s">
        <v>744</v>
      </c>
    </row>
    <row r="16" spans="1:50" x14ac:dyDescent="0.25">
      <c r="A16" s="9"/>
      <c r="C16" s="9"/>
      <c r="D16" s="9" t="s">
        <v>1724</v>
      </c>
      <c r="E16" s="9" t="s">
        <v>811</v>
      </c>
      <c r="F16" s="9" t="s">
        <v>193</v>
      </c>
      <c r="G16" s="9"/>
      <c r="I16" s="9" t="s">
        <v>836</v>
      </c>
      <c r="J16" s="9" t="s">
        <v>1663</v>
      </c>
      <c r="K16" s="9" t="s">
        <v>1698</v>
      </c>
      <c r="N16" s="9" t="s">
        <v>130</v>
      </c>
      <c r="O16" s="9" t="s">
        <v>244</v>
      </c>
      <c r="P16" s="9" t="s">
        <v>201</v>
      </c>
      <c r="S16" s="9" t="s">
        <v>167</v>
      </c>
      <c r="T16" s="9" t="s">
        <v>1479</v>
      </c>
      <c r="U16" s="9" t="s">
        <v>1238</v>
      </c>
      <c r="Y16" s="9" t="s">
        <v>1704</v>
      </c>
      <c r="Z16" s="9" t="s">
        <v>1730</v>
      </c>
      <c r="AD16" s="9" t="s">
        <v>1692</v>
      </c>
      <c r="AE16" s="9" t="s">
        <v>3506</v>
      </c>
      <c r="AL16" s="40"/>
      <c r="AM16" s="40"/>
      <c r="AP16" s="40"/>
      <c r="AV16" t="s">
        <v>162</v>
      </c>
    </row>
    <row r="17" spans="1:48" x14ac:dyDescent="0.25">
      <c r="A17" s="9"/>
      <c r="C17" s="9"/>
      <c r="D17" s="9" t="s">
        <v>756</v>
      </c>
      <c r="E17" s="9" t="s">
        <v>19</v>
      </c>
      <c r="F17" s="9" t="s">
        <v>131</v>
      </c>
      <c r="G17" s="9"/>
      <c r="I17" s="9" t="s">
        <v>1726</v>
      </c>
      <c r="J17" s="9" t="s">
        <v>1729</v>
      </c>
      <c r="K17" s="9" t="s">
        <v>1705</v>
      </c>
      <c r="N17" s="9" t="s">
        <v>1665</v>
      </c>
      <c r="O17" s="9" t="s">
        <v>841</v>
      </c>
      <c r="P17" s="9" t="s">
        <v>185</v>
      </c>
      <c r="S17" s="9" t="s">
        <v>239</v>
      </c>
      <c r="T17" s="9" t="s">
        <v>840</v>
      </c>
      <c r="U17" s="9" t="s">
        <v>1481</v>
      </c>
      <c r="Z17" s="9" t="s">
        <v>842</v>
      </c>
      <c r="AD17" s="9" t="s">
        <v>1725</v>
      </c>
      <c r="AE17" s="9" t="s">
        <v>1687</v>
      </c>
      <c r="AV17" t="s">
        <v>253</v>
      </c>
    </row>
    <row r="18" spans="1:48" x14ac:dyDescent="0.25">
      <c r="A18" s="9"/>
      <c r="C18" s="9"/>
      <c r="D18" s="9" t="s">
        <v>1703</v>
      </c>
      <c r="E18" s="9" t="s">
        <v>153</v>
      </c>
      <c r="F18" s="9" t="s">
        <v>197</v>
      </c>
      <c r="G18" s="9"/>
      <c r="I18" s="9" t="s">
        <v>181</v>
      </c>
      <c r="J18" s="9" t="s">
        <v>807</v>
      </c>
      <c r="K18" s="9" t="s">
        <v>1737</v>
      </c>
      <c r="N18" s="9" t="s">
        <v>1709</v>
      </c>
      <c r="O18" s="9" t="s">
        <v>1733</v>
      </c>
      <c r="P18" s="9" t="s">
        <v>132</v>
      </c>
      <c r="S18" s="9" t="s">
        <v>805</v>
      </c>
      <c r="T18" s="9" t="s">
        <v>98</v>
      </c>
      <c r="U18" s="9" t="s">
        <v>741</v>
      </c>
      <c r="Z18" t="s">
        <v>1743</v>
      </c>
      <c r="AE18" s="218" t="s">
        <v>833</v>
      </c>
      <c r="AV18" t="s">
        <v>259</v>
      </c>
    </row>
    <row r="19" spans="1:48" x14ac:dyDescent="0.25">
      <c r="A19" s="9"/>
      <c r="C19" s="9"/>
      <c r="D19" s="9" t="s">
        <v>66</v>
      </c>
      <c r="E19" s="9" t="s">
        <v>1672</v>
      </c>
      <c r="F19" s="9" t="s">
        <v>1706</v>
      </c>
      <c r="G19" s="9"/>
      <c r="I19" s="9" t="s">
        <v>156</v>
      </c>
      <c r="J19" s="9" t="s">
        <v>144</v>
      </c>
      <c r="K19" s="9" t="s">
        <v>141</v>
      </c>
      <c r="N19" s="9" t="s">
        <v>222</v>
      </c>
      <c r="O19" s="9" t="s">
        <v>92</v>
      </c>
      <c r="P19" s="9" t="s">
        <v>829</v>
      </c>
      <c r="T19" s="9" t="s">
        <v>99</v>
      </c>
      <c r="U19" s="9" t="s">
        <v>832</v>
      </c>
      <c r="Z19" s="9" t="s">
        <v>1720</v>
      </c>
      <c r="AE19" s="9" t="s">
        <v>251</v>
      </c>
      <c r="AV19" t="s">
        <v>74</v>
      </c>
    </row>
    <row r="20" spans="1:48" x14ac:dyDescent="0.25">
      <c r="A20" s="9"/>
      <c r="C20" s="9"/>
      <c r="D20" s="9" t="s">
        <v>225</v>
      </c>
      <c r="E20" s="9" t="s">
        <v>67</v>
      </c>
      <c r="F20" s="9" t="s">
        <v>186</v>
      </c>
      <c r="G20" s="9"/>
      <c r="I20" s="9" t="s">
        <v>1675</v>
      </c>
      <c r="J20" s="9" t="s">
        <v>837</v>
      </c>
      <c r="K20" s="9" t="s">
        <v>1755</v>
      </c>
      <c r="N20" s="9" t="s">
        <v>1655</v>
      </c>
      <c r="O20" s="9" t="s">
        <v>1691</v>
      </c>
      <c r="P20" s="9" t="s">
        <v>1732</v>
      </c>
      <c r="T20" s="9" t="s">
        <v>22</v>
      </c>
      <c r="U20" s="9" t="s">
        <v>223</v>
      </c>
      <c r="AE20" s="230" t="s">
        <v>740</v>
      </c>
      <c r="AV20" t="s">
        <v>750</v>
      </c>
    </row>
    <row r="21" spans="1:48" x14ac:dyDescent="0.25">
      <c r="A21" s="9"/>
      <c r="C21" s="9"/>
      <c r="D21" s="9" t="s">
        <v>73</v>
      </c>
      <c r="E21" s="9" t="s">
        <v>5578</v>
      </c>
      <c r="F21" s="9" t="s">
        <v>64</v>
      </c>
      <c r="G21" s="9"/>
      <c r="J21" s="9" t="s">
        <v>747</v>
      </c>
      <c r="K21" s="9" t="s">
        <v>1781</v>
      </c>
      <c r="N21" s="9" t="s">
        <v>119</v>
      </c>
      <c r="O21" s="9" t="s">
        <v>808</v>
      </c>
      <c r="P21" s="9" t="s">
        <v>1666</v>
      </c>
      <c r="T21" s="9" t="s">
        <v>804</v>
      </c>
      <c r="U21" s="9" t="s">
        <v>188</v>
      </c>
      <c r="AV21" t="s">
        <v>752</v>
      </c>
    </row>
    <row r="22" spans="1:48" x14ac:dyDescent="0.25">
      <c r="A22" s="9"/>
      <c r="C22" s="9"/>
      <c r="D22" s="9" t="s">
        <v>214</v>
      </c>
      <c r="E22" s="9" t="s">
        <v>5577</v>
      </c>
      <c r="F22" s="9" t="s">
        <v>268</v>
      </c>
      <c r="J22" s="9" t="s">
        <v>24</v>
      </c>
      <c r="K22" s="9" t="s">
        <v>1679</v>
      </c>
      <c r="N22" s="9" t="s">
        <v>3481</v>
      </c>
      <c r="O22" s="9" t="s">
        <v>243</v>
      </c>
      <c r="P22" t="s">
        <v>1445</v>
      </c>
      <c r="T22" s="9" t="s">
        <v>229</v>
      </c>
      <c r="U22" s="9" t="s">
        <v>168</v>
      </c>
      <c r="AV22" t="s">
        <v>754</v>
      </c>
    </row>
    <row r="23" spans="1:48" x14ac:dyDescent="0.25">
      <c r="A23" s="9"/>
      <c r="C23" s="9"/>
      <c r="D23" s="9" t="s">
        <v>810</v>
      </c>
      <c r="E23" s="9"/>
      <c r="F23" s="9" t="s">
        <v>738</v>
      </c>
      <c r="J23" s="9" t="s">
        <v>23</v>
      </c>
      <c r="K23" s="9" t="s">
        <v>127</v>
      </c>
      <c r="N23" s="9" t="s">
        <v>218</v>
      </c>
      <c r="O23" s="9" t="s">
        <v>838</v>
      </c>
      <c r="P23" s="9" t="s">
        <v>1707</v>
      </c>
      <c r="T23" s="9" t="s">
        <v>1701</v>
      </c>
      <c r="U23" s="9" t="s">
        <v>1758</v>
      </c>
      <c r="AV23" t="s">
        <v>753</v>
      </c>
    </row>
    <row r="24" spans="1:48" x14ac:dyDescent="0.25">
      <c r="A24" s="9"/>
      <c r="B24" s="9"/>
      <c r="C24" s="9"/>
      <c r="D24" s="9"/>
      <c r="E24" s="9"/>
      <c r="F24" s="9" t="s">
        <v>746</v>
      </c>
      <c r="J24" s="9" t="s">
        <v>123</v>
      </c>
      <c r="K24" s="9" t="s">
        <v>76</v>
      </c>
      <c r="O24" s="9" t="s">
        <v>847</v>
      </c>
      <c r="P24" s="9" t="s">
        <v>207</v>
      </c>
      <c r="T24" s="9" t="s">
        <v>1667</v>
      </c>
      <c r="U24" s="9" t="s">
        <v>258</v>
      </c>
      <c r="AQ24" s="9"/>
      <c r="AV24" t="s">
        <v>755</v>
      </c>
    </row>
    <row r="25" spans="1:48" x14ac:dyDescent="0.25">
      <c r="A25" s="9"/>
      <c r="B25" s="9"/>
      <c r="C25" s="9"/>
      <c r="D25" s="9"/>
      <c r="E25" s="9"/>
      <c r="F25" s="9" t="s">
        <v>831</v>
      </c>
      <c r="J25" t="s">
        <v>5564</v>
      </c>
      <c r="K25" s="9" t="s">
        <v>224</v>
      </c>
      <c r="O25" s="9" t="s">
        <v>172</v>
      </c>
      <c r="P25" s="9" t="s">
        <v>250</v>
      </c>
      <c r="T25" s="9" t="s">
        <v>839</v>
      </c>
      <c r="U25" s="9" t="s">
        <v>257</v>
      </c>
      <c r="AQ25" s="9"/>
      <c r="AV25" t="s">
        <v>724</v>
      </c>
    </row>
    <row r="26" spans="1:48" x14ac:dyDescent="0.25">
      <c r="A26" s="9"/>
      <c r="B26" s="9"/>
      <c r="C26" s="9"/>
      <c r="D26" s="9"/>
      <c r="E26" s="9"/>
      <c r="F26" s="9" t="s">
        <v>801</v>
      </c>
      <c r="K26" s="9" t="s">
        <v>266</v>
      </c>
      <c r="P26" s="9" t="s">
        <v>826</v>
      </c>
      <c r="T26" s="9" t="s">
        <v>745</v>
      </c>
      <c r="U26" s="9" t="s">
        <v>179</v>
      </c>
      <c r="AQ26" s="9"/>
      <c r="AV26" t="s">
        <v>152</v>
      </c>
    </row>
    <row r="27" spans="1:48" x14ac:dyDescent="0.25">
      <c r="A27" s="9"/>
      <c r="B27" s="9"/>
      <c r="C27" s="9"/>
      <c r="D27" s="9"/>
      <c r="E27" s="9"/>
      <c r="F27" s="9" t="s">
        <v>844</v>
      </c>
      <c r="K27" s="9" t="s">
        <v>265</v>
      </c>
      <c r="P27" s="9" t="s">
        <v>803</v>
      </c>
      <c r="T27" s="9" t="s">
        <v>1670</v>
      </c>
      <c r="U27" t="s">
        <v>1448</v>
      </c>
      <c r="AQ27" s="9"/>
      <c r="AV27" t="s">
        <v>742</v>
      </c>
    </row>
    <row r="28" spans="1:48" x14ac:dyDescent="0.25">
      <c r="A28" s="9"/>
      <c r="B28" s="9"/>
      <c r="C28" s="9"/>
      <c r="D28" s="9"/>
      <c r="E28" s="9"/>
      <c r="F28" s="9"/>
      <c r="K28" s="9" t="s">
        <v>79</v>
      </c>
      <c r="P28" s="9" t="s">
        <v>743</v>
      </c>
      <c r="T28" s="9" t="s">
        <v>180</v>
      </c>
      <c r="U28" s="9" t="s">
        <v>1677</v>
      </c>
      <c r="AV28" t="s">
        <v>1656</v>
      </c>
    </row>
    <row r="29" spans="1:48" x14ac:dyDescent="0.25">
      <c r="A29" s="9"/>
      <c r="C29" s="9"/>
      <c r="D29" s="9"/>
      <c r="E29" s="9"/>
      <c r="K29" s="9" t="s">
        <v>825</v>
      </c>
      <c r="P29" s="9" t="s">
        <v>822</v>
      </c>
      <c r="U29" s="9" t="s">
        <v>799</v>
      </c>
      <c r="AV29" t="s">
        <v>728</v>
      </c>
    </row>
    <row r="30" spans="1:48" x14ac:dyDescent="0.25">
      <c r="A30" s="9"/>
      <c r="C30" s="9"/>
      <c r="D30" s="9"/>
      <c r="E30" s="9"/>
      <c r="K30" s="9" t="s">
        <v>198</v>
      </c>
      <c r="P30" s="9" t="s">
        <v>1289</v>
      </c>
      <c r="U30" s="9" t="s">
        <v>230</v>
      </c>
      <c r="AV30" t="s">
        <v>109</v>
      </c>
    </row>
    <row r="31" spans="1:48" x14ac:dyDescent="0.25">
      <c r="A31" s="9"/>
      <c r="C31" s="9"/>
      <c r="D31" s="9"/>
      <c r="E31" s="9"/>
      <c r="P31" s="9" t="s">
        <v>1721</v>
      </c>
      <c r="U31" t="s">
        <v>1807</v>
      </c>
      <c r="AV31" t="s">
        <v>835</v>
      </c>
    </row>
    <row r="32" spans="1:48" x14ac:dyDescent="0.25">
      <c r="A32" s="9"/>
      <c r="C32" s="9"/>
      <c r="D32" s="9"/>
      <c r="E32" s="9"/>
      <c r="P32" s="9" t="s">
        <v>95</v>
      </c>
      <c r="U32" s="9" t="s">
        <v>1722</v>
      </c>
      <c r="AV32" t="s">
        <v>1235</v>
      </c>
    </row>
    <row r="33" spans="1:48" x14ac:dyDescent="0.25">
      <c r="A33" s="9"/>
      <c r="C33" s="9"/>
      <c r="D33" s="9"/>
      <c r="E33" s="9"/>
      <c r="P33" s="9" t="s">
        <v>947</v>
      </c>
      <c r="U33" s="9" t="s">
        <v>906</v>
      </c>
      <c r="AV33" t="s">
        <v>725</v>
      </c>
    </row>
    <row r="34" spans="1:48" x14ac:dyDescent="0.25">
      <c r="A34" s="9"/>
      <c r="C34" s="9"/>
      <c r="D34" s="9"/>
      <c r="E34" s="9"/>
      <c r="U34" s="9" t="s">
        <v>246</v>
      </c>
      <c r="AV34" t="s">
        <v>716</v>
      </c>
    </row>
    <row r="35" spans="1:48" x14ac:dyDescent="0.25">
      <c r="A35" s="9"/>
      <c r="C35" s="9"/>
      <c r="D35" s="9"/>
      <c r="E35" s="9"/>
      <c r="U35" s="9" t="s">
        <v>1735</v>
      </c>
      <c r="AV35" t="s">
        <v>125</v>
      </c>
    </row>
    <row r="36" spans="1:48" x14ac:dyDescent="0.25">
      <c r="A36" s="9"/>
      <c r="C36" s="9"/>
      <c r="D36" s="9"/>
      <c r="E36" s="9"/>
      <c r="U36" s="9" t="s">
        <v>160</v>
      </c>
      <c r="AV36" t="s">
        <v>1469</v>
      </c>
    </row>
    <row r="37" spans="1:48" x14ac:dyDescent="0.25">
      <c r="A37" s="9"/>
      <c r="C37" s="9"/>
      <c r="D37" s="9"/>
      <c r="E37" s="9"/>
      <c r="U37" t="s">
        <v>1731</v>
      </c>
      <c r="AV37" t="s">
        <v>1499</v>
      </c>
    </row>
    <row r="38" spans="1:48" x14ac:dyDescent="0.25">
      <c r="A38" s="9"/>
      <c r="C38" s="9"/>
      <c r="D38" s="9"/>
      <c r="E38" s="9"/>
      <c r="U38" s="9" t="s">
        <v>800</v>
      </c>
      <c r="AV38" t="s">
        <v>75</v>
      </c>
    </row>
    <row r="39" spans="1:48" x14ac:dyDescent="0.25">
      <c r="A39" s="9"/>
      <c r="C39" s="9"/>
      <c r="D39" s="9"/>
      <c r="E39" s="9"/>
      <c r="U39" s="9" t="s">
        <v>133</v>
      </c>
      <c r="AV39" t="s">
        <v>1801</v>
      </c>
    </row>
    <row r="40" spans="1:48" x14ac:dyDescent="0.25">
      <c r="A40" s="9"/>
      <c r="C40" s="9"/>
      <c r="D40" s="9"/>
      <c r="E40" s="9"/>
      <c r="U40" s="9" t="s">
        <v>134</v>
      </c>
      <c r="AV40" t="s">
        <v>1481</v>
      </c>
    </row>
    <row r="41" spans="1:48" x14ac:dyDescent="0.25">
      <c r="A41" s="9"/>
      <c r="C41" s="9"/>
      <c r="D41" s="9"/>
      <c r="E41" s="9"/>
      <c r="U41" s="9" t="s">
        <v>815</v>
      </c>
      <c r="AV41" t="s">
        <v>1479</v>
      </c>
    </row>
    <row r="42" spans="1:48" x14ac:dyDescent="0.25">
      <c r="A42" s="9"/>
      <c r="C42" s="9"/>
      <c r="D42" s="9"/>
      <c r="U42" s="9" t="s">
        <v>169</v>
      </c>
      <c r="AV42" t="s">
        <v>741</v>
      </c>
    </row>
    <row r="43" spans="1:48" x14ac:dyDescent="0.25">
      <c r="A43" s="9"/>
      <c r="C43" s="9"/>
      <c r="D43" s="9"/>
      <c r="AV43" t="s">
        <v>840</v>
      </c>
    </row>
    <row r="44" spans="1:48" x14ac:dyDescent="0.25">
      <c r="A44" s="9"/>
      <c r="C44" s="9"/>
      <c r="D44" s="9"/>
      <c r="AV44" t="s">
        <v>1808</v>
      </c>
    </row>
    <row r="45" spans="1:48" x14ac:dyDescent="0.25">
      <c r="A45" s="9"/>
      <c r="C45" s="9"/>
      <c r="D45" s="9"/>
      <c r="AV45" t="s">
        <v>120</v>
      </c>
    </row>
    <row r="46" spans="1:48" x14ac:dyDescent="0.25">
      <c r="A46" s="9"/>
      <c r="C46" s="9"/>
      <c r="D46" s="9"/>
      <c r="AV46" t="s">
        <v>1738</v>
      </c>
    </row>
    <row r="47" spans="1:48" x14ac:dyDescent="0.25">
      <c r="A47" s="9"/>
      <c r="C47" s="9"/>
      <c r="D47" s="9"/>
      <c r="AV47" t="s">
        <v>249</v>
      </c>
    </row>
    <row r="48" spans="1:48" x14ac:dyDescent="0.25">
      <c r="A48" s="9"/>
      <c r="C48" s="9"/>
      <c r="D48" s="9"/>
      <c r="AV48" t="s">
        <v>223</v>
      </c>
    </row>
    <row r="49" spans="1:48" x14ac:dyDescent="0.25">
      <c r="A49" s="9"/>
      <c r="C49" s="9"/>
      <c r="D49" s="9"/>
      <c r="AV49" t="s">
        <v>260</v>
      </c>
    </row>
    <row r="50" spans="1:48" x14ac:dyDescent="0.25">
      <c r="A50" s="9"/>
      <c r="C50" s="9"/>
      <c r="D50" s="9"/>
      <c r="AV50" t="s">
        <v>1772</v>
      </c>
    </row>
    <row r="51" spans="1:48" x14ac:dyDescent="0.25">
      <c r="A51" s="9"/>
      <c r="C51" s="9"/>
      <c r="D51" s="9"/>
      <c r="AV51" t="s">
        <v>263</v>
      </c>
    </row>
    <row r="52" spans="1:48" x14ac:dyDescent="0.25">
      <c r="A52" s="9"/>
      <c r="C52" s="9"/>
      <c r="D52" s="9"/>
      <c r="AV52" t="s">
        <v>78</v>
      </c>
    </row>
    <row r="53" spans="1:48" x14ac:dyDescent="0.25">
      <c r="A53" s="9"/>
      <c r="C53" s="9"/>
      <c r="D53" s="9"/>
      <c r="AV53" t="s">
        <v>1744</v>
      </c>
    </row>
    <row r="54" spans="1:48" x14ac:dyDescent="0.25">
      <c r="A54" s="9"/>
      <c r="C54" s="9"/>
      <c r="D54" s="9"/>
      <c r="AV54" t="s">
        <v>192</v>
      </c>
    </row>
    <row r="55" spans="1:48" x14ac:dyDescent="0.25">
      <c r="A55" s="9"/>
      <c r="C55" s="9"/>
      <c r="D55" s="9"/>
      <c r="AV55" t="s">
        <v>762</v>
      </c>
    </row>
    <row r="56" spans="1:48" x14ac:dyDescent="0.25">
      <c r="A56" s="9"/>
      <c r="C56" s="9"/>
      <c r="D56" s="9"/>
      <c r="AV56" t="s">
        <v>765</v>
      </c>
    </row>
    <row r="57" spans="1:48" x14ac:dyDescent="0.25">
      <c r="A57" s="9"/>
      <c r="C57" s="9"/>
      <c r="D57" s="9"/>
      <c r="AV57" t="s">
        <v>766</v>
      </c>
    </row>
    <row r="58" spans="1:48" x14ac:dyDescent="0.25">
      <c r="A58" s="9"/>
      <c r="C58" s="9"/>
      <c r="D58" s="9"/>
      <c r="AV58" t="s">
        <v>763</v>
      </c>
    </row>
    <row r="59" spans="1:48" x14ac:dyDescent="0.25">
      <c r="A59" s="9"/>
      <c r="C59" s="9"/>
      <c r="D59" s="9"/>
      <c r="AV59" t="s">
        <v>761</v>
      </c>
    </row>
    <row r="60" spans="1:48" x14ac:dyDescent="0.25">
      <c r="A60" s="9"/>
      <c r="C60" s="9"/>
      <c r="D60" s="9"/>
      <c r="AV60" t="s">
        <v>764</v>
      </c>
    </row>
    <row r="61" spans="1:48" x14ac:dyDescent="0.25">
      <c r="A61" s="9"/>
      <c r="C61" s="9"/>
      <c r="D61" s="9"/>
      <c r="AV61" t="s">
        <v>767</v>
      </c>
    </row>
    <row r="62" spans="1:48" x14ac:dyDescent="0.25">
      <c r="A62" s="9"/>
      <c r="C62" s="9"/>
      <c r="D62" s="9"/>
      <c r="AV62" t="s">
        <v>850</v>
      </c>
    </row>
    <row r="63" spans="1:48" x14ac:dyDescent="0.25">
      <c r="A63" s="9"/>
      <c r="C63" s="9"/>
      <c r="D63" s="9"/>
      <c r="AV63" t="s">
        <v>93</v>
      </c>
    </row>
    <row r="64" spans="1:48" x14ac:dyDescent="0.25">
      <c r="C64" s="9"/>
      <c r="D64" s="9"/>
      <c r="AV64" t="s">
        <v>729</v>
      </c>
    </row>
    <row r="65" spans="3:48" x14ac:dyDescent="0.25">
      <c r="C65" s="9"/>
      <c r="D65" s="9"/>
      <c r="AV65" t="s">
        <v>267</v>
      </c>
    </row>
    <row r="66" spans="3:48" x14ac:dyDescent="0.25">
      <c r="C66" s="9"/>
      <c r="D66" s="9"/>
      <c r="AV66" t="s">
        <v>96</v>
      </c>
    </row>
    <row r="67" spans="3:48" x14ac:dyDescent="0.25">
      <c r="C67" s="9"/>
      <c r="D67" s="9"/>
      <c r="AV67" t="s">
        <v>262</v>
      </c>
    </row>
    <row r="68" spans="3:48" x14ac:dyDescent="0.25">
      <c r="D68" s="9"/>
      <c r="AV68" t="s">
        <v>256</v>
      </c>
    </row>
    <row r="69" spans="3:48" x14ac:dyDescent="0.25">
      <c r="D69" s="9"/>
      <c r="AV69" t="s">
        <v>98</v>
      </c>
    </row>
    <row r="70" spans="3:48" x14ac:dyDescent="0.25">
      <c r="D70" s="9"/>
      <c r="AV70" t="s">
        <v>793</v>
      </c>
    </row>
    <row r="71" spans="3:48" x14ac:dyDescent="0.25">
      <c r="AV71" t="s">
        <v>731</v>
      </c>
    </row>
    <row r="72" spans="3:48" x14ac:dyDescent="0.25">
      <c r="AV72" t="s">
        <v>254</v>
      </c>
    </row>
    <row r="73" spans="3:48" x14ac:dyDescent="0.25">
      <c r="AV73" t="s">
        <v>105</v>
      </c>
    </row>
    <row r="74" spans="3:48" x14ac:dyDescent="0.25">
      <c r="AV74" t="s">
        <v>261</v>
      </c>
    </row>
    <row r="75" spans="3:48" x14ac:dyDescent="0.25">
      <c r="AV75" t="s">
        <v>107</v>
      </c>
    </row>
    <row r="76" spans="3:48" x14ac:dyDescent="0.25">
      <c r="AV76" t="s">
        <v>89</v>
      </c>
    </row>
    <row r="77" spans="3:48" x14ac:dyDescent="0.25">
      <c r="AV77" t="s">
        <v>1223</v>
      </c>
    </row>
    <row r="78" spans="3:48" x14ac:dyDescent="0.25">
      <c r="AV78" t="s">
        <v>77</v>
      </c>
    </row>
    <row r="79" spans="3:48" x14ac:dyDescent="0.25">
      <c r="AV79" t="s">
        <v>147</v>
      </c>
    </row>
    <row r="80" spans="3:48" x14ac:dyDescent="0.25">
      <c r="AV80" t="s">
        <v>720</v>
      </c>
    </row>
    <row r="81" spans="48:48" x14ac:dyDescent="0.25">
      <c r="AV81" t="s">
        <v>258</v>
      </c>
    </row>
    <row r="82" spans="48:48" x14ac:dyDescent="0.25">
      <c r="AV82" t="s">
        <v>257</v>
      </c>
    </row>
    <row r="83" spans="48:48" x14ac:dyDescent="0.25">
      <c r="AV83" t="s">
        <v>722</v>
      </c>
    </row>
    <row r="84" spans="48:48" x14ac:dyDescent="0.25">
      <c r="AV84" t="s">
        <v>63</v>
      </c>
    </row>
    <row r="85" spans="48:48" x14ac:dyDescent="0.25">
      <c r="AV85" t="s">
        <v>264</v>
      </c>
    </row>
    <row r="86" spans="48:48" x14ac:dyDescent="0.25">
      <c r="AV86" t="s">
        <v>68</v>
      </c>
    </row>
    <row r="87" spans="48:48" x14ac:dyDescent="0.25">
      <c r="AV87" t="s">
        <v>956</v>
      </c>
    </row>
    <row r="88" spans="48:48" x14ac:dyDescent="0.25">
      <c r="AV88" t="s">
        <v>179</v>
      </c>
    </row>
    <row r="89" spans="48:48" x14ac:dyDescent="0.25">
      <c r="AV89" t="s">
        <v>1448</v>
      </c>
    </row>
    <row r="90" spans="48:48" x14ac:dyDescent="0.25">
      <c r="AV90" t="s">
        <v>114</v>
      </c>
    </row>
    <row r="91" spans="48:48" x14ac:dyDescent="0.25">
      <c r="AV91" t="s">
        <v>301</v>
      </c>
    </row>
    <row r="92" spans="48:48" x14ac:dyDescent="0.25">
      <c r="AV92" t="s">
        <v>945</v>
      </c>
    </row>
    <row r="93" spans="48:48" x14ac:dyDescent="0.25">
      <c r="AV93" t="s">
        <v>255</v>
      </c>
    </row>
    <row r="94" spans="48:48" x14ac:dyDescent="0.25">
      <c r="AV94" t="s">
        <v>1452</v>
      </c>
    </row>
    <row r="95" spans="48:48" x14ac:dyDescent="0.25">
      <c r="AV95" t="s">
        <v>1230</v>
      </c>
    </row>
    <row r="96" spans="48:48" x14ac:dyDescent="0.25">
      <c r="AV96" t="s">
        <v>814</v>
      </c>
    </row>
    <row r="97" spans="48:48" x14ac:dyDescent="0.25">
      <c r="AV97" t="s">
        <v>735</v>
      </c>
    </row>
    <row r="98" spans="48:48" x14ac:dyDescent="0.25">
      <c r="AV98" t="s">
        <v>1732</v>
      </c>
    </row>
    <row r="99" spans="48:48" x14ac:dyDescent="0.25">
      <c r="AV99" t="s">
        <v>1806</v>
      </c>
    </row>
    <row r="100" spans="48:48" x14ac:dyDescent="0.25">
      <c r="AV100" t="s">
        <v>1736</v>
      </c>
    </row>
    <row r="101" spans="48:48" x14ac:dyDescent="0.25">
      <c r="AV101" t="s">
        <v>736</v>
      </c>
    </row>
    <row r="102" spans="48:48" x14ac:dyDescent="0.25">
      <c r="AV102" t="s">
        <v>1461</v>
      </c>
    </row>
    <row r="103" spans="48:48" x14ac:dyDescent="0.25">
      <c r="AV103" t="s">
        <v>1734</v>
      </c>
    </row>
    <row r="104" spans="48:48" x14ac:dyDescent="0.25">
      <c r="AV104" t="s">
        <v>131</v>
      </c>
    </row>
    <row r="105" spans="48:48" x14ac:dyDescent="0.25">
      <c r="AV105" t="s">
        <v>1746</v>
      </c>
    </row>
    <row r="106" spans="48:48" x14ac:dyDescent="0.25">
      <c r="AV106" t="s">
        <v>1747</v>
      </c>
    </row>
    <row r="107" spans="48:48" x14ac:dyDescent="0.25">
      <c r="AV107" t="s">
        <v>69</v>
      </c>
    </row>
    <row r="108" spans="48:48" x14ac:dyDescent="0.25">
      <c r="AV108" t="s">
        <v>1445</v>
      </c>
    </row>
    <row r="109" spans="48:48" x14ac:dyDescent="0.25">
      <c r="AV109" t="s">
        <v>111</v>
      </c>
    </row>
    <row r="110" spans="48:48" x14ac:dyDescent="0.25">
      <c r="AV110" t="s">
        <v>1737</v>
      </c>
    </row>
    <row r="111" spans="48:48" x14ac:dyDescent="0.25">
      <c r="AV111" t="s">
        <v>1185</v>
      </c>
    </row>
    <row r="112" spans="48:48" x14ac:dyDescent="0.25">
      <c r="AV112" t="s">
        <v>70</v>
      </c>
    </row>
    <row r="113" spans="48:48" x14ac:dyDescent="0.25">
      <c r="AV113" t="s">
        <v>920</v>
      </c>
    </row>
    <row r="114" spans="48:48" x14ac:dyDescent="0.25">
      <c r="AV114" t="s">
        <v>91</v>
      </c>
    </row>
    <row r="115" spans="48:48" x14ac:dyDescent="0.25">
      <c r="AV115" t="s">
        <v>186</v>
      </c>
    </row>
    <row r="116" spans="48:48" x14ac:dyDescent="0.25">
      <c r="AV116" t="s">
        <v>159</v>
      </c>
    </row>
    <row r="117" spans="48:48" x14ac:dyDescent="0.25">
      <c r="AV117" t="s">
        <v>230</v>
      </c>
    </row>
    <row r="118" spans="48:48" x14ac:dyDescent="0.25">
      <c r="AV118" t="s">
        <v>1807</v>
      </c>
    </row>
    <row r="119" spans="48:48" x14ac:dyDescent="0.25">
      <c r="AV119" t="s">
        <v>250</v>
      </c>
    </row>
    <row r="120" spans="48:48" x14ac:dyDescent="0.25">
      <c r="AV120" t="s">
        <v>946</v>
      </c>
    </row>
    <row r="121" spans="48:48" x14ac:dyDescent="0.25">
      <c r="AV121" t="s">
        <v>834</v>
      </c>
    </row>
    <row r="122" spans="48:48" x14ac:dyDescent="0.25">
      <c r="AV122" t="s">
        <v>110</v>
      </c>
    </row>
    <row r="123" spans="48:48" x14ac:dyDescent="0.25">
      <c r="AV123" t="s">
        <v>268</v>
      </c>
    </row>
    <row r="124" spans="48:48" x14ac:dyDescent="0.25">
      <c r="AV124" t="s">
        <v>757</v>
      </c>
    </row>
    <row r="125" spans="48:48" x14ac:dyDescent="0.25">
      <c r="AV125" t="s">
        <v>738</v>
      </c>
    </row>
    <row r="126" spans="48:48" x14ac:dyDescent="0.25">
      <c r="AV126" t="s">
        <v>756</v>
      </c>
    </row>
    <row r="127" spans="48:48" x14ac:dyDescent="0.25">
      <c r="AV127" t="s">
        <v>751</v>
      </c>
    </row>
    <row r="128" spans="48:48" x14ac:dyDescent="0.25">
      <c r="AV128" t="s">
        <v>81</v>
      </c>
    </row>
    <row r="129" spans="48:48" x14ac:dyDescent="0.25">
      <c r="AV129" t="s">
        <v>116</v>
      </c>
    </row>
    <row r="130" spans="48:48" x14ac:dyDescent="0.25">
      <c r="AV130" t="s">
        <v>87</v>
      </c>
    </row>
    <row r="131" spans="48:48" x14ac:dyDescent="0.25">
      <c r="AV131" t="s">
        <v>1679</v>
      </c>
    </row>
    <row r="132" spans="48:48" x14ac:dyDescent="0.25">
      <c r="AV132" t="s">
        <v>100</v>
      </c>
    </row>
    <row r="133" spans="48:48" x14ac:dyDescent="0.25">
      <c r="AV133" t="s">
        <v>1735</v>
      </c>
    </row>
    <row r="134" spans="48:48" x14ac:dyDescent="0.25">
      <c r="AV134" t="s">
        <v>67</v>
      </c>
    </row>
    <row r="135" spans="48:48" x14ac:dyDescent="0.25">
      <c r="AV135" t="s">
        <v>746</v>
      </c>
    </row>
    <row r="136" spans="48:48" x14ac:dyDescent="0.25">
      <c r="AV136" t="s">
        <v>743</v>
      </c>
    </row>
    <row r="137" spans="48:48" x14ac:dyDescent="0.25">
      <c r="AV137" t="s">
        <v>837</v>
      </c>
    </row>
    <row r="138" spans="48:48" x14ac:dyDescent="0.25">
      <c r="AV138" t="s">
        <v>732</v>
      </c>
    </row>
    <row r="139" spans="48:48" x14ac:dyDescent="0.25">
      <c r="AV139" t="s">
        <v>127</v>
      </c>
    </row>
    <row r="140" spans="48:48" x14ac:dyDescent="0.25">
      <c r="AV140" t="s">
        <v>841</v>
      </c>
    </row>
    <row r="141" spans="48:48" x14ac:dyDescent="0.25">
      <c r="AV141" t="s">
        <v>1733</v>
      </c>
    </row>
    <row r="142" spans="48:48" x14ac:dyDescent="0.25">
      <c r="AV142" t="s">
        <v>92</v>
      </c>
    </row>
    <row r="143" spans="48:48" x14ac:dyDescent="0.25">
      <c r="AV143" t="s">
        <v>1289</v>
      </c>
    </row>
    <row r="144" spans="48:48" x14ac:dyDescent="0.25">
      <c r="AV144" t="s">
        <v>745</v>
      </c>
    </row>
    <row r="145" spans="48:48" x14ac:dyDescent="0.25">
      <c r="AV145" t="s">
        <v>76</v>
      </c>
    </row>
    <row r="146" spans="48:48" x14ac:dyDescent="0.25">
      <c r="AV146" t="s">
        <v>251</v>
      </c>
    </row>
    <row r="147" spans="48:48" x14ac:dyDescent="0.25">
      <c r="AV147" t="s">
        <v>243</v>
      </c>
    </row>
    <row r="148" spans="48:48" x14ac:dyDescent="0.25">
      <c r="AV148" t="s">
        <v>838</v>
      </c>
    </row>
    <row r="149" spans="48:48" x14ac:dyDescent="0.25">
      <c r="AV149" t="s">
        <v>224</v>
      </c>
    </row>
    <row r="150" spans="48:48" x14ac:dyDescent="0.25">
      <c r="AV150" t="s">
        <v>239</v>
      </c>
    </row>
    <row r="151" spans="48:48" x14ac:dyDescent="0.25">
      <c r="AV151" t="s">
        <v>136</v>
      </c>
    </row>
    <row r="152" spans="48:48" x14ac:dyDescent="0.25">
      <c r="AV152" t="s">
        <v>118</v>
      </c>
    </row>
    <row r="153" spans="48:48" x14ac:dyDescent="0.25">
      <c r="AV153" t="s">
        <v>747</v>
      </c>
    </row>
    <row r="154" spans="48:48" x14ac:dyDescent="0.25">
      <c r="AV154" t="s">
        <v>842</v>
      </c>
    </row>
    <row r="155" spans="48:48" x14ac:dyDescent="0.25">
      <c r="AV155" t="s">
        <v>119</v>
      </c>
    </row>
    <row r="156" spans="48:48" x14ac:dyDescent="0.25">
      <c r="AV156" t="s">
        <v>847</v>
      </c>
    </row>
    <row r="157" spans="48:48" x14ac:dyDescent="0.25">
      <c r="AV157" t="s">
        <v>717</v>
      </c>
    </row>
    <row r="158" spans="48:48" x14ac:dyDescent="0.25">
      <c r="AV158" t="s">
        <v>740</v>
      </c>
    </row>
    <row r="159" spans="48:48" x14ac:dyDescent="0.25">
      <c r="AV159" t="s">
        <v>737</v>
      </c>
    </row>
    <row r="160" spans="48:48" x14ac:dyDescent="0.25">
      <c r="AV160" t="s">
        <v>266</v>
      </c>
    </row>
    <row r="161" spans="48:48" x14ac:dyDescent="0.25">
      <c r="AV161" t="s">
        <v>265</v>
      </c>
    </row>
    <row r="162" spans="48:48" x14ac:dyDescent="0.25">
      <c r="AV162" t="s">
        <v>97</v>
      </c>
    </row>
    <row r="163" spans="48:48" x14ac:dyDescent="0.25">
      <c r="AV163" t="s">
        <v>95</v>
      </c>
    </row>
    <row r="164" spans="48:48" x14ac:dyDescent="0.25">
      <c r="AV164" t="s">
        <v>843</v>
      </c>
    </row>
    <row r="165" spans="48:48" x14ac:dyDescent="0.25">
      <c r="AV165" t="s">
        <v>947</v>
      </c>
    </row>
    <row r="166" spans="48:48" x14ac:dyDescent="0.25">
      <c r="AV166" t="s">
        <v>1743</v>
      </c>
    </row>
  </sheetData>
  <sortState ref="AV2:AV166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060A741-6F96-49A8-B33E-0DFAB2136B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50</vt:i4>
      </vt:variant>
    </vt:vector>
  </HeadingPairs>
  <TitlesOfParts>
    <vt:vector size="76" baseType="lpstr">
      <vt:lpstr>Main</vt:lpstr>
      <vt:lpstr>Preset Teams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MissionJSON</vt:lpstr>
      <vt:lpstr>NodeColor</vt:lpstr>
      <vt:lpstr>OneStack</vt:lpstr>
      <vt:lpstr>PositionInput</vt:lpstr>
      <vt:lpstr>Preset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Ly</dc:creator>
  <cp:lastModifiedBy>Randomqwerty</cp:lastModifiedBy>
  <dcterms:created xsi:type="dcterms:W3CDTF">2021-03-06T22:53:28Z</dcterms:created>
  <dcterms:modified xsi:type="dcterms:W3CDTF">2021-12-30T19:12:56Z</dcterms:modified>
</cp:coreProperties>
</file>