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49698D7-8C2E-4ED3-B66A-ECAC971C3BA6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state="hidden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Data'!$A$1:$X$220</definedName>
    <definedName name="_xlnm._FilterDatabase" localSheetId="13" hidden="1">'Fairy Data'!$A$1:$K$38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
(1-link, no shields)
</t>
        </r>
        <r>
          <rPr>
            <sz val="9"/>
            <color indexed="81"/>
            <rFont val="Tahoma"/>
            <family val="2"/>
          </rPr>
          <t>950046 / 5k HP, 10 eva
950047 / 10k HP, 16 eva
950048 / 20k HP, 26 eva
950049 / 40k HP, 42 eva
950050 / 100k HP, 60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<sst xmlns="http://schemas.openxmlformats.org/spreadsheetml/2006/main" count="8381" uniqueCount="1833">
  <si>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</si>
  <si>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</si>
  <si>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</si>
  <si>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</si>
  <si>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</si>
  <si>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</si>
  <si>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</si>
  <si>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</si>
  <si>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</si>
  <si>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</si>
  <si>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</si>
  <si>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</si>
  <si>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</si>
  <si>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</si>
  <si>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</si>
  <si>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</si>
  <si>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</si>
  <si>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</si>
  <si>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</si>
  <si>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</si>
  <si>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</si>
  <si>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</si>
  <si>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</si>
  <si>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</si>
  <si>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</si>
  <si>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</si>
  <si>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</si>
  <si>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</si>
  <si>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</si>
  <si>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</si>
  <si>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</si>
  <si>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</si>
  <si>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</si>
  <si>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</si>
  <si>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</si>
  <si>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</si>
  <si>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</si>
  <si>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</si>
  <si>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</si>
  <si>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</si>
  <si>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</si>
  <si>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</si>
  <si>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</si>
  <si>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</si>
  <si>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</si>
  <si>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</si>
  <si>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</si>
  <si>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</si>
  <si>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</si>
  <si>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</si>
  <si>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</si>
  <si>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</si>
  <si>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</si>
  <si>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</si>
  <si>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</si>
  <si>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</si>
  <si>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</si>
  <si>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</si>
  <si>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</si>
  <si>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</si>
  <si>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</si>
  <si>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</si>
  <si>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</si>
  <si>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</si>
  <si>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</si>
  <si>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</si>
  <si>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</si>
  <si>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</si>
  <si>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</si>
  <si>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</si>
  <si>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</si>
  <si>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</si>
  <si>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</si>
  <si>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</si>
  <si>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</si>
  <si>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</si>
  <si>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</si>
  <si>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</si>
  <si>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</si>
  <si>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</si>
  <si>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</si>
  <si>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</si>
  <si>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</si>
  <si>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</si>
  <si>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</si>
  <si>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</si>
  <si>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</si>
  <si>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</si>
  <si>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</si>
  <si>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</si>
  <si>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</si>
  <si>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</si>
  <si>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</si>
  <si>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</si>
  <si>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</si>
  <si>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</si>
  <si>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</si>
  <si>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</si>
  <si>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</si>
  <si>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</si>
  <si>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</si>
  <si>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</si>
  <si>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</si>
  <si>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</si>
  <si>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</si>
  <si>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</si>
  <si>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</si>
  <si>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</si>
  <si>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</si>
  <si>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</si>
  <si>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</si>
  <si>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</si>
  <si>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</si>
  <si>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</si>
  <si>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</si>
  <si>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</si>
  <si>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</si>
  <si>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</si>
  <si>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</si>
  <si>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</si>
  <si>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</si>
  <si>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</si>
  <si>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</si>
  <si>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</si>
  <si>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</si>
  <si>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</si>
  <si>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</si>
  <si>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</si>
  <si>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</si>
  <si>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</si>
  <si>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</si>
  <si>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</si>
  <si>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</si>
  <si>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</si>
  <si>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</si>
  <si>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</si>
  <si>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</si>
  <si>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</si>
  <si>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</si>
  <si>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</si>
  <si>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</si>
  <si>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</si>
  <si>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</si>
  <si>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</si>
  <si>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</si>
  <si>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</si>
  <si>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</si>
  <si>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</si>
  <si>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</si>
  <si>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</si>
  <si>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</si>
  <si>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</si>
  <si>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</si>
  <si>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</si>
  <si>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</si>
  <si>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</si>
  <si>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</si>
  <si>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</si>
  <si>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</si>
  <si>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</si>
  <si>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</si>
  <si>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</si>
  <si>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</si>
  <si>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</si>
  <si>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</si>
  <si>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</si>
  <si>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</si>
  <si>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</si>
  <si>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</si>
  <si>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</si>
  <si>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</si>
  <si>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</si>
  <si>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</si>
  <si>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</si>
  <si>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</si>
  <si>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</si>
  <si>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</si>
  <si>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</si>
  <si>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</si>
  <si>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</si>
  <si>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</si>
  <si>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</si>
  <si>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</si>
  <si>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</si>
  <si>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</si>
  <si>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</si>
  <si>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</si>
  <si>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</si>
  <si>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</si>
  <si>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</si>
  <si>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</si>
  <si>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</si>
  <si>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</si>
  <si>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</si>
  <si>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</si>
  <si>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</si>
  <si>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</si>
  <si>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</si>
  <si>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</si>
  <si>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</si>
  <si>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</si>
  <si>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</si>
  <si>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</si>
  <si>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</si>
  <si>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</si>
  <si>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</si>
  <si>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</si>
  <si>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</si>
  <si>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</si>
  <si>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</si>
  <si>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</si>
  <si>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</si>
  <si>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</si>
  <si>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</si>
  <si>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</si>
  <si>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</si>
  <si>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</si>
  <si>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</si>
  <si>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</si>
  <si>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</si>
  <si>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</si>
  <si>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</si>
  <si>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</si>
  <si>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</si>
  <si>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</si>
  <si>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</si>
  <si>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</si>
  <si>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</si>
  <si>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</si>
  <si>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</si>
  <si>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</si>
  <si>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</si>
  <si>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</si>
  <si>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</si>
  <si>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</si>
  <si>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</si>
  <si>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</si>
  <si>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</si>
  <si>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</si>
  <si>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</si>
  <si>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</si>
  <si>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</si>
  <si>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</si>
  <si>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</si>
  <si>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</si>
  <si>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</si>
  <si>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</si>
  <si>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</si>
  <si>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</si>
  <si>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</si>
  <si>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</si>
  <si>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</si>
  <si>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</si>
  <si>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</si>
  <si>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</si>
  <si>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</si>
  <si>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</si>
  <si>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</si>
  <si>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</si>
  <si>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</si>
  <si>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</si>
  <si>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</si>
  <si>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</si>
  <si>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</si>
  <si>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</si>
  <si>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</si>
  <si>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</si>
  <si>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</si>
  <si>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</si>
  <si>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</si>
  <si>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</si>
  <si>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</si>
  <si>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</si>
  <si>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</si>
  <si>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</si>
  <si>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</si>
  <si>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</si>
  <si>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</si>
  <si>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</si>
  <si>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</si>
  <si>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</si>
  <si>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</si>
  <si>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</si>
  <si>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</si>
  <si>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</si>
  <si>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</si>
  <si>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</si>
  <si>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</si>
  <si>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</si>
  <si>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</si>
  <si>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</si>
  <si>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</si>
  <si>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</si>
  <si>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</si>
  <si>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</si>
  <si>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</si>
  <si>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</si>
  <si>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</si>
  <si>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</si>
  <si>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</si>
  <si>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</si>
  <si>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</si>
  <si>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</si>
  <si>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</si>
  <si>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</si>
  <si>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</si>
  <si>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</si>
  <si>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</si>
  <si>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</si>
  <si>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</si>
  <si>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</si>
  <si>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</si>
  <si>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</si>
  <si>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</si>
  <si>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</si>
  <si>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</si>
  <si>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</si>
  <si>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</si>
  <si>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</si>
  <si>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</si>
  <si>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</si>
  <si>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</si>
  <si>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</si>
  <si>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</si>
  <si>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</si>
  <si>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</si>
  <si>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</si>
  <si>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</si>
  <si>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</si>
  <si>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</si>
  <si>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</si>
  <si>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</si>
  <si>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</si>
  <si>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</si>
  <si>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</si>
  <si>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</si>
  <si>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</si>
  <si>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</si>
  <si>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</si>
  <si>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</si>
  <si>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</si>
  <si>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</si>
  <si>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</si>
  <si>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</si>
  <si>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</si>
  <si>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</si>
  <si>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</si>
  <si>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</si>
  <si>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</si>
  <si>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</si>
  <si>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</si>
  <si>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</si>
  <si>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</si>
  <si>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</si>
  <si>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</si>
  <si>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</si>
  <si>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</si>
  <si>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</si>
  <si>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</si>
  <si>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</si>
  <si>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</si>
  <si>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</si>
  <si>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</si>
  <si>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</si>
  <si>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</si>
  <si>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</si>
  <si>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</si>
  <si>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</si>
  <si>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</si>
  <si>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</si>
  <si>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</si>
  <si>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</si>
  <si>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</si>
  <si>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</si>
  <si>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</si>
  <si>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</si>
  <si>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</si>
  <si>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</si>
  <si>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</si>
  <si>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</si>
  <si>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</si>
  <si>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</si>
  <si>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</si>
  <si>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</si>
  <si>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</si>
  <si>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</si>
  <si>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</si>
  <si>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</si>
  <si>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</si>
  <si>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</si>
  <si>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</si>
  <si>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</si>
  <si>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</si>
  <si>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</si>
  <si>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</si>
  <si>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</si>
  <si>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</si>
  <si>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</si>
  <si>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</si>
  <si>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</si>
  <si>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</si>
  <si>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</si>
  <si>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</si>
  <si>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</si>
  <si>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</si>
  <si>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</si>
  <si>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</si>
  <si>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</si>
  <si>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</si>
  <si>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</si>
  <si>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</si>
  <si>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</si>
  <si>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</si>
  <si>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</si>
  <si>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</si>
  <si>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</si>
  <si>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</si>
  <si>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</si>
  <si>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</si>
  <si>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</si>
  <si>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</si>
  <si>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</si>
  <si>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</si>
  <si>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</si>
  <si>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</si>
  <si>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</si>
  <si>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</si>
  <si>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</si>
  <si>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</si>
  <si>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</si>
  <si>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</si>
  <si>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</si>
  <si>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</si>
  <si>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</si>
  <si>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</si>
  <si>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</si>
  <si>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</si>
  <si>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</si>
  <si>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</si>
  <si>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</si>
  <si>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</si>
  <si>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</si>
  <si>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</si>
  <si>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</si>
  <si>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</si>
  <si>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</si>
  <si>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</si>
  <si>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</si>
  <si>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</si>
  <si>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</si>
  <si>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</si>
  <si>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</si>
  <si>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</si>
  <si>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</si>
  <si>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</si>
  <si>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</si>
  <si>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</si>
  <si>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</si>
  <si>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</si>
  <si>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</si>
  <si>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</si>
  <si>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</si>
  <si>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</si>
  <si>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</si>
  <si>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</si>
  <si>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</si>
  <si>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</si>
  <si>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</si>
  <si>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</si>
  <si>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</si>
  <si>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</si>
  <si>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</si>
  <si>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</si>
  <si>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</si>
  <si>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</si>
  <si>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</si>
  <si>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</si>
  <si>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</si>
  <si>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</si>
  <si>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</si>
  <si>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</si>
  <si>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</si>
  <si>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</si>
  <si>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</si>
  <si>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</si>
  <si>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</si>
  <si>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</si>
  <si>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</si>
  <si>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</si>
  <si>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</si>
  <si>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</si>
  <si>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</si>
  <si>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</si>
  <si>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</si>
  <si>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</si>
  <si>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</si>
  <si>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</si>
  <si>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</si>
  <si>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</si>
  <si>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</si>
  <si>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</si>
  <si>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</si>
  <si>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</si>
  <si>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</si>
  <si>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</si>
  <si>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</si>
  <si>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</si>
  <si>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</si>
  <si>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</si>
  <si>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</si>
  <si>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</si>
  <si>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</si>
  <si>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</si>
  <si>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</si>
  <si>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</si>
  <si>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</si>
  <si>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</si>
  <si>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</si>
  <si>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</si>
  <si>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</si>
  <si>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</si>
  <si>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</si>
  <si>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</si>
  <si>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</si>
  <si>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</si>
  <si>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</si>
  <si>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</si>
  <si>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</si>
  <si>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</si>
  <si>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</si>
  <si>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</si>
  <si>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</si>
  <si>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</si>
  <si>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</si>
  <si>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</si>
  <si>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</si>
  <si>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</si>
  <si>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</si>
  <si>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</si>
  <si>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</si>
  <si>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</si>
  <si>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</si>
  <si>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</si>
  <si>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</si>
  <si>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</si>
  <si>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</si>
  <si>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</si>
  <si>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</si>
  <si>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</si>
  <si>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</si>
  <si>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</si>
  <si>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</si>
  <si>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</si>
  <si>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</si>
  <si>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</si>
  <si>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</si>
  <si>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</si>
  <si>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</si>
  <si>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</si>
  <si>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</si>
  <si>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</si>
  <si>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</si>
  <si>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</si>
  <si>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</si>
  <si>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</si>
  <si>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</si>
  <si>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</si>
  <si>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</si>
  <si>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</si>
  <si>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</si>
  <si>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</si>
  <si>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</si>
  <si>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</si>
  <si>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</si>
  <si>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</si>
  <si>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</si>
  <si>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</si>
  <si>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</si>
  <si>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</si>
  <si>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</si>
  <si>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</si>
  <si>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</si>
  <si>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</si>
  <si>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</si>
  <si>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</si>
  <si>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</si>
  <si>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</si>
  <si>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</si>
  <si>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</si>
  <si>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</si>
  <si>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</si>
  <si>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</si>
  <si>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</si>
  <si>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</si>
  <si>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</si>
  <si>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</si>
  <si>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</si>
  <si>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</si>
  <si>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</si>
  <si>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</si>
  <si>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</si>
  <si>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</si>
  <si>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</si>
  <si>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</si>
  <si>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</si>
  <si>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</si>
  <si>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</si>
  <si>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</si>
  <si>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</si>
  <si>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</si>
  <si>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</si>
  <si>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</si>
  <si>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</si>
  <si>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</si>
  <si>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</si>
  <si>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</si>
  <si>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</si>
  <si>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</si>
  <si>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</si>
  <si>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</si>
  <si>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</si>
  <si>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</si>
  <si>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</si>
  <si>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</si>
  <si>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</si>
  <si>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</si>
  <si>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</si>
  <si>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</si>
  <si>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</si>
  <si>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</si>
  <si>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</si>
  <si>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</si>
  <si>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</si>
  <si>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</si>
  <si>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</si>
  <si>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</si>
  <si>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</si>
  <si>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</si>
  <si>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</si>
  <si>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</si>
  <si>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</si>
  <si>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</si>
  <si>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</si>
  <si>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</si>
  <si>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</si>
  <si>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</si>
  <si>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</si>
  <si>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</si>
  <si>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</si>
  <si>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</si>
  <si>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</si>
  <si>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</si>
  <si>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</si>
  <si>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</si>
  <si>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</si>
  <si>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</si>
  <si>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</si>
  <si>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</si>
  <si>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</si>
  <si>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</si>
  <si>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</si>
  <si>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</si>
  <si>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</si>
  <si>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</si>
  <si>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</si>
  <si>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</si>
  <si>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</si>
  <si>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</si>
  <si>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</si>
  <si>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</si>
  <si>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</si>
  <si>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</si>
  <si>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</si>
  <si>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</si>
  <si>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</si>
  <si>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</si>
  <si>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</si>
  <si>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</si>
  <si>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</si>
  <si>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</si>
  <si>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</si>
  <si>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</si>
  <si>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</si>
  <si>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</si>
  <si>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</si>
  <si>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</si>
  <si>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</si>
  <si>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</si>
  <si>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</si>
  <si>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</si>
  <si>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</si>
  <si>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</si>
  <si>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</si>
  <si>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</si>
  <si>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</si>
  <si>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</si>
  <si>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</si>
  <si>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</si>
  <si>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</si>
  <si>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</si>
  <si>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</si>
  <si>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</si>
  <si>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</si>
  <si>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</si>
  <si>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</si>
  <si>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</si>
  <si>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</si>
  <si>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</si>
  <si>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</si>
  <si>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</si>
  <si>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</si>
  <si>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</si>
  <si>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</si>
  <si>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</si>
  <si>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</si>
  <si>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</si>
  <si>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</si>
  <si>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</si>
  <si>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</si>
  <si>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</si>
  <si>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</si>
  <si>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</si>
  <si>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</si>
  <si>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</si>
  <si>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</si>
  <si>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</si>
  <si>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</si>
  <si>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</si>
  <si>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</si>
  <si>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</si>
  <si>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</si>
  <si>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</si>
  <si>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</si>
  <si>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</si>
  <si>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</si>
  <si>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</si>
  <si>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</si>
  <si>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</si>
  <si>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</si>
  <si>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</si>
  <si>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</si>
  <si>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</si>
  <si>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</si>
  <si>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</si>
  <si>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</si>
  <si>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</si>
  <si>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</si>
  <si>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</si>
  <si>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</si>
  <si>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</si>
  <si>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</si>
  <si>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</si>
  <si>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</si>
  <si>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</si>
  <si>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</si>
  <si>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</si>
  <si>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</si>
  <si>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</si>
  <si>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</si>
  <si>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</si>
  <si>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</si>
  <si>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</si>
  <si>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</si>
  <si>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</si>
  <si>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</si>
  <si>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</si>
  <si>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</si>
  <si>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</si>
  <si>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</si>
  <si>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</si>
  <si>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</si>
  <si>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</si>
  <si>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</si>
  <si>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</si>
  <si>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</si>
  <si>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</si>
  <si>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</si>
  <si>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</si>
  <si>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</si>
  <si>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</si>
  <si>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</si>
  <si>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</si>
  <si>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</si>
  <si>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</si>
  <si>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</si>
  <si>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</si>
  <si>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</si>
  <si>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</si>
  <si>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</si>
  <si>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</si>
  <si>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</si>
  <si>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</si>
  <si>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</si>
  <si>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</si>
  <si>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</si>
  <si>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</si>
  <si>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</si>
  <si>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</si>
  <si>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</si>
  <si>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</si>
  <si>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</si>
  <si>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</si>
  <si>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</si>
  <si>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</si>
  <si>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</si>
  <si>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</si>
  <si>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</si>
  <si>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</si>
  <si>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</si>
  <si>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</si>
  <si>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</si>
  <si>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</si>
  <si>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</si>
  <si>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</si>
  <si>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</si>
  <si>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</si>
  <si>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</si>
  <si>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</si>
  <si>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</si>
  <si>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</si>
  <si>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</si>
  <si>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</si>
  <si>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</si>
  <si>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</si>
  <si>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</si>
  <si>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</si>
  <si>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</si>
  <si>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</si>
  <si>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</si>
  <si>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</si>
  <si>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</si>
  <si>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</si>
  <si>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</si>
  <si>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</si>
  <si>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</si>
  <si>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</si>
  <si>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</si>
  <si>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</si>
  <si>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</si>
  <si>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</si>
  <si>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</si>
  <si>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</si>
  <si>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</si>
  <si>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</si>
  <si>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</si>
  <si>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</si>
  <si>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</si>
  <si>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</si>
  <si>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</si>
  <si>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</si>
  <si>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</si>
  <si>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</si>
  <si>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</si>
  <si>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</si>
  <si>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</si>
  <si>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</si>
  <si>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</si>
  <si>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</si>
  <si>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</si>
  <si>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</si>
  <si>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</si>
  <si>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</si>
  <si>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</si>
  <si>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</si>
  <si>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</si>
  <si>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</si>
  <si>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</si>
  <si>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</si>
  <si>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</si>
  <si>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</si>
  <si>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</si>
  <si>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</si>
  <si>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</si>
  <si>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</si>
  <si>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</si>
  <si>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</si>
  <si>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</si>
  <si>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</si>
  <si>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</si>
  <si>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</si>
  <si>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</si>
  <si>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</si>
  <si>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</si>
  <si>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</si>
  <si>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</si>
  <si>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</si>
  <si>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</si>
  <si>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</si>
  <si>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</si>
  <si>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</si>
  <si>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</si>
  <si>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</si>
  <si>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</si>
  <si>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</si>
  <si>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</si>
  <si>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</si>
  <si>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</si>
  <si>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</si>
  <si>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</si>
  <si>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</si>
  <si>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</si>
  <si>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</si>
  <si>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</si>
  <si>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</si>
  <si>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</si>
  <si>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</si>
  <si>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</si>
  <si>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</si>
  <si>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</si>
  <si>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</si>
  <si>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</si>
  <si>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</si>
  <si>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</si>
  <si>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</si>
  <si>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</si>
  <si>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</si>
  <si>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</si>
  <si>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</si>
  <si>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</si>
  <si>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</si>
  <si>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</si>
  <si>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</si>
  <si>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</si>
  <si>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</si>
  <si>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</si>
  <si>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</si>
  <si>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</si>
  <si>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</si>
  <si>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</si>
  <si>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</si>
  <si>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</si>
  <si>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</si>
  <si>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</si>
  <si>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</si>
  <si>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</si>
  <si>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</si>
  <si>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</si>
  <si>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</si>
  <si>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</si>
  <si>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</si>
  <si>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</si>
  <si>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</si>
  <si>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</si>
  <si>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</si>
  <si>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</si>
  <si>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</si>
  <si>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</si>
  <si>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</si>
  <si>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</si>
  <si>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</si>
  <si>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</si>
  <si>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</si>
  <si>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</si>
  <si>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</si>
  <si>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</si>
  <si>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</si>
  <si>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</si>
  <si>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</si>
  <si>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</si>
  <si>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</si>
  <si>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</si>
  <si>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</si>
  <si>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</si>
  <si>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</si>
  <si>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</si>
  <si>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</si>
  <si>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</si>
  <si>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</si>
  <si>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</si>
  <si>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</si>
  <si>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</si>
  <si>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</si>
  <si>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</si>
  <si>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</si>
  <si>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</si>
  <si>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</si>
  <si>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</si>
  <si>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</si>
  <si>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</si>
  <si>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</si>
  <si>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</si>
  <si>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</si>
  <si>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</si>
  <si>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</si>
  <si>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</si>
  <si>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</si>
  <si>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</si>
  <si>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</si>
  <si>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</si>
  <si>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</si>
  <si>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</si>
  <si>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</si>
  <si>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</si>
  <si>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</si>
  <si>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</si>
  <si>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</si>
  <si>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</si>
  <si>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</si>
  <si>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</si>
  <si>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</si>
  <si>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</si>
  <si>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</si>
  <si>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</si>
  <si>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</si>
  <si>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</si>
  <si>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</si>
  <si>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</si>
  <si>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</si>
  <si>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</si>
  <si>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</si>
  <si>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</si>
  <si>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</si>
  <si>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</si>
  <si>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</si>
  <si>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</si>
  <si>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</si>
  <si>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</si>
  <si>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</si>
  <si>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</si>
  <si>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</si>
  <si>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</si>
  <si>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</si>
  <si>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</si>
  <si>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</si>
  <si>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</si>
  <si>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</si>
  <si>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</si>
  <si>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</si>
  <si>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</si>
  <si>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</si>
  <si>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</si>
  <si>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</si>
  <si>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</si>
  <si>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</si>
  <si>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</si>
  <si>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</si>
  <si>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</si>
  <si>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</si>
  <si>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</si>
  <si>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</si>
  <si>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</si>
  <si>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</si>
  <si>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</si>
  <si>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</si>
  <si>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</si>
  <si>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</si>
  <si>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</si>
  <si>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</si>
  <si>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</si>
  <si>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</si>
  <si>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</si>
  <si>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</si>
  <si>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</si>
  <si>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</si>
  <si>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</si>
  <si>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</si>
  <si>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</si>
  <si>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</si>
  <si>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</si>
  <si>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</si>
  <si>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</si>
  <si>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</si>
  <si>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</si>
  <si>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</si>
  <si>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</si>
  <si>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</si>
  <si>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</si>
  <si>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</si>
  <si>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</si>
  <si>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</si>
  <si>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</si>
  <si>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</si>
  <si>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</si>
  <si>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</si>
  <si>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</si>
  <si>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</si>
  <si>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</si>
  <si>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</si>
  <si>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</si>
  <si>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</si>
  <si>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</si>
  <si>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</si>
  <si>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</si>
  <si>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</si>
  <si>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</si>
  <si>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</si>
  <si>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</si>
  <si>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</si>
  <si>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</si>
  <si>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</si>
  <si>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</si>
  <si>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</si>
  <si>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</si>
  <si>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</si>
  <si>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</si>
  <si>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</si>
  <si>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</si>
  <si>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</si>
  <si>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</si>
  <si>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</si>
  <si>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</si>
  <si>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</si>
  <si>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</si>
  <si>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</si>
  <si>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</si>
  <si>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</si>
  <si>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</si>
  <si>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</si>
  <si>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</si>
  <si>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</si>
  <si>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</si>
  <si>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</si>
  <si>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</si>
  <si>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</si>
  <si>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</si>
  <si>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</si>
  <si>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</si>
  <si>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</si>
  <si>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</si>
  <si>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</si>
  <si>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</si>
  <si>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</si>
  <si>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</si>
  <si>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</si>
  <si>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</si>
  <si>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</si>
  <si>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</si>
  <si>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</si>
  <si>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</si>
  <si>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</si>
  <si>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</si>
  <si>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</si>
  <si>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</si>
  <si>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</si>
  <si>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</si>
  <si>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</si>
  <si>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</si>
  <si>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</si>
  <si>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</si>
  <si>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</si>
  <si>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</si>
  <si>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</si>
  <si>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</si>
  <si>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</si>
  <si>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</si>
  <si>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</si>
  <si>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</si>
  <si>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</si>
  <si>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</si>
  <si>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</si>
  <si>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</si>
  <si>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</si>
  <si>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</si>
  <si>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</si>
  <si>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</si>
  <si>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</si>
  <si>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</si>
  <si>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</si>
  <si>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</si>
  <si>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</si>
  <si>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</si>
  <si>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</si>
  <si>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</si>
  <si>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</si>
  <si>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</si>
  <si>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</si>
  <si>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</si>
  <si>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</si>
  <si>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</si>
  <si>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</si>
  <si>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</si>
  <si>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</si>
  <si>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</si>
  <si>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</si>
  <si>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</si>
  <si>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</si>
  <si>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</si>
  <si>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</si>
  <si>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</si>
  <si>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</si>
  <si>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</si>
  <si>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</si>
  <si>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</si>
  <si>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</si>
  <si>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</si>
  <si>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</si>
  <si>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</si>
  <si>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</si>
  <si>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</si>
  <si>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</si>
  <si>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</si>
  <si>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</si>
  <si>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</si>
  <si>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</si>
  <si>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</si>
  <si>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</si>
  <si>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</si>
  <si>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</si>
  <si>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</si>
  <si>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</si>
  <si>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</si>
  <si>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</si>
  <si>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</si>
  <si>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</si>
  <si>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</si>
  <si>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</si>
  <si>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</si>
  <si>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</si>
  <si>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</si>
  <si>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</si>
  <si>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</si>
  <si>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</si>
  <si>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</si>
  <si>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</si>
  <si>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</si>
  <si>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</si>
  <si>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</si>
  <si>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</si>
  <si>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</si>
  <si>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</si>
  <si>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</si>
  <si>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</si>
  <si>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</si>
  <si>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</si>
  <si>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</si>
  <si>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</si>
  <si>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</si>
  <si>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</si>
  <si>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</si>
  <si>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</si>
  <si>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</si>
  <si>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</si>
  <si>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</si>
  <si>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</si>
  <si>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</si>
  <si>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</si>
  <si>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</si>
  <si>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</si>
  <si>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</si>
  <si>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</si>
  <si>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</si>
  <si>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</si>
  <si>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</si>
  <si>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</si>
  <si>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</si>
  <si>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</si>
  <si>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</si>
  <si>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</si>
  <si>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</si>
  <si>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</si>
  <si>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</si>
  <si>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</si>
  <si>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</si>
  <si>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</si>
  <si>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</si>
  <si>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</si>
  <si>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</si>
  <si>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</si>
  <si>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</si>
  <si>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</si>
  <si>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</si>
  <si>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</si>
  <si>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</si>
  <si>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</si>
  <si>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</si>
  <si>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</si>
  <si>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</si>
  <si>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</si>
  <si>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</si>
  <si>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</si>
  <si>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</si>
  <si>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</si>
  <si>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</si>
  <si>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</si>
  <si>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</si>
  <si>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</si>
  <si>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</si>
  <si>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</si>
  <si>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</si>
  <si>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</si>
  <si>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</si>
  <si>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</si>
  <si>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</si>
  <si>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</si>
  <si>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</si>
  <si>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</si>
  <si>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</si>
  <si>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</si>
  <si>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</si>
  <si>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</si>
  <si>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</si>
  <si>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</si>
  <si>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</si>
  <si>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</si>
  <si>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</si>
  <si>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</si>
  <si>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</si>
  <si>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</si>
  <si>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</si>
  <si>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</si>
  <si>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</si>
  <si>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</si>
  <si>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</si>
  <si>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</si>
  <si>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</si>
  <si>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</si>
  <si>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</si>
  <si>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</si>
  <si>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</si>
  <si>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</si>
  <si>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</si>
  <si>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</si>
  <si>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</si>
  <si>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</si>
  <si>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</si>
  <si>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</si>
  <si>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</si>
  <si>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</si>
  <si>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</si>
  <si>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</si>
  <si>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</si>
  <si>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</si>
  <si>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</si>
  <si>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</si>
  <si>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</si>
  <si>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</si>
  <si>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</si>
  <si>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</si>
  <si>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</si>
  <si>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</si>
  <si>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</si>
  <si>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</si>
  <si>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</si>
  <si>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</si>
  <si>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</si>
  <si>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</si>
  <si>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</si>
  <si>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</si>
  <si>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</si>
  <si>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</si>
  <si>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</si>
  <si>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</si>
  <si>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</si>
  <si>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</si>
  <si>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</si>
  <si>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</si>
  <si>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</si>
  <si>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</si>
  <si>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</si>
  <si>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</si>
  <si>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</si>
  <si>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</si>
  <si>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</si>
  <si>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</si>
  <si>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</si>
  <si>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</si>
  <si>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</si>
  <si>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</si>
  <si>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</si>
  <si>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</si>
  <si>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</si>
  <si>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</si>
  <si>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</si>
  <si>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</si>
  <si>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</si>
  <si>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</si>
  <si>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</si>
  <si>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</si>
  <si>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</si>
  <si>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</si>
  <si>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</si>
  <si>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</si>
  <si>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</si>
  <si>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</si>
  <si>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</si>
  <si>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</si>
  <si>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</si>
  <si>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</si>
  <si>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</si>
  <si>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</si>
  <si>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</si>
  <si>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</si>
  <si>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</si>
  <si>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</si>
  <si>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</si>
  <si>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</si>
  <si>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</si>
  <si>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</si>
  <si>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</si>
  <si>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</si>
  <si>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</si>
  <si>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</si>
  <si>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</si>
  <si>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</si>
  <si>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</si>
  <si>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</si>
  <si>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</si>
  <si>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</si>
  <si>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</si>
  <si>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</si>
  <si>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</si>
  <si>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</si>
  <si>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</si>
  <si>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</si>
  <si>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</si>
  <si>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</si>
  <si>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</si>
  <si>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</si>
  <si>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</si>
  <si>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</si>
  <si>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</si>
  <si>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</si>
  <si>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</si>
  <si>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</si>
  <si>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</si>
  <si>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</si>
  <si>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</si>
  <si>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</si>
  <si>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</si>
  <si>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</si>
  <si>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</si>
  <si>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</si>
  <si>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</si>
  <si>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</si>
  <si>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</si>
  <si>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</si>
  <si>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</si>
  <si>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</si>
  <si>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</si>
  <si>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</si>
  <si>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</si>
  <si>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</si>
  <si>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</si>
  <si>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</si>
  <si>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</si>
  <si>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</si>
  <si>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</si>
  <si>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</si>
  <si>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</si>
  <si>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</si>
  <si>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</si>
  <si>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</si>
  <si>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</si>
  <si>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</si>
  <si>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</si>
  <si>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</si>
  <si>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</si>
  <si>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</si>
  <si>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</si>
  <si>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</si>
  <si>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</si>
  <si>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</si>
  <si>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</si>
  <si>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</si>
  <si>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</si>
  <si>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</si>
  <si>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</si>
  <si>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</si>
  <si>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</si>
  <si>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</si>
  <si>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</si>
  <si>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</si>
  <si>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</si>
  <si>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</si>
  <si>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</si>
  <si>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</si>
  <si>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</si>
  <si>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</si>
  <si>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</si>
  <si>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</si>
  <si>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</si>
  <si>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</si>
  <si>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</si>
  <si>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</si>
  <si>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</si>
  <si>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</si>
  <si>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</si>
  <si>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</si>
  <si>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</si>
  <si>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</si>
  <si>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</si>
  <si>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</si>
  <si>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</si>
  <si>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</si>
  <si>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</si>
  <si>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</si>
  <si>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</si>
  <si>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</si>
  <si>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</si>
  <si>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</si>
  <si>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</si>
  <si>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</si>
  <si>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</si>
  <si>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</si>
  <si>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</si>
  <si>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</si>
  <si>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</si>
  <si>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</si>
  <si>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</si>
  <si>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</si>
  <si>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</si>
  <si>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</si>
  <si>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</si>
  <si>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</si>
  <si>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</si>
  <si>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</si>
  <si>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</si>
  <si>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</si>
  <si>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</si>
  <si>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</si>
  <si>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</si>
  <si>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</si>
  <si>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</si>
  <si>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</si>
  <si>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</si>
  <si>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</si>
  <si>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</si>
  <si>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</si>
  <si>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</si>
  <si>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</si>
  <si>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</si>
  <si>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</si>
  <si>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</si>
  <si>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</si>
  <si>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</si>
  <si>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</si>
  <si>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</si>
  <si>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</si>
  <si>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</si>
  <si>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</si>
  <si>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</si>
  <si>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</si>
  <si>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</si>
  <si>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</si>
  <si>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</si>
  <si>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</si>
  <si>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</si>
  <si>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</si>
  <si>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</si>
  <si>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</si>
  <si>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</si>
  <si>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</si>
  <si>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</si>
  <si>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</si>
  <si>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</si>
  <si>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</si>
  <si>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</si>
  <si>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</si>
  <si>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</si>
  <si>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</si>
  <si>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</si>
  <si>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</si>
  <si>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</si>
  <si>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</si>
  <si>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</si>
  <si>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</si>
  <si>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</si>
  <si>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</si>
  <si>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</si>
  <si>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</si>
  <si>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</si>
  <si>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</si>
  <si>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</si>
  <si>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</si>
  <si>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</si>
  <si>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</si>
  <si>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</si>
  <si>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</si>
  <si>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</si>
  <si>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</si>
  <si>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</si>
  <si>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</si>
  <si>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</si>
  <si>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</si>
  <si>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</si>
  <si>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</si>
  <si>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</si>
  <si>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</si>
  <si>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</si>
  <si>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</si>
  <si>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</si>
  <si>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</si>
  <si>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</si>
  <si>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</si>
  <si>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</si>
  <si>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</si>
  <si>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</si>
  <si>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</si>
  <si>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</si>
  <si>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</si>
  <si>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</si>
  <si>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</si>
  <si>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</si>
  <si>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</si>
  <si>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</si>
  <si>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</si>
  <si>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</si>
  <si>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</si>
  <si>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</si>
  <si>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</si>
  <si>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</si>
  <si>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</si>
  <si>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</si>
  <si>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</si>
  <si>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</si>
  <si>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</si>
  <si>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</si>
  <si>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</si>
  <si>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</si>
  <si>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</si>
  <si>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</si>
  <si>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</si>
  <si>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</si>
  <si>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</si>
  <si>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</si>
  <si>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</si>
  <si>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</si>
  <si>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</si>
  <si>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</si>
  <si>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</si>
  <si>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</si>
  <si>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</si>
  <si>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</si>
  <si>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</si>
  <si>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</si>
  <si>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</si>
  <si>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</si>
  <si>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</si>
  <si>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</si>
  <si>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</si>
  <si>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</si>
  <si>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</si>
  <si>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</si>
  <si>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</si>
  <si>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</si>
  <si>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</si>
  <si>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</si>
  <si>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</si>
  <si>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</si>
  <si>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</si>
  <si>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</si>
  <si>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</si>
  <si>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</si>
  <si>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</si>
  <si>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</si>
  <si>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</si>
  <si>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</si>
  <si>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</si>
  <si>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</si>
  <si>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</si>
  <si>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</si>
  <si>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</si>
  <si>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</si>
  <si>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</si>
  <si>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</si>
  <si>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</si>
  <si>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</si>
  <si>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</si>
  <si>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</si>
  <si>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</si>
  <si>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</si>
  <si>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</si>
  <si>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</si>
  <si>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</si>
  <si>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</si>
  <si>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</si>
  <si>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</si>
  <si>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</si>
  <si>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</si>
  <si>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</si>
  <si>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</si>
  <si>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</si>
  <si>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</si>
  <si>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</si>
  <si>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</si>
  <si>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</si>
  <si>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</si>
  <si>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</si>
  <si>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</si>
  <si>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</si>
  <si>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</si>
  <si>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</si>
  <si>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</si>
  <si>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</si>
  <si>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</si>
  <si>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</si>
  <si>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</si>
  <si>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</si>
  <si>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</si>
  <si>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</si>
  <si>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</si>
  <si>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</si>
  <si>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</si>
  <si>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</si>
  <si>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</si>
  <si>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</si>
  <si>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</si>
  <si>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</si>
  <si>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</si>
  <si>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</si>
  <si>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</si>
  <si>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</si>
  <si>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</si>
  <si>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</si>
  <si>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</si>
  <si>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</si>
  <si>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</si>
  <si>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</si>
  <si>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</si>
  <si>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</si>
  <si>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</si>
  <si>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</si>
  <si>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</si>
  <si>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</si>
  <si>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</si>
  <si>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</si>
  <si>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</si>
  <si>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</si>
  <si>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</si>
  <si>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</si>
  <si>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</si>
  <si>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</si>
  <si>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</si>
  <si>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</si>
  <si>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</si>
  <si>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</si>
  <si>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</si>
  <si>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</si>
  <si>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</si>
  <si>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</si>
  <si>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</si>
  <si>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</si>
  <si>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</si>
  <si>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</si>
  <si>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</si>
  <si>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</si>
  <si>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</si>
  <si>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</si>
  <si>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</si>
  <si>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</si>
  <si>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</si>
  <si>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</si>
  <si>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</si>
  <si>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</si>
  <si>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</si>
  <si>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</si>
  <si>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</si>
  <si>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</si>
  <si>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</si>
  <si>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</si>
  <si>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</si>
  <si>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</si>
  <si>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</si>
  <si>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</si>
  <si>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</si>
  <si>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</si>
  <si>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</si>
  <si>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</si>
  <si>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</si>
  <si>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</si>
  <si>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</si>
  <si>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</si>
  <si>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</si>
  <si>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</si>
  <si>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</si>
  <si>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</si>
  <si>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</si>
  <si>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</si>
  <si>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</si>
  <si>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</si>
  <si>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</si>
  <si>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</si>
  <si>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</si>
  <si>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</si>
  <si>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</si>
  <si>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</si>
  <si>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</si>
  <si>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</si>
  <si>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</si>
  <si>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</si>
  <si>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</si>
  <si>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</si>
  <si>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</si>
  <si>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</si>
  <si>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</si>
  <si>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</si>
  <si>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</si>
  <si>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</si>
  <si>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</si>
  <si>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</si>
  <si>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</si>
  <si>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</si>
  <si>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</si>
  <si>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</si>
  <si>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</si>
  <si>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</si>
  <si>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</si>
  <si>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</si>
  <si>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</si>
  <si>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</si>
  <si>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</si>
  <si>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</si>
  <si>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</si>
  <si>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</si>
  <si>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Extra "Links"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</si>
  <si>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</si>
  <si>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</si>
  <si>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</si>
  <si>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</si>
  <si>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</si>
  <si>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</si>
  <si>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</si>
  <si>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</si>
  <si>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</si>
  <si>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</si>
  <si>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</si>
  <si>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</si>
  <si>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</si>
  <si>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</si>
  <si>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</si>
  <si>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</si>
  <si>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</si>
  <si>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</si>
  <si>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</si>
  <si>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</si>
  <si>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</si>
  <si>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</si>
  <si>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</si>
  <si>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</si>
  <si>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</si>
  <si>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</si>
  <si>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</si>
  <si>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11,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</si>
</sst>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73"/>
  <sheetViews>
    <sheetView tabSelected="1" zoomScaleNormal="100" workbookViewId="0"/>
  </sheetViews>
  <sheetFormatPr defaultRowHeight="15" outlineLevelRow="1" x14ac:dyDescent="0.25"/>
  <cols>
    <col min="1" max="1" width="10.85546875" style="166" customWidth="1"/>
    <col min="2" max="2" width="13.140625" style="166" customWidth="1"/>
    <col min="3" max="3" width="10.42578125" style="166" customWidth="1"/>
    <col min="4" max="4" width="15.140625" style="166" bestFit="1" customWidth="1"/>
    <col min="5" max="5" width="10.140625" style="166" customWidth="1"/>
    <col min="6" max="6" width="12" style="166" customWidth="1"/>
    <col min="7" max="7" width="9.140625" style="166"/>
    <col min="8" max="8" width="10" style="166" customWidth="1"/>
    <col min="9" max="11" width="9.140625" style="166"/>
    <col min="12" max="12" width="10.85546875" style="166" customWidth="1"/>
    <col min="13" max="14" width="13.5703125" style="166" customWidth="1"/>
    <col min="15" max="15" width="9.140625" style="166"/>
    <col min="16" max="16" width="11.7109375" style="166" customWidth="1"/>
    <col min="17" max="16384" width="9.140625" style="166"/>
  </cols>
  <sheetData>
    <row r="1" spans="1:5" ht="26.25" x14ac:dyDescent="0.4">
      <c r="A1" s="165" t="s">
        <v>1832</v>
      </c>
    </row>
    <row r="2" spans="1:5" x14ac:dyDescent="0.25">
      <c r="A2" s="166" t="s">
        <v>868</v>
      </c>
    </row>
    <row r="3" spans="1:5" x14ac:dyDescent="0.25">
      <c r="A3" s="166" t="s">
        <v>869</v>
      </c>
    </row>
    <row r="4" spans="1:5" x14ac:dyDescent="0.25">
      <c r="A4" s="166" t="s">
        <v>949</v>
      </c>
    </row>
    <row r="5" spans="1:5" x14ac:dyDescent="0.25">
      <c r="A5" s="166" t="s">
        <v>952</v>
      </c>
      <c r="B5" s="167" t="s">
        <v>951</v>
      </c>
    </row>
    <row r="6" spans="1:5" x14ac:dyDescent="0.25">
      <c r="A6" s="166" t="s">
        <v>995</v>
      </c>
      <c r="B6" s="167" t="s">
        <v>996</v>
      </c>
    </row>
    <row r="7" spans="1:5" x14ac:dyDescent="0.25">
      <c r="A7" s="166" t="s">
        <v>1005</v>
      </c>
      <c r="B7" s="167" t="s">
        <v>1006</v>
      </c>
    </row>
    <row r="9" spans="1:5" x14ac:dyDescent="0.25">
      <c r="A9" s="168" t="s">
        <v>779</v>
      </c>
      <c r="B9" s="169">
        <v>562858</v>
      </c>
      <c r="D9" s="168" t="s">
        <v>1805</v>
      </c>
      <c r="E9" s="169">
        <v>9411321</v>
      </c>
    </row>
    <row r="10" spans="1:5" x14ac:dyDescent="0.25">
      <c r="A10" s="170" t="s">
        <v>870</v>
      </c>
      <c r="B10" s="171" t="s">
        <v>871</v>
      </c>
      <c r="D10" s="170" t="s">
        <v>861</v>
      </c>
      <c r="E10" s="171">
        <v>178000</v>
      </c>
    </row>
    <row r="11" spans="1:5" x14ac:dyDescent="0.25">
      <c r="A11" s="170" t="s">
        <v>860</v>
      </c>
      <c r="B11" s="171" t="s">
        <v>997</v>
      </c>
      <c r="D11" s="170" t="s">
        <v>862</v>
      </c>
      <c r="E11" s="171" t="b">
        <v>1</v>
      </c>
    </row>
    <row r="12" spans="1:5" x14ac:dyDescent="0.25">
      <c r="A12" s="170" t="s">
        <v>1806</v>
      </c>
      <c r="B12" s="171">
        <v>8</v>
      </c>
      <c r="D12" s="170" t="s">
        <v>863</v>
      </c>
      <c r="E12" s="171" t="b">
        <v>1</v>
      </c>
    </row>
    <row r="14" spans="1:5" x14ac:dyDescent="0.25">
      <c r="A14" s="172" t="s">
        <v>1096</v>
      </c>
      <c r="B14" s="173" t="s">
        <v>1167</v>
      </c>
    </row>
    <row r="16" spans="1:5" ht="18.75" x14ac:dyDescent="0.3">
      <c r="A16" s="174" t="s">
        <v>1094</v>
      </c>
      <c r="B16" s="175"/>
    </row>
    <row r="17" spans="1:29" hidden="1" outlineLevel="1" x14ac:dyDescent="0.25">
      <c r="A17" s="172"/>
      <c r="B17" s="175"/>
    </row>
    <row r="18" spans="1:29" hidden="1" outlineLevel="1" x14ac:dyDescent="0.25">
      <c r="A18" s="172" t="s">
        <v>1007</v>
      </c>
      <c r="B18" s="231" t="s">
        <v>1808</v>
      </c>
      <c r="C18" s="232"/>
    </row>
    <row r="19" spans="1:29" hidden="1" outlineLevel="1" x14ac:dyDescent="0.25">
      <c r="A19" s="172"/>
      <c r="B19" s="175"/>
    </row>
    <row r="20" spans="1:29" hidden="1" outlineLevel="1" x14ac:dyDescent="0.25">
      <c r="A20" s="176" t="s">
        <v>979</v>
      </c>
      <c r="B20" s="176"/>
      <c r="C20" s="176"/>
      <c r="D20" s="176"/>
      <c r="E20" s="176"/>
      <c r="F20" s="176"/>
      <c r="G20" s="176"/>
      <c r="H20" s="176"/>
      <c r="I20" s="176"/>
      <c r="J20" s="176"/>
      <c r="L20" s="176" t="s">
        <v>978</v>
      </c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</row>
    <row r="21" spans="1:29" hidden="1" outlineLevel="1" x14ac:dyDescent="0.25">
      <c r="A21" s="177"/>
      <c r="B21" s="178" t="s">
        <v>581</v>
      </c>
      <c r="C21" s="178"/>
      <c r="D21" s="178"/>
      <c r="E21" s="178"/>
      <c r="F21" s="178"/>
      <c r="G21" s="178"/>
      <c r="H21" s="178"/>
      <c r="I21" s="178"/>
      <c r="J21" s="179"/>
      <c r="L21" s="180" t="s">
        <v>713</v>
      </c>
      <c r="M21" s="178"/>
      <c r="N21" s="178"/>
      <c r="O21" s="179"/>
      <c r="P21" s="178" t="s">
        <v>714</v>
      </c>
      <c r="Q21" s="178"/>
      <c r="R21" s="178"/>
      <c r="S21" s="179"/>
      <c r="T21" s="178" t="s">
        <v>715</v>
      </c>
      <c r="U21" s="178"/>
      <c r="V21" s="178"/>
      <c r="W21" s="179"/>
      <c r="Y21" s="180" t="s">
        <v>992</v>
      </c>
      <c r="Z21" s="178"/>
      <c r="AA21" s="178"/>
      <c r="AB21" s="179"/>
      <c r="AC21" s="196" t="b">
        <v>1</v>
      </c>
    </row>
    <row r="22" spans="1:29" hidden="1" outlineLevel="1" x14ac:dyDescent="0.25">
      <c r="A22" s="181" t="s">
        <v>0</v>
      </c>
      <c r="B22" s="182" t="s">
        <v>1128</v>
      </c>
      <c r="C22" s="182" t="s">
        <v>1</v>
      </c>
      <c r="D22" s="182" t="s">
        <v>8</v>
      </c>
      <c r="E22" s="182" t="s">
        <v>18</v>
      </c>
      <c r="F22" s="182" t="s">
        <v>285</v>
      </c>
      <c r="G22" s="182" t="s">
        <v>58</v>
      </c>
      <c r="H22" s="182" t="s">
        <v>59</v>
      </c>
      <c r="I22" s="182" t="s">
        <v>273</v>
      </c>
      <c r="J22" s="183" t="s">
        <v>60</v>
      </c>
      <c r="L22" s="184" t="s">
        <v>711</v>
      </c>
      <c r="M22" s="182" t="s">
        <v>8</v>
      </c>
      <c r="N22" s="182" t="s">
        <v>18</v>
      </c>
      <c r="O22" s="183" t="s">
        <v>712</v>
      </c>
      <c r="P22" s="182" t="s">
        <v>711</v>
      </c>
      <c r="Q22" s="182" t="s">
        <v>8</v>
      </c>
      <c r="R22" s="182" t="s">
        <v>18</v>
      </c>
      <c r="S22" s="183" t="s">
        <v>712</v>
      </c>
      <c r="T22" s="182" t="s">
        <v>711</v>
      </c>
      <c r="U22" s="182" t="s">
        <v>8</v>
      </c>
      <c r="V22" s="182" t="s">
        <v>18</v>
      </c>
      <c r="W22" s="183" t="s">
        <v>712</v>
      </c>
      <c r="Y22" s="197" t="s">
        <v>994</v>
      </c>
      <c r="Z22" s="198" t="s">
        <v>10</v>
      </c>
      <c r="AA22" s="198" t="s">
        <v>11</v>
      </c>
      <c r="AB22" s="198" t="s">
        <v>12</v>
      </c>
      <c r="AC22" s="199" t="s">
        <v>13</v>
      </c>
    </row>
    <row r="23" spans="1:29" hidden="1" outlineLevel="1" x14ac:dyDescent="0.25">
      <c r="A23" s="225">
        <v>1</v>
      </c>
      <c r="B23" s="185">
        <v>5</v>
      </c>
      <c r="C23" s="186" t="s">
        <v>4</v>
      </c>
      <c r="D23" s="187" t="s">
        <v>214</v>
      </c>
      <c r="E23" s="186">
        <v>100</v>
      </c>
      <c r="F23" s="186">
        <v>5</v>
      </c>
      <c r="G23" s="186">
        <v>10</v>
      </c>
      <c r="H23" s="186">
        <v>0</v>
      </c>
      <c r="I23" s="186">
        <v>0</v>
      </c>
      <c r="J23" s="187">
        <v>100</v>
      </c>
      <c r="K23" s="188"/>
      <c r="L23" s="189" t="s">
        <v>721</v>
      </c>
      <c r="M23" s="190" t="s">
        <v>527</v>
      </c>
      <c r="N23" s="190">
        <v>10</v>
      </c>
      <c r="O23" s="191">
        <v>1</v>
      </c>
      <c r="P23" s="189" t="s">
        <v>730</v>
      </c>
      <c r="Q23" s="190" t="s">
        <v>543</v>
      </c>
      <c r="R23" s="190">
        <v>10</v>
      </c>
      <c r="S23" s="191">
        <v>1</v>
      </c>
      <c r="T23" s="189" t="s">
        <v>751</v>
      </c>
      <c r="U23" s="190" t="s">
        <v>564</v>
      </c>
      <c r="V23" s="190">
        <v>10</v>
      </c>
      <c r="W23" s="191">
        <v>1</v>
      </c>
      <c r="Y23" s="189"/>
      <c r="Z23" s="190"/>
      <c r="AA23" s="190"/>
      <c r="AB23" s="190"/>
      <c r="AC23" s="191"/>
    </row>
    <row r="24" spans="1:29" hidden="1" outlineLevel="1" x14ac:dyDescent="0.25">
      <c r="A24" s="225">
        <v>2</v>
      </c>
      <c r="B24" s="189">
        <v>5</v>
      </c>
      <c r="C24" s="190" t="s">
        <v>4</v>
      </c>
      <c r="D24" s="192" t="s">
        <v>1768</v>
      </c>
      <c r="E24" s="190">
        <v>100</v>
      </c>
      <c r="F24" s="190">
        <v>5</v>
      </c>
      <c r="G24" s="190">
        <v>10</v>
      </c>
      <c r="H24" s="190">
        <v>0</v>
      </c>
      <c r="I24" s="190">
        <v>0</v>
      </c>
      <c r="J24" s="192">
        <v>100</v>
      </c>
      <c r="K24" s="188"/>
      <c r="L24" s="189" t="s">
        <v>721</v>
      </c>
      <c r="M24" s="190" t="s">
        <v>527</v>
      </c>
      <c r="N24" s="190">
        <v>10</v>
      </c>
      <c r="O24" s="191">
        <v>1</v>
      </c>
      <c r="P24" s="189" t="s">
        <v>730</v>
      </c>
      <c r="Q24" s="190" t="s">
        <v>543</v>
      </c>
      <c r="R24" s="190">
        <v>10</v>
      </c>
      <c r="S24" s="191">
        <v>1</v>
      </c>
      <c r="T24" s="189" t="s">
        <v>751</v>
      </c>
      <c r="U24" s="190" t="s">
        <v>564</v>
      </c>
      <c r="V24" s="190">
        <v>10</v>
      </c>
      <c r="W24" s="191">
        <v>1</v>
      </c>
      <c r="Y24" s="189"/>
      <c r="Z24" s="190"/>
      <c r="AA24" s="190"/>
      <c r="AB24" s="190"/>
      <c r="AC24" s="191"/>
    </row>
    <row r="25" spans="1:29" hidden="1" outlineLevel="1" x14ac:dyDescent="0.25">
      <c r="A25" s="225">
        <v>3</v>
      </c>
      <c r="B25" s="189">
        <v>5</v>
      </c>
      <c r="C25" s="190" t="s">
        <v>4</v>
      </c>
      <c r="D25" s="192" t="s">
        <v>126</v>
      </c>
      <c r="E25" s="190">
        <v>100</v>
      </c>
      <c r="F25" s="190">
        <v>5</v>
      </c>
      <c r="G25" s="190">
        <v>10</v>
      </c>
      <c r="H25" s="190">
        <v>0</v>
      </c>
      <c r="I25" s="190">
        <v>0</v>
      </c>
      <c r="J25" s="192">
        <v>100</v>
      </c>
      <c r="K25" s="188"/>
      <c r="L25" s="189" t="s">
        <v>721</v>
      </c>
      <c r="M25" s="190" t="s">
        <v>527</v>
      </c>
      <c r="N25" s="190">
        <v>10</v>
      </c>
      <c r="O25" s="191">
        <v>1</v>
      </c>
      <c r="P25" s="189" t="s">
        <v>730</v>
      </c>
      <c r="Q25" s="190" t="s">
        <v>543</v>
      </c>
      <c r="R25" s="190">
        <v>10</v>
      </c>
      <c r="S25" s="191">
        <v>1</v>
      </c>
      <c r="T25" s="189" t="s">
        <v>751</v>
      </c>
      <c r="U25" s="190" t="s">
        <v>564</v>
      </c>
      <c r="V25" s="190">
        <v>10</v>
      </c>
      <c r="W25" s="191">
        <v>1</v>
      </c>
      <c r="Y25" s="189"/>
      <c r="Z25" s="190"/>
      <c r="AA25" s="190"/>
      <c r="AB25" s="190"/>
      <c r="AC25" s="191"/>
    </row>
    <row r="26" spans="1:29" hidden="1" outlineLevel="1" x14ac:dyDescent="0.25">
      <c r="A26" s="225">
        <v>4</v>
      </c>
      <c r="B26" s="189">
        <v>5</v>
      </c>
      <c r="C26" s="190" t="s">
        <v>5</v>
      </c>
      <c r="D26" s="192" t="s">
        <v>240</v>
      </c>
      <c r="E26" s="190">
        <v>100</v>
      </c>
      <c r="F26" s="190">
        <v>5</v>
      </c>
      <c r="G26" s="190">
        <v>10</v>
      </c>
      <c r="H26" s="190">
        <v>0</v>
      </c>
      <c r="I26" s="190">
        <v>0</v>
      </c>
      <c r="J26" s="192">
        <v>100</v>
      </c>
      <c r="K26" s="188"/>
      <c r="L26" s="189" t="s">
        <v>724</v>
      </c>
      <c r="M26" s="190" t="s">
        <v>535</v>
      </c>
      <c r="N26" s="190">
        <v>10</v>
      </c>
      <c r="O26" s="191">
        <v>1</v>
      </c>
      <c r="P26" s="189" t="s">
        <v>762</v>
      </c>
      <c r="Q26" s="190" t="s">
        <v>572</v>
      </c>
      <c r="R26" s="190">
        <v>10</v>
      </c>
      <c r="S26" s="191">
        <v>1</v>
      </c>
      <c r="T26" s="189" t="s">
        <v>646</v>
      </c>
      <c r="U26" s="190" t="s">
        <v>554</v>
      </c>
      <c r="V26" s="190">
        <v>10</v>
      </c>
      <c r="W26" s="191">
        <v>1</v>
      </c>
      <c r="Y26" s="189"/>
      <c r="Z26" s="190"/>
      <c r="AA26" s="190"/>
      <c r="AB26" s="190"/>
      <c r="AC26" s="191"/>
    </row>
    <row r="27" spans="1:29" hidden="1" outlineLevel="1" x14ac:dyDescent="0.25">
      <c r="A27" s="226">
        <v>5</v>
      </c>
      <c r="B27" s="193">
        <v>5</v>
      </c>
      <c r="C27" s="194" t="s">
        <v>3</v>
      </c>
      <c r="D27" s="171" t="s">
        <v>1798</v>
      </c>
      <c r="E27" s="194">
        <v>100</v>
      </c>
      <c r="F27" s="194">
        <v>5</v>
      </c>
      <c r="G27" s="194">
        <v>10</v>
      </c>
      <c r="H27" s="194">
        <v>0</v>
      </c>
      <c r="I27" s="194">
        <v>0</v>
      </c>
      <c r="J27" s="171">
        <v>100</v>
      </c>
      <c r="K27" s="188"/>
      <c r="L27" s="193" t="s">
        <v>710</v>
      </c>
      <c r="M27" s="194" t="s">
        <v>766</v>
      </c>
      <c r="N27" s="194"/>
      <c r="O27" s="195">
        <v>1</v>
      </c>
      <c r="P27" s="193" t="s">
        <v>710</v>
      </c>
      <c r="Q27" s="194" t="s">
        <v>769</v>
      </c>
      <c r="R27" s="194"/>
      <c r="S27" s="195">
        <v>1</v>
      </c>
      <c r="T27" s="193" t="s">
        <v>710</v>
      </c>
      <c r="U27" s="194" t="s">
        <v>770</v>
      </c>
      <c r="V27" s="194"/>
      <c r="W27" s="195">
        <v>1</v>
      </c>
      <c r="Y27" s="193"/>
      <c r="Z27" s="194"/>
      <c r="AA27" s="194"/>
      <c r="AB27" s="194"/>
      <c r="AC27" s="195"/>
    </row>
    <row r="28" spans="1:29" hidden="1" outlineLevel="1" x14ac:dyDescent="0.25"/>
    <row r="29" spans="1:29" hidden="1" outlineLevel="1" x14ac:dyDescent="0.25">
      <c r="A29" s="176" t="s">
        <v>977</v>
      </c>
      <c r="B29" s="176"/>
      <c r="C29" s="176"/>
      <c r="D29" s="176"/>
      <c r="E29" s="176"/>
      <c r="F29" s="176"/>
      <c r="H29" s="176" t="s">
        <v>980</v>
      </c>
      <c r="I29" s="176"/>
      <c r="J29" s="176"/>
    </row>
    <row r="30" spans="1:29" hidden="1" outlineLevel="1" x14ac:dyDescent="0.25">
      <c r="A30" s="177"/>
      <c r="B30" s="180" t="s">
        <v>773</v>
      </c>
      <c r="C30" s="178"/>
      <c r="D30" s="178"/>
      <c r="E30" s="178"/>
      <c r="F30" s="179"/>
      <c r="H30" s="173">
        <v>2</v>
      </c>
      <c r="I30" s="173"/>
      <c r="J30" s="173"/>
    </row>
    <row r="31" spans="1:29" hidden="1" outlineLevel="1" x14ac:dyDescent="0.25">
      <c r="A31" s="181" t="s">
        <v>777</v>
      </c>
      <c r="B31" s="184" t="s">
        <v>8</v>
      </c>
      <c r="C31" s="182" t="s">
        <v>1128</v>
      </c>
      <c r="D31" s="182" t="s">
        <v>18</v>
      </c>
      <c r="E31" s="182" t="s">
        <v>778</v>
      </c>
      <c r="F31" s="183" t="s">
        <v>588</v>
      </c>
      <c r="H31" s="173">
        <v>1</v>
      </c>
      <c r="I31" s="173">
        <v>5</v>
      </c>
      <c r="J31" s="173">
        <v>4</v>
      </c>
    </row>
    <row r="32" spans="1:29" hidden="1" outlineLevel="1" x14ac:dyDescent="0.25">
      <c r="A32" s="226">
        <v>1</v>
      </c>
      <c r="B32" s="193" t="s">
        <v>646</v>
      </c>
      <c r="C32" s="194">
        <v>5</v>
      </c>
      <c r="D32" s="194">
        <v>100</v>
      </c>
      <c r="E32" s="194">
        <v>10</v>
      </c>
      <c r="F32" s="171" t="s">
        <v>688</v>
      </c>
      <c r="H32" s="173">
        <v>3</v>
      </c>
      <c r="I32" s="173"/>
      <c r="J32" s="173"/>
    </row>
    <row r="33" spans="1:20" hidden="1" outlineLevel="1" x14ac:dyDescent="0.25"/>
    <row r="34" spans="1:20" collapsed="1" x14ac:dyDescent="0.25"/>
    <row r="35" spans="1:20" ht="18.75" x14ac:dyDescent="0.3">
      <c r="A35" s="200" t="s">
        <v>1095</v>
      </c>
      <c r="B35" s="200"/>
      <c r="C35" s="200"/>
      <c r="D35" s="200"/>
      <c r="E35" s="200"/>
      <c r="F35" s="200"/>
      <c r="G35" s="200"/>
      <c r="H35" s="200"/>
      <c r="I35" s="200"/>
      <c r="J35" s="200"/>
    </row>
    <row r="36" spans="1:20" s="201" customFormat="1" ht="15" hidden="1" customHeight="1" outlineLevel="1" x14ac:dyDescent="0.3">
      <c r="A36" s="228" t="s">
        <v>1170</v>
      </c>
      <c r="B36" s="200"/>
      <c r="C36" s="200"/>
      <c r="D36" s="200"/>
      <c r="E36" s="200"/>
      <c r="F36" s="200"/>
      <c r="G36" s="200"/>
      <c r="H36" s="200"/>
      <c r="I36" s="227"/>
      <c r="J36" s="227"/>
      <c r="K36" s="227"/>
      <c r="L36" s="200"/>
      <c r="M36" s="200"/>
    </row>
    <row r="37" spans="1:20" hidden="1" outlineLevel="1" x14ac:dyDescent="0.25">
      <c r="A37" s="202"/>
      <c r="B37" s="180" t="s">
        <v>1091</v>
      </c>
      <c r="C37" s="178"/>
      <c r="D37" s="178"/>
      <c r="E37" s="178"/>
      <c r="F37" s="178"/>
      <c r="G37" s="178"/>
      <c r="H37" s="178"/>
      <c r="I37" s="180" t="s">
        <v>778</v>
      </c>
      <c r="J37" s="178"/>
      <c r="K37" s="178"/>
      <c r="L37" s="179"/>
      <c r="M37" s="180" t="s">
        <v>1084</v>
      </c>
      <c r="N37" s="179"/>
      <c r="P37" s="203" t="s">
        <v>1166</v>
      </c>
    </row>
    <row r="38" spans="1:20" hidden="1" outlineLevel="1" x14ac:dyDescent="0.25">
      <c r="A38" s="181" t="s">
        <v>1083</v>
      </c>
      <c r="B38" s="182" t="s">
        <v>1127</v>
      </c>
      <c r="C38" s="227" t="s">
        <v>8</v>
      </c>
      <c r="D38" s="227" t="s">
        <v>18</v>
      </c>
      <c r="E38" s="227" t="s">
        <v>1129</v>
      </c>
      <c r="F38" s="227" t="s">
        <v>1804</v>
      </c>
      <c r="G38" s="227" t="s">
        <v>1088</v>
      </c>
      <c r="H38" s="227" t="s">
        <v>60</v>
      </c>
      <c r="I38" s="184">
        <v>1</v>
      </c>
      <c r="J38" s="182">
        <v>2</v>
      </c>
      <c r="K38" s="182">
        <v>3</v>
      </c>
      <c r="L38" s="183">
        <v>4</v>
      </c>
      <c r="M38" s="184">
        <v>1</v>
      </c>
      <c r="N38" s="183">
        <v>2</v>
      </c>
      <c r="P38" s="173" t="b">
        <v>0</v>
      </c>
    </row>
    <row r="39" spans="1:20" hidden="1" outlineLevel="1" x14ac:dyDescent="0.25">
      <c r="A39" s="223">
        <v>1</v>
      </c>
      <c r="B39" s="224">
        <f>IFERROR(4-INDEX('SF Data'!C:C,MATCH(C39,'SF Data'!B:B,0)),"")</f>
        <v>3</v>
      </c>
      <c r="C39" s="185" t="s">
        <v>1029</v>
      </c>
      <c r="D39" s="186">
        <v>100</v>
      </c>
      <c r="E39" s="186">
        <v>5</v>
      </c>
      <c r="F39" s="186">
        <v>4</v>
      </c>
      <c r="G39" s="186"/>
      <c r="H39" s="187">
        <v>100</v>
      </c>
      <c r="I39" s="190">
        <v>10</v>
      </c>
      <c r="J39" s="190">
        <v>10</v>
      </c>
      <c r="K39" s="190">
        <v>5</v>
      </c>
      <c r="L39" s="192">
        <v>5</v>
      </c>
      <c r="M39" s="189" t="s">
        <v>1135</v>
      </c>
      <c r="N39" s="192" t="s">
        <v>1130</v>
      </c>
      <c r="P39" s="204"/>
      <c r="R39" s="233" t="s">
        <v>1157</v>
      </c>
      <c r="S39" s="233"/>
      <c r="T39" s="233"/>
    </row>
    <row r="40" spans="1:20" hidden="1" outlineLevel="1" x14ac:dyDescent="0.25">
      <c r="A40" s="225">
        <v>2</v>
      </c>
      <c r="B40" s="217">
        <f>IFERROR(4-INDEX('SF Data'!C:C,MATCH(C40,'SF Data'!B:B,0)),"")</f>
        <v>2</v>
      </c>
      <c r="C40" s="189" t="s">
        <v>1045</v>
      </c>
      <c r="D40" s="190">
        <v>100</v>
      </c>
      <c r="E40" s="190">
        <v>5</v>
      </c>
      <c r="F40" s="190">
        <v>4</v>
      </c>
      <c r="G40" s="190" t="s">
        <v>1087</v>
      </c>
      <c r="H40" s="192">
        <v>100</v>
      </c>
      <c r="I40" s="190">
        <v>5</v>
      </c>
      <c r="J40" s="190">
        <v>5</v>
      </c>
      <c r="K40" s="190"/>
      <c r="L40" s="192"/>
      <c r="M40" s="189"/>
      <c r="N40" s="192"/>
      <c r="P40" s="204"/>
      <c r="R40" s="173">
        <v>2</v>
      </c>
      <c r="S40" s="173">
        <v>3</v>
      </c>
      <c r="T40" s="173">
        <v>4</v>
      </c>
    </row>
    <row r="41" spans="1:20" hidden="1" outlineLevel="1" x14ac:dyDescent="0.25">
      <c r="A41" s="225">
        <v>3</v>
      </c>
      <c r="B41" s="217">
        <f>IFERROR(4-INDEX('SF Data'!C:C,MATCH(C41,'SF Data'!B:B,0)),"")</f>
        <v>2</v>
      </c>
      <c r="C41" s="189" t="s">
        <v>1045</v>
      </c>
      <c r="D41" s="190">
        <v>100</v>
      </c>
      <c r="E41" s="190">
        <v>5</v>
      </c>
      <c r="F41" s="190">
        <v>4</v>
      </c>
      <c r="G41" s="190" t="s">
        <v>1087</v>
      </c>
      <c r="H41" s="192">
        <v>100</v>
      </c>
      <c r="I41" s="190">
        <v>5</v>
      </c>
      <c r="J41" s="190">
        <v>5</v>
      </c>
      <c r="K41" s="190"/>
      <c r="L41" s="192"/>
      <c r="M41" s="189"/>
      <c r="N41" s="192"/>
      <c r="P41" s="204"/>
      <c r="R41" s="173">
        <v>5</v>
      </c>
      <c r="S41" s="173">
        <v>1</v>
      </c>
      <c r="T41" s="173">
        <v>6</v>
      </c>
    </row>
    <row r="42" spans="1:20" hidden="1" outlineLevel="1" x14ac:dyDescent="0.25">
      <c r="A42" s="225">
        <v>4</v>
      </c>
      <c r="B42" s="217">
        <f>IFERROR(4-INDEX('SF Data'!C:C,MATCH(C42,'SF Data'!B:B,0)),"")</f>
        <v>2</v>
      </c>
      <c r="C42" s="189" t="s">
        <v>1045</v>
      </c>
      <c r="D42" s="190">
        <v>100</v>
      </c>
      <c r="E42" s="190">
        <v>5</v>
      </c>
      <c r="F42" s="190">
        <v>4</v>
      </c>
      <c r="G42" s="190" t="s">
        <v>1087</v>
      </c>
      <c r="H42" s="192">
        <v>100</v>
      </c>
      <c r="I42" s="190">
        <v>5</v>
      </c>
      <c r="J42" s="190">
        <v>5</v>
      </c>
      <c r="K42" s="190"/>
      <c r="L42" s="192"/>
      <c r="M42" s="189"/>
      <c r="N42" s="192"/>
      <c r="P42" s="204"/>
      <c r="R42" s="173">
        <v>7</v>
      </c>
      <c r="S42" s="173">
        <v>8</v>
      </c>
      <c r="T42" s="173">
        <v>9</v>
      </c>
    </row>
    <row r="43" spans="1:20" hidden="1" outlineLevel="1" x14ac:dyDescent="0.25">
      <c r="A43" s="225">
        <v>5</v>
      </c>
      <c r="B43" s="217">
        <f>IFERROR(4-INDEX('SF Data'!C:C,MATCH(C43,'SF Data'!B:B,0)),"")</f>
        <v>2</v>
      </c>
      <c r="C43" s="189" t="s">
        <v>1045</v>
      </c>
      <c r="D43" s="190">
        <v>100</v>
      </c>
      <c r="E43" s="190">
        <v>5</v>
      </c>
      <c r="F43" s="190">
        <v>4</v>
      </c>
      <c r="G43" s="190" t="s">
        <v>1087</v>
      </c>
      <c r="H43" s="192">
        <v>100</v>
      </c>
      <c r="I43" s="190">
        <v>5</v>
      </c>
      <c r="J43" s="190">
        <v>5</v>
      </c>
      <c r="K43" s="190"/>
      <c r="L43" s="192"/>
      <c r="M43" s="189"/>
      <c r="N43" s="192"/>
      <c r="P43" s="204"/>
    </row>
    <row r="44" spans="1:20" hidden="1" outlineLevel="1" x14ac:dyDescent="0.25">
      <c r="A44" s="225">
        <v>6</v>
      </c>
      <c r="B44" s="217">
        <f>IFERROR(4-INDEX('SF Data'!C:C,MATCH(C44,'SF Data'!B:B,0)),"")</f>
        <v>2</v>
      </c>
      <c r="C44" s="189" t="s">
        <v>1045</v>
      </c>
      <c r="D44" s="190">
        <v>100</v>
      </c>
      <c r="E44" s="190">
        <v>5</v>
      </c>
      <c r="F44" s="190">
        <v>4</v>
      </c>
      <c r="G44" s="190" t="s">
        <v>1087</v>
      </c>
      <c r="H44" s="192">
        <v>100</v>
      </c>
      <c r="I44" s="190">
        <v>5</v>
      </c>
      <c r="J44" s="190">
        <v>5</v>
      </c>
      <c r="K44" s="190"/>
      <c r="L44" s="192"/>
      <c r="M44" s="189"/>
      <c r="N44" s="192"/>
      <c r="P44" s="204"/>
    </row>
    <row r="45" spans="1:20" hidden="1" outlineLevel="1" x14ac:dyDescent="0.25">
      <c r="A45" s="225">
        <v>7</v>
      </c>
      <c r="B45" s="217">
        <f>IFERROR(4-INDEX('SF Data'!C:C,MATCH(C45,'SF Data'!B:B,0)),"")</f>
        <v>2</v>
      </c>
      <c r="C45" s="189" t="s">
        <v>1045</v>
      </c>
      <c r="D45" s="190">
        <v>100</v>
      </c>
      <c r="E45" s="190">
        <v>5</v>
      </c>
      <c r="F45" s="190">
        <v>4</v>
      </c>
      <c r="G45" s="190" t="s">
        <v>1087</v>
      </c>
      <c r="H45" s="192">
        <v>100</v>
      </c>
      <c r="I45" s="190">
        <v>5</v>
      </c>
      <c r="J45" s="190">
        <v>5</v>
      </c>
      <c r="K45" s="190"/>
      <c r="L45" s="192"/>
      <c r="M45" s="189"/>
      <c r="N45" s="192"/>
      <c r="P45" s="204"/>
    </row>
    <row r="46" spans="1:20" hidden="1" outlineLevel="1" x14ac:dyDescent="0.25">
      <c r="A46" s="225">
        <v>8</v>
      </c>
      <c r="B46" s="217">
        <f>IFERROR(4-INDEX('SF Data'!C:C,MATCH(C46,'SF Data'!B:B,0)),"")</f>
        <v>2</v>
      </c>
      <c r="C46" s="189" t="s">
        <v>1045</v>
      </c>
      <c r="D46" s="190">
        <v>100</v>
      </c>
      <c r="E46" s="190">
        <v>5</v>
      </c>
      <c r="F46" s="190">
        <v>4</v>
      </c>
      <c r="G46" s="190" t="s">
        <v>1087</v>
      </c>
      <c r="H46" s="192">
        <v>100</v>
      </c>
      <c r="I46" s="190">
        <v>5</v>
      </c>
      <c r="J46" s="190">
        <v>5</v>
      </c>
      <c r="K46" s="190"/>
      <c r="L46" s="192"/>
      <c r="M46" s="189"/>
      <c r="N46" s="192"/>
      <c r="P46" s="204"/>
    </row>
    <row r="47" spans="1:20" hidden="1" outlineLevel="1" x14ac:dyDescent="0.25">
      <c r="A47" s="226">
        <v>9</v>
      </c>
      <c r="B47" s="219">
        <f>IFERROR(4-INDEX('SF Data'!C:C,MATCH(C47,'SF Data'!B:B,0)),"")</f>
        <v>2</v>
      </c>
      <c r="C47" s="193" t="s">
        <v>1045</v>
      </c>
      <c r="D47" s="194">
        <v>100</v>
      </c>
      <c r="E47" s="194">
        <v>5</v>
      </c>
      <c r="F47" s="194">
        <v>4</v>
      </c>
      <c r="G47" s="194" t="s">
        <v>1087</v>
      </c>
      <c r="H47" s="171">
        <v>100</v>
      </c>
      <c r="I47" s="194">
        <v>5</v>
      </c>
      <c r="J47" s="194">
        <v>5</v>
      </c>
      <c r="K47" s="194"/>
      <c r="L47" s="171"/>
      <c r="M47" s="193"/>
      <c r="N47" s="171"/>
      <c r="P47" s="205"/>
    </row>
    <row r="48" spans="1:20" hidden="1" outlineLevel="1" x14ac:dyDescent="0.25"/>
    <row r="49" spans="1:10" collapsed="1" x14ac:dyDescent="0.25"/>
    <row r="50" spans="1:10" ht="18.75" x14ac:dyDescent="0.3">
      <c r="A50" s="200" t="s">
        <v>1158</v>
      </c>
    </row>
    <row r="51" spans="1:10" hidden="1" outlineLevel="1" x14ac:dyDescent="0.25">
      <c r="A51" s="176" t="s">
        <v>950</v>
      </c>
      <c r="B51" s="176"/>
      <c r="C51" s="176"/>
      <c r="D51" s="176"/>
      <c r="E51" s="176"/>
      <c r="F51" s="176"/>
      <c r="G51" s="176"/>
      <c r="H51" s="176"/>
      <c r="I51" s="176"/>
      <c r="J51" s="176"/>
    </row>
    <row r="52" spans="1:10" hidden="1" outlineLevel="1" x14ac:dyDescent="0.25">
      <c r="A52" s="207"/>
      <c r="B52" s="208"/>
      <c r="C52" s="209"/>
      <c r="D52" s="180" t="s">
        <v>902</v>
      </c>
      <c r="E52" s="178"/>
      <c r="F52" s="178"/>
      <c r="G52" s="179"/>
      <c r="H52" s="180" t="s">
        <v>778</v>
      </c>
      <c r="I52" s="178"/>
      <c r="J52" s="179"/>
    </row>
    <row r="53" spans="1:10" hidden="1" outlineLevel="1" x14ac:dyDescent="0.25">
      <c r="A53" s="184" t="s">
        <v>867</v>
      </c>
      <c r="B53" s="184" t="s">
        <v>875</v>
      </c>
      <c r="C53" s="183" t="s">
        <v>8</v>
      </c>
      <c r="D53" s="182" t="s">
        <v>885</v>
      </c>
      <c r="E53" s="182" t="s">
        <v>884</v>
      </c>
      <c r="F53" s="182" t="s">
        <v>886</v>
      </c>
      <c r="G53" s="183" t="s">
        <v>887</v>
      </c>
      <c r="H53" s="182">
        <v>1</v>
      </c>
      <c r="I53" s="182">
        <v>2</v>
      </c>
      <c r="J53" s="183">
        <v>3</v>
      </c>
    </row>
    <row r="54" spans="1:10" hidden="1" outlineLevel="1" x14ac:dyDescent="0.25">
      <c r="A54" s="189"/>
      <c r="B54" s="217">
        <v>1</v>
      </c>
      <c r="C54" s="218" t="s">
        <v>876</v>
      </c>
      <c r="D54" s="190">
        <v>462</v>
      </c>
      <c r="E54" s="190">
        <v>795</v>
      </c>
      <c r="F54" s="190">
        <v>568</v>
      </c>
      <c r="G54" s="192">
        <v>133</v>
      </c>
      <c r="H54" s="190">
        <v>10</v>
      </c>
      <c r="I54" s="190">
        <v>10</v>
      </c>
      <c r="J54" s="192">
        <v>10</v>
      </c>
    </row>
    <row r="55" spans="1:10" hidden="1" outlineLevel="1" x14ac:dyDescent="0.25">
      <c r="A55" s="189"/>
      <c r="B55" s="217">
        <v>2</v>
      </c>
      <c r="C55" s="218" t="s">
        <v>877</v>
      </c>
      <c r="D55" s="190">
        <v>284</v>
      </c>
      <c r="E55" s="190">
        <v>336</v>
      </c>
      <c r="F55" s="190">
        <v>381</v>
      </c>
      <c r="G55" s="192">
        <v>726</v>
      </c>
      <c r="H55" s="190">
        <v>10</v>
      </c>
      <c r="I55" s="190">
        <v>10</v>
      </c>
      <c r="J55" s="192">
        <v>10</v>
      </c>
    </row>
    <row r="56" spans="1:10" hidden="1" outlineLevel="1" x14ac:dyDescent="0.25">
      <c r="A56" s="189"/>
      <c r="B56" s="217">
        <v>3</v>
      </c>
      <c r="C56" s="218" t="s">
        <v>878</v>
      </c>
      <c r="D56" s="190">
        <v>620</v>
      </c>
      <c r="E56" s="190">
        <v>121</v>
      </c>
      <c r="F56" s="190">
        <v>276</v>
      </c>
      <c r="G56" s="192">
        <v>306</v>
      </c>
      <c r="H56" s="190">
        <v>10</v>
      </c>
      <c r="I56" s="190">
        <v>10</v>
      </c>
      <c r="J56" s="192">
        <v>10</v>
      </c>
    </row>
    <row r="57" spans="1:10" hidden="1" outlineLevel="1" x14ac:dyDescent="0.25">
      <c r="A57" s="189"/>
      <c r="B57" s="217">
        <v>4</v>
      </c>
      <c r="C57" s="218" t="s">
        <v>879</v>
      </c>
      <c r="D57" s="190">
        <v>519</v>
      </c>
      <c r="E57" s="190">
        <v>138</v>
      </c>
      <c r="F57" s="190">
        <v>266</v>
      </c>
      <c r="G57" s="192">
        <v>401</v>
      </c>
      <c r="H57" s="190">
        <v>10</v>
      </c>
      <c r="I57" s="190">
        <v>10</v>
      </c>
      <c r="J57" s="192">
        <v>10</v>
      </c>
    </row>
    <row r="58" spans="1:10" hidden="1" outlineLevel="1" x14ac:dyDescent="0.25">
      <c r="A58" s="189"/>
      <c r="B58" s="217">
        <v>5</v>
      </c>
      <c r="C58" s="218" t="s">
        <v>880</v>
      </c>
      <c r="D58" s="190">
        <v>423</v>
      </c>
      <c r="E58" s="190">
        <v>603</v>
      </c>
      <c r="F58" s="190">
        <v>533</v>
      </c>
      <c r="G58" s="192">
        <v>249</v>
      </c>
      <c r="H58" s="190">
        <v>10</v>
      </c>
      <c r="I58" s="190">
        <v>10</v>
      </c>
      <c r="J58" s="192">
        <v>10</v>
      </c>
    </row>
    <row r="59" spans="1:10" hidden="1" outlineLevel="1" x14ac:dyDescent="0.25">
      <c r="A59" s="189"/>
      <c r="B59" s="217">
        <v>6</v>
      </c>
      <c r="C59" s="218" t="s">
        <v>881</v>
      </c>
      <c r="D59" s="190">
        <v>77</v>
      </c>
      <c r="E59" s="190">
        <v>136</v>
      </c>
      <c r="F59" s="190">
        <v>188</v>
      </c>
      <c r="G59" s="192">
        <v>331</v>
      </c>
      <c r="H59" s="190">
        <v>10</v>
      </c>
      <c r="I59" s="190">
        <v>10</v>
      </c>
      <c r="J59" s="192">
        <v>10</v>
      </c>
    </row>
    <row r="60" spans="1:10" hidden="1" outlineLevel="1" x14ac:dyDescent="0.25">
      <c r="A60" s="193"/>
      <c r="B60" s="219">
        <v>7</v>
      </c>
      <c r="C60" s="220" t="s">
        <v>882</v>
      </c>
      <c r="D60" s="194">
        <v>414</v>
      </c>
      <c r="E60" s="194">
        <v>557</v>
      </c>
      <c r="F60" s="194">
        <v>459</v>
      </c>
      <c r="G60" s="171">
        <v>214</v>
      </c>
      <c r="H60" s="194">
        <v>10</v>
      </c>
      <c r="I60" s="194">
        <v>10</v>
      </c>
      <c r="J60" s="171">
        <v>10</v>
      </c>
    </row>
    <row r="61" spans="1:10" hidden="1" outlineLevel="1" x14ac:dyDescent="0.25"/>
    <row r="62" spans="1:10" hidden="1" outlineLevel="1" x14ac:dyDescent="0.25">
      <c r="A62" s="176" t="s">
        <v>1168</v>
      </c>
      <c r="B62" s="176"/>
      <c r="C62" s="176"/>
    </row>
    <row r="63" spans="1:10" hidden="1" outlineLevel="1" x14ac:dyDescent="0.25">
      <c r="A63" s="210" t="s">
        <v>975</v>
      </c>
      <c r="B63" s="198" t="s">
        <v>794</v>
      </c>
      <c r="C63" s="199" t="s">
        <v>778</v>
      </c>
    </row>
    <row r="64" spans="1:10" hidden="1" outlineLevel="1" x14ac:dyDescent="0.25">
      <c r="A64" s="217">
        <v>1</v>
      </c>
      <c r="B64" s="211"/>
      <c r="C64" s="192"/>
    </row>
    <row r="65" spans="1:3" hidden="1" outlineLevel="1" x14ac:dyDescent="0.25">
      <c r="A65" s="217">
        <v>2</v>
      </c>
      <c r="B65" s="212"/>
      <c r="C65" s="192"/>
    </row>
    <row r="66" spans="1:3" hidden="1" outlineLevel="1" x14ac:dyDescent="0.25">
      <c r="A66" s="219">
        <v>3</v>
      </c>
      <c r="B66" s="213"/>
      <c r="C66" s="171"/>
    </row>
    <row r="67" spans="1:3" hidden="1" outlineLevel="1" x14ac:dyDescent="0.25">
      <c r="A67" s="206"/>
      <c r="B67" s="206"/>
      <c r="C67" s="206"/>
    </row>
    <row r="68" spans="1:3" hidden="1" outlineLevel="1" x14ac:dyDescent="0.25">
      <c r="A68" s="172" t="s">
        <v>1169</v>
      </c>
    </row>
    <row r="69" spans="1:3" hidden="1" outlineLevel="1" x14ac:dyDescent="0.25">
      <c r="A69" s="203" t="s">
        <v>867</v>
      </c>
      <c r="B69" s="202" t="s">
        <v>8</v>
      </c>
      <c r="C69" s="199" t="s">
        <v>778</v>
      </c>
    </row>
    <row r="70" spans="1:3" hidden="1" outlineLevel="1" x14ac:dyDescent="0.25">
      <c r="A70" s="214"/>
      <c r="B70" s="221" t="s">
        <v>976</v>
      </c>
      <c r="C70" s="215"/>
    </row>
    <row r="71" spans="1:3" hidden="1" outlineLevel="1" x14ac:dyDescent="0.25">
      <c r="A71" s="216"/>
      <c r="B71" s="222" t="s">
        <v>668</v>
      </c>
      <c r="C71" s="216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Y23:AC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Data'!$B$2:$B$101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4" t="s">
        <v>581</v>
      </c>
      <c r="E2" s="235"/>
      <c r="F2" s="235"/>
      <c r="G2" s="235"/>
      <c r="H2" s="235"/>
      <c r="I2" s="235"/>
      <c r="J2" s="235"/>
      <c r="K2" s="235"/>
      <c r="L2" s="236"/>
      <c r="M2" s="60"/>
      <c r="N2" s="234" t="s">
        <v>713</v>
      </c>
      <c r="O2" s="235"/>
      <c r="P2" s="235"/>
      <c r="Q2" s="236"/>
      <c r="R2" s="235" t="s">
        <v>714</v>
      </c>
      <c r="S2" s="235"/>
      <c r="T2" s="235"/>
      <c r="U2" s="236"/>
      <c r="V2" s="235" t="s">
        <v>715</v>
      </c>
      <c r="W2" s="235"/>
      <c r="X2" s="235"/>
      <c r="Y2" s="236"/>
    </row>
    <row r="3" spans="1:25" x14ac:dyDescent="0.25">
      <c r="A3" s="10" t="s">
        <v>1008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1001</v>
      </c>
      <c r="C4" t="s">
        <v>998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1002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1003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1013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1000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1808</v>
      </c>
      <c r="C9" t="s">
        <v>1001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999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1004</v>
      </c>
      <c r="D11" s="52">
        <v>5</v>
      </c>
      <c r="E11" s="44" t="s">
        <v>3</v>
      </c>
      <c r="F11" s="45" t="s">
        <v>1798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1172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998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1171</v>
      </c>
      <c r="C14" t="s">
        <v>1002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999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1789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1000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1787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1787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1706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1004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1003</v>
      </c>
      <c r="D34" s="106">
        <v>5</v>
      </c>
      <c r="E34" s="107" t="s">
        <v>3</v>
      </c>
      <c r="F34" s="108" t="s">
        <v>1792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1013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1257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1171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1513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1172</v>
      </c>
      <c r="D49" s="185">
        <v>5</v>
      </c>
      <c r="E49" s="186" t="s">
        <v>2</v>
      </c>
      <c r="F49" s="187" t="s">
        <v>260</v>
      </c>
      <c r="G49" s="186">
        <v>120</v>
      </c>
      <c r="H49" s="186">
        <v>5</v>
      </c>
      <c r="I49" s="186">
        <v>10</v>
      </c>
      <c r="J49" s="186">
        <v>10</v>
      </c>
      <c r="K49" s="186">
        <v>3</v>
      </c>
      <c r="L49" s="187">
        <v>100</v>
      </c>
      <c r="M49" s="61"/>
      <c r="N49" s="189" t="s">
        <v>721</v>
      </c>
      <c r="O49" s="190" t="s">
        <v>527</v>
      </c>
      <c r="P49" s="190">
        <v>10</v>
      </c>
      <c r="Q49" s="191">
        <v>1</v>
      </c>
      <c r="R49" s="189" t="s">
        <v>737</v>
      </c>
      <c r="S49" s="190" t="s">
        <v>547</v>
      </c>
      <c r="T49" s="190">
        <v>10</v>
      </c>
      <c r="U49" s="191">
        <v>1</v>
      </c>
      <c r="V49" s="189"/>
      <c r="W49" s="190"/>
      <c r="X49" s="190"/>
      <c r="Y49" s="191"/>
    </row>
    <row r="50" spans="3:25" x14ac:dyDescent="0.25">
      <c r="D50" s="189">
        <v>5</v>
      </c>
      <c r="E50" s="190" t="s">
        <v>6</v>
      </c>
      <c r="F50" s="192" t="s">
        <v>253</v>
      </c>
      <c r="G50" s="190">
        <v>100</v>
      </c>
      <c r="H50" s="190">
        <v>5</v>
      </c>
      <c r="I50" s="190">
        <v>10</v>
      </c>
      <c r="J50" s="190">
        <v>0</v>
      </c>
      <c r="K50" s="190">
        <v>0</v>
      </c>
      <c r="L50" s="192">
        <v>100</v>
      </c>
      <c r="M50" s="61"/>
      <c r="N50" s="189" t="s">
        <v>721</v>
      </c>
      <c r="O50" s="190" t="s">
        <v>527</v>
      </c>
      <c r="P50" s="190">
        <v>10</v>
      </c>
      <c r="Q50" s="191">
        <v>1</v>
      </c>
      <c r="R50" s="189" t="s">
        <v>730</v>
      </c>
      <c r="S50" s="190" t="s">
        <v>543</v>
      </c>
      <c r="T50" s="190">
        <v>10</v>
      </c>
      <c r="U50" s="191">
        <v>1</v>
      </c>
      <c r="V50" s="189" t="s">
        <v>710</v>
      </c>
      <c r="W50" s="190" t="s">
        <v>253</v>
      </c>
      <c r="X50" s="190">
        <v>10</v>
      </c>
      <c r="Y50" s="191">
        <v>1</v>
      </c>
    </row>
    <row r="51" spans="3:25" x14ac:dyDescent="0.25">
      <c r="D51" s="189">
        <v>5</v>
      </c>
      <c r="E51" s="190" t="s">
        <v>3</v>
      </c>
      <c r="F51" s="192" t="s">
        <v>805</v>
      </c>
      <c r="G51" s="190">
        <v>100</v>
      </c>
      <c r="H51" s="190">
        <v>5</v>
      </c>
      <c r="I51" s="190">
        <v>10</v>
      </c>
      <c r="J51" s="190">
        <v>0</v>
      </c>
      <c r="K51" s="190">
        <v>0</v>
      </c>
      <c r="L51" s="192">
        <v>100</v>
      </c>
      <c r="M51" s="61"/>
      <c r="N51" s="189" t="s">
        <v>763</v>
      </c>
      <c r="O51" s="190" t="s">
        <v>562</v>
      </c>
      <c r="P51" s="190">
        <v>10</v>
      </c>
      <c r="Q51" s="191">
        <v>1</v>
      </c>
      <c r="R51" s="189" t="s">
        <v>9</v>
      </c>
      <c r="S51" s="190" t="s">
        <v>568</v>
      </c>
      <c r="T51" s="190">
        <v>10</v>
      </c>
      <c r="U51" s="191">
        <v>1</v>
      </c>
      <c r="V51" s="189" t="s">
        <v>742</v>
      </c>
      <c r="W51" s="190" t="s">
        <v>551</v>
      </c>
      <c r="X51" s="190">
        <v>10</v>
      </c>
      <c r="Y51" s="191">
        <v>1</v>
      </c>
    </row>
    <row r="52" spans="3:25" x14ac:dyDescent="0.25">
      <c r="D52" s="189">
        <v>6</v>
      </c>
      <c r="E52" s="190" t="s">
        <v>3</v>
      </c>
      <c r="F52" s="192" t="s">
        <v>267</v>
      </c>
      <c r="G52" s="190">
        <v>110</v>
      </c>
      <c r="H52" s="190">
        <v>5</v>
      </c>
      <c r="I52" s="190">
        <v>10</v>
      </c>
      <c r="J52" s="190">
        <v>10</v>
      </c>
      <c r="K52" s="190">
        <v>2</v>
      </c>
      <c r="L52" s="192">
        <v>100</v>
      </c>
      <c r="M52" s="61"/>
      <c r="N52" s="189" t="s">
        <v>763</v>
      </c>
      <c r="O52" s="190" t="s">
        <v>562</v>
      </c>
      <c r="P52" s="190">
        <v>10</v>
      </c>
      <c r="Q52" s="191">
        <v>1</v>
      </c>
      <c r="R52" s="189" t="s">
        <v>9</v>
      </c>
      <c r="S52" s="190" t="s">
        <v>568</v>
      </c>
      <c r="T52" s="190">
        <v>10</v>
      </c>
      <c r="U52" s="191">
        <v>1</v>
      </c>
      <c r="V52" s="189" t="s">
        <v>742</v>
      </c>
      <c r="W52" s="190" t="s">
        <v>551</v>
      </c>
      <c r="X52" s="190">
        <v>10</v>
      </c>
      <c r="Y52" s="191">
        <v>1</v>
      </c>
    </row>
    <row r="53" spans="3:25" x14ac:dyDescent="0.25">
      <c r="D53" s="193">
        <v>5</v>
      </c>
      <c r="E53" s="194" t="s">
        <v>3</v>
      </c>
      <c r="F53" s="171" t="s">
        <v>749</v>
      </c>
      <c r="G53" s="194">
        <v>110</v>
      </c>
      <c r="H53" s="194">
        <v>5</v>
      </c>
      <c r="I53" s="194">
        <v>10</v>
      </c>
      <c r="J53" s="194">
        <v>10</v>
      </c>
      <c r="K53" s="194">
        <v>2</v>
      </c>
      <c r="L53" s="171">
        <v>100</v>
      </c>
      <c r="M53" s="61"/>
      <c r="N53" s="193" t="s">
        <v>710</v>
      </c>
      <c r="O53" s="194" t="s">
        <v>67</v>
      </c>
      <c r="P53" s="194">
        <v>10</v>
      </c>
      <c r="Q53" s="195">
        <v>1</v>
      </c>
      <c r="R53" s="193" t="s">
        <v>9</v>
      </c>
      <c r="S53" s="194" t="s">
        <v>568</v>
      </c>
      <c r="T53" s="194">
        <v>10</v>
      </c>
      <c r="U53" s="195">
        <v>1</v>
      </c>
      <c r="V53" s="193" t="s">
        <v>742</v>
      </c>
      <c r="W53" s="194" t="s">
        <v>551</v>
      </c>
      <c r="X53" s="194">
        <v>10</v>
      </c>
      <c r="Y53" s="195">
        <v>1</v>
      </c>
    </row>
    <row r="54" spans="3:25" x14ac:dyDescent="0.25">
      <c r="C54" t="s">
        <v>1808</v>
      </c>
      <c r="D54" s="185">
        <v>5</v>
      </c>
      <c r="E54" s="186" t="s">
        <v>4</v>
      </c>
      <c r="F54" s="187" t="s">
        <v>214</v>
      </c>
      <c r="G54" s="186">
        <v>100</v>
      </c>
      <c r="H54" s="186">
        <v>5</v>
      </c>
      <c r="I54" s="186">
        <v>10</v>
      </c>
      <c r="J54" s="186">
        <v>0</v>
      </c>
      <c r="K54" s="186">
        <v>0</v>
      </c>
      <c r="L54" s="187">
        <v>100</v>
      </c>
      <c r="M54" s="61"/>
      <c r="N54" s="189" t="s">
        <v>721</v>
      </c>
      <c r="O54" s="190" t="s">
        <v>527</v>
      </c>
      <c r="P54" s="190">
        <v>10</v>
      </c>
      <c r="Q54" s="191">
        <v>1</v>
      </c>
      <c r="R54" s="189" t="s">
        <v>730</v>
      </c>
      <c r="S54" s="190" t="s">
        <v>543</v>
      </c>
      <c r="T54" s="190">
        <v>10</v>
      </c>
      <c r="U54" s="191">
        <v>1</v>
      </c>
      <c r="V54" s="189" t="s">
        <v>751</v>
      </c>
      <c r="W54" s="190" t="s">
        <v>564</v>
      </c>
      <c r="X54" s="190">
        <v>10</v>
      </c>
      <c r="Y54" s="191">
        <v>1</v>
      </c>
    </row>
    <row r="55" spans="3:25" x14ac:dyDescent="0.25">
      <c r="D55" s="189">
        <v>5</v>
      </c>
      <c r="E55" s="190" t="s">
        <v>4</v>
      </c>
      <c r="F55" s="192" t="s">
        <v>1768</v>
      </c>
      <c r="G55" s="190">
        <v>100</v>
      </c>
      <c r="H55" s="190">
        <v>5</v>
      </c>
      <c r="I55" s="190">
        <v>10</v>
      </c>
      <c r="J55" s="190">
        <v>0</v>
      </c>
      <c r="K55" s="190">
        <v>0</v>
      </c>
      <c r="L55" s="192">
        <v>100</v>
      </c>
      <c r="M55" s="61"/>
      <c r="N55" s="189" t="s">
        <v>721</v>
      </c>
      <c r="O55" s="190" t="s">
        <v>527</v>
      </c>
      <c r="P55" s="190">
        <v>10</v>
      </c>
      <c r="Q55" s="191">
        <v>1</v>
      </c>
      <c r="R55" s="189" t="s">
        <v>730</v>
      </c>
      <c r="S55" s="190" t="s">
        <v>543</v>
      </c>
      <c r="T55" s="190">
        <v>10</v>
      </c>
      <c r="U55" s="191">
        <v>1</v>
      </c>
      <c r="V55" s="189" t="s">
        <v>751</v>
      </c>
      <c r="W55" s="190" t="s">
        <v>564</v>
      </c>
      <c r="X55" s="190">
        <v>10</v>
      </c>
      <c r="Y55" s="191">
        <v>1</v>
      </c>
    </row>
    <row r="56" spans="3:25" x14ac:dyDescent="0.25">
      <c r="D56" s="189">
        <v>5</v>
      </c>
      <c r="E56" s="190" t="s">
        <v>4</v>
      </c>
      <c r="F56" s="192" t="s">
        <v>126</v>
      </c>
      <c r="G56" s="190">
        <v>100</v>
      </c>
      <c r="H56" s="190">
        <v>5</v>
      </c>
      <c r="I56" s="190">
        <v>10</v>
      </c>
      <c r="J56" s="190">
        <v>0</v>
      </c>
      <c r="K56" s="190">
        <v>0</v>
      </c>
      <c r="L56" s="192">
        <v>100</v>
      </c>
      <c r="M56" s="61"/>
      <c r="N56" s="189" t="s">
        <v>721</v>
      </c>
      <c r="O56" s="190" t="s">
        <v>527</v>
      </c>
      <c r="P56" s="190">
        <v>10</v>
      </c>
      <c r="Q56" s="191">
        <v>1</v>
      </c>
      <c r="R56" s="189" t="s">
        <v>730</v>
      </c>
      <c r="S56" s="190" t="s">
        <v>543</v>
      </c>
      <c r="T56" s="190">
        <v>10</v>
      </c>
      <c r="U56" s="191">
        <v>1</v>
      </c>
      <c r="V56" s="189" t="s">
        <v>751</v>
      </c>
      <c r="W56" s="190" t="s">
        <v>564</v>
      </c>
      <c r="X56" s="190">
        <v>10</v>
      </c>
      <c r="Y56" s="191">
        <v>1</v>
      </c>
    </row>
    <row r="57" spans="3:25" x14ac:dyDescent="0.25">
      <c r="D57" s="189">
        <v>5</v>
      </c>
      <c r="E57" s="190" t="s">
        <v>5</v>
      </c>
      <c r="F57" s="192" t="s">
        <v>240</v>
      </c>
      <c r="G57" s="190">
        <v>100</v>
      </c>
      <c r="H57" s="190">
        <v>5</v>
      </c>
      <c r="I57" s="190">
        <v>10</v>
      </c>
      <c r="J57" s="190">
        <v>0</v>
      </c>
      <c r="K57" s="190">
        <v>0</v>
      </c>
      <c r="L57" s="192">
        <v>100</v>
      </c>
      <c r="M57" s="61"/>
      <c r="N57" s="189" t="s">
        <v>724</v>
      </c>
      <c r="O57" s="190" t="s">
        <v>535</v>
      </c>
      <c r="P57" s="190">
        <v>10</v>
      </c>
      <c r="Q57" s="191">
        <v>1</v>
      </c>
      <c r="R57" s="189" t="s">
        <v>762</v>
      </c>
      <c r="S57" s="190" t="s">
        <v>572</v>
      </c>
      <c r="T57" s="190">
        <v>10</v>
      </c>
      <c r="U57" s="191">
        <v>1</v>
      </c>
      <c r="V57" s="189" t="s">
        <v>646</v>
      </c>
      <c r="W57" s="190" t="s">
        <v>554</v>
      </c>
      <c r="X57" s="190">
        <v>10</v>
      </c>
      <c r="Y57" s="191">
        <v>1</v>
      </c>
    </row>
    <row r="58" spans="3:25" x14ac:dyDescent="0.25">
      <c r="D58" s="193">
        <v>5</v>
      </c>
      <c r="E58" s="194" t="s">
        <v>3</v>
      </c>
      <c r="F58" s="171" t="s">
        <v>1798</v>
      </c>
      <c r="G58" s="194">
        <v>100</v>
      </c>
      <c r="H58" s="194">
        <v>5</v>
      </c>
      <c r="I58" s="194">
        <v>10</v>
      </c>
      <c r="J58" s="194">
        <v>0</v>
      </c>
      <c r="K58" s="194">
        <v>0</v>
      </c>
      <c r="L58" s="171">
        <v>100</v>
      </c>
      <c r="M58" s="61"/>
      <c r="N58" s="193" t="s">
        <v>710</v>
      </c>
      <c r="O58" s="194" t="s">
        <v>766</v>
      </c>
      <c r="P58" s="194"/>
      <c r="Q58" s="195">
        <v>1</v>
      </c>
      <c r="R58" s="193" t="s">
        <v>710</v>
      </c>
      <c r="S58" s="194" t="s">
        <v>769</v>
      </c>
      <c r="T58" s="194"/>
      <c r="U58" s="195">
        <v>1</v>
      </c>
      <c r="V58" s="193" t="s">
        <v>710</v>
      </c>
      <c r="W58" s="194" t="s">
        <v>770</v>
      </c>
      <c r="X58" s="194"/>
      <c r="Y58" s="195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IF(EchType="SF",0,1)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IF(OR(Main!U23="",EchType="SF"),"",ROW()-1)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3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888</v>
      </c>
      <c r="C1" s="103" t="s">
        <v>889</v>
      </c>
      <c r="D1" s="103" t="s">
        <v>890</v>
      </c>
      <c r="E1" s="103" t="s">
        <v>222</v>
      </c>
      <c r="F1" s="103" t="s">
        <v>891</v>
      </c>
      <c r="G1" s="103" t="s">
        <v>34</v>
      </c>
      <c r="H1" s="103" t="s">
        <v>892</v>
      </c>
      <c r="I1" s="103" t="s">
        <v>35</v>
      </c>
      <c r="J1" s="103" t="s">
        <v>36</v>
      </c>
      <c r="K1" s="103" t="s">
        <v>893</v>
      </c>
      <c r="L1" s="103" t="s">
        <v>894</v>
      </c>
      <c r="M1" s="103" t="s">
        <v>895</v>
      </c>
      <c r="N1" s="103" t="s">
        <v>896</v>
      </c>
      <c r="O1" s="103" t="s">
        <v>897</v>
      </c>
      <c r="P1" s="103" t="s">
        <v>898</v>
      </c>
      <c r="Q1" s="103" t="s">
        <v>38</v>
      </c>
      <c r="R1" s="103" t="s">
        <v>899</v>
      </c>
      <c r="S1" s="103" t="s">
        <v>41</v>
      </c>
      <c r="T1" s="103" t="s">
        <v>42</v>
      </c>
      <c r="U1" s="103" t="s">
        <v>900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1070</v>
      </c>
      <c r="D1" s="103" t="s">
        <v>1071</v>
      </c>
      <c r="E1" s="103" t="s">
        <v>1072</v>
      </c>
      <c r="F1" s="103" t="s">
        <v>1073</v>
      </c>
      <c r="G1" s="103" t="s">
        <v>1074</v>
      </c>
      <c r="H1" s="103" t="s">
        <v>1075</v>
      </c>
      <c r="I1" s="103" t="s">
        <v>1076</v>
      </c>
      <c r="J1" s="103" t="s">
        <v>1077</v>
      </c>
      <c r="K1" s="103" t="s">
        <v>41</v>
      </c>
      <c r="L1" s="103" t="s">
        <v>42</v>
      </c>
      <c r="M1" s="103" t="s">
        <v>900</v>
      </c>
      <c r="N1" s="103" t="s">
        <v>1019</v>
      </c>
      <c r="O1" s="103" t="s">
        <v>1078</v>
      </c>
      <c r="P1" s="103" t="s">
        <v>1079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1080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1162</v>
      </c>
      <c r="C1" s="103" t="s">
        <v>1065</v>
      </c>
      <c r="D1" s="103" t="s">
        <v>1163</v>
      </c>
      <c r="E1" s="103" t="s">
        <v>1164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1081</v>
      </c>
      <c r="D1" s="103" t="s">
        <v>30</v>
      </c>
      <c r="E1" s="103" t="s">
        <v>35</v>
      </c>
      <c r="F1" s="103" t="s">
        <v>36</v>
      </c>
      <c r="G1" s="103" t="s">
        <v>1082</v>
      </c>
      <c r="J1" s="159" t="s">
        <v>1163</v>
      </c>
      <c r="K1" s="159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1165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901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885</v>
      </c>
      <c r="AJ2" s="112" t="s">
        <v>887</v>
      </c>
      <c r="AK2" s="112" t="s">
        <v>886</v>
      </c>
      <c r="AL2" s="113" t="s">
        <v>884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876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877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878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879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880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881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882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1174</v>
      </c>
      <c r="K37" s="3" t="s">
        <v>1175</v>
      </c>
      <c r="L37" s="3" t="s">
        <v>1176</v>
      </c>
      <c r="M37" s="3" t="s">
        <v>1177</v>
      </c>
      <c r="N37" s="3" t="s">
        <v>1178</v>
      </c>
      <c r="O37" s="3" t="s">
        <v>1179</v>
      </c>
      <c r="P37" s="4" t="s">
        <v>1180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Q3" sqref="Q3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1124</v>
      </c>
      <c r="I1" s="10" t="s">
        <v>1118</v>
      </c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</row>
    <row r="2" spans="1:26" x14ac:dyDescent="0.25">
      <c r="A2" s="66" t="s">
        <v>1117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2" t="s">
        <v>1083</v>
      </c>
      <c r="J2" s="67" t="s">
        <v>18</v>
      </c>
      <c r="K2" s="70" t="s">
        <v>1092</v>
      </c>
      <c r="L2" s="70" t="s">
        <v>1093</v>
      </c>
      <c r="M2" s="70" t="s">
        <v>1086</v>
      </c>
      <c r="N2" s="70" t="s">
        <v>1088</v>
      </c>
      <c r="O2" s="67" t="s">
        <v>1085</v>
      </c>
      <c r="P2" s="70" t="s">
        <v>1088</v>
      </c>
      <c r="Q2" s="70" t="s">
        <v>1120</v>
      </c>
      <c r="R2" s="70" t="s">
        <v>1121</v>
      </c>
      <c r="S2" s="70" t="s">
        <v>1119</v>
      </c>
      <c r="T2" s="70" t="s">
        <v>1153</v>
      </c>
      <c r="U2" s="70" t="s">
        <v>1155</v>
      </c>
      <c r="V2" s="71" t="s">
        <v>1154</v>
      </c>
      <c r="W2" s="151"/>
      <c r="X2" s="111" t="s">
        <v>1156</v>
      </c>
      <c r="Y2" s="151"/>
      <c r="Z2" s="151"/>
    </row>
    <row r="3" spans="1:26" x14ac:dyDescent="0.25">
      <c r="A3" s="67" t="s">
        <v>1099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2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8">
        <f t="shared" ref="X3:X11" si="0">_xlfn.CEILING.MATH(P3*Q3*R3*(J3+40-1)*S3*T3/U3/1000000,1)+V3*T3</f>
        <v>1205</v>
      </c>
      <c r="Y3" s="151"/>
      <c r="Z3" s="151"/>
    </row>
    <row r="4" spans="1:26" x14ac:dyDescent="0.25">
      <c r="A4" s="68" t="s">
        <v>1098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3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8">
        <f t="shared" si="0"/>
        <v>1604</v>
      </c>
      <c r="Y4" s="151"/>
      <c r="Z4" s="151"/>
    </row>
    <row r="5" spans="1:26" x14ac:dyDescent="0.25">
      <c r="A5" s="69" t="s">
        <v>1097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3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8">
        <f t="shared" si="0"/>
        <v>1604</v>
      </c>
      <c r="Y5" s="151"/>
      <c r="Z5" s="151"/>
    </row>
    <row r="6" spans="1:26" x14ac:dyDescent="0.25">
      <c r="I6" s="153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8">
        <f t="shared" si="0"/>
        <v>1604</v>
      </c>
      <c r="Y6" s="151"/>
      <c r="Z6" s="151"/>
    </row>
    <row r="7" spans="1:26" x14ac:dyDescent="0.25">
      <c r="A7" s="237" t="s">
        <v>1100</v>
      </c>
      <c r="B7" s="67" t="s">
        <v>1123</v>
      </c>
      <c r="C7" s="70" t="s">
        <v>1101</v>
      </c>
      <c r="D7" s="70" t="s">
        <v>1102</v>
      </c>
      <c r="E7" s="70" t="s">
        <v>1103</v>
      </c>
      <c r="F7" s="70" t="s">
        <v>1087</v>
      </c>
      <c r="G7" s="71" t="s">
        <v>1097</v>
      </c>
      <c r="I7" s="153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8">
        <f t="shared" si="0"/>
        <v>1604</v>
      </c>
      <c r="Y7" s="151"/>
      <c r="Z7" s="151"/>
    </row>
    <row r="8" spans="1:26" x14ac:dyDescent="0.25">
      <c r="A8" s="238"/>
      <c r="B8" s="155">
        <v>100</v>
      </c>
      <c r="C8" s="156">
        <v>102</v>
      </c>
      <c r="D8" s="156">
        <v>105</v>
      </c>
      <c r="E8" s="156">
        <v>108</v>
      </c>
      <c r="F8" s="156">
        <v>110.00000000000001</v>
      </c>
      <c r="G8" s="157">
        <v>100</v>
      </c>
      <c r="I8" s="153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8">
        <f t="shared" si="0"/>
        <v>1604</v>
      </c>
      <c r="Y8" s="151"/>
      <c r="Z8" s="151"/>
    </row>
    <row r="9" spans="1:26" x14ac:dyDescent="0.25">
      <c r="I9" s="153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8">
        <f t="shared" si="0"/>
        <v>1604</v>
      </c>
      <c r="Y9" s="151"/>
      <c r="Z9" s="151"/>
    </row>
    <row r="10" spans="1:26" x14ac:dyDescent="0.25">
      <c r="A10" s="66" t="s">
        <v>1122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3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8">
        <f t="shared" si="0"/>
        <v>1604</v>
      </c>
      <c r="Y10" s="151"/>
      <c r="Z10" s="151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4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49">
        <f t="shared" si="0"/>
        <v>1604</v>
      </c>
      <c r="Y11" s="151"/>
      <c r="Z11" s="151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7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1125</v>
      </c>
      <c r="T17" s="19"/>
      <c r="U17" s="11"/>
      <c r="X17" s="1"/>
      <c r="Y17" s="29"/>
    </row>
    <row r="18" spans="1:25" x14ac:dyDescent="0.25">
      <c r="A18" s="158" t="s">
        <v>1126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948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1709</v>
      </c>
      <c r="C22" s="1">
        <v>2</v>
      </c>
      <c r="D22" t="s">
        <v>1710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1824</v>
      </c>
      <c r="C39" s="1">
        <v>6</v>
      </c>
      <c r="D39" t="s">
        <v>1825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1012</v>
      </c>
    </row>
    <row r="20" spans="1:3" x14ac:dyDescent="0.25">
      <c r="A20" t="s">
        <v>664</v>
      </c>
      <c r="B20" s="109">
        <v>910122</v>
      </c>
      <c r="C20" t="s">
        <v>1012</v>
      </c>
    </row>
    <row r="21" spans="1:3" x14ac:dyDescent="0.25">
      <c r="A21" t="s">
        <v>1010</v>
      </c>
      <c r="B21" s="109">
        <v>902385</v>
      </c>
      <c r="C21" t="s">
        <v>1012</v>
      </c>
    </row>
    <row r="22" spans="1:3" x14ac:dyDescent="0.25">
      <c r="A22" t="s">
        <v>662</v>
      </c>
      <c r="B22" s="109">
        <v>910119</v>
      </c>
      <c r="C22" t="s">
        <v>1012</v>
      </c>
    </row>
    <row r="23" spans="1:3" x14ac:dyDescent="0.25">
      <c r="A23" t="s">
        <v>663</v>
      </c>
      <c r="B23" s="109">
        <v>910120</v>
      </c>
      <c r="C23" t="s">
        <v>1012</v>
      </c>
    </row>
    <row r="24" spans="1:3" x14ac:dyDescent="0.25">
      <c r="A24" t="s">
        <v>661</v>
      </c>
      <c r="B24" s="109">
        <v>910118</v>
      </c>
      <c r="C24" t="s">
        <v>1012</v>
      </c>
    </row>
    <row r="25" spans="1:3" x14ac:dyDescent="0.25">
      <c r="A25" t="s">
        <v>1009</v>
      </c>
      <c r="B25" s="109">
        <v>900906</v>
      </c>
      <c r="C25" t="s">
        <v>1012</v>
      </c>
    </row>
    <row r="26" spans="1:3" x14ac:dyDescent="0.25">
      <c r="A26" t="s">
        <v>1011</v>
      </c>
      <c r="B26" s="109">
        <v>910121</v>
      </c>
      <c r="C26" t="s">
        <v>1012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965</v>
      </c>
      <c r="C1" s="43" t="s">
        <v>966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1807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22"/>
  <sheetViews>
    <sheetView workbookViewId="0">
      <pane ySplit="1" topLeftCell="A199" activePane="bottomLeft" state="frozen"/>
      <selection pane="bottomLeft" activeCell="B222" sqref="B222"/>
    </sheetView>
  </sheetViews>
  <sheetFormatPr defaultRowHeight="15" x14ac:dyDescent="0.25"/>
  <cols>
    <col min="2" max="2" width="15.8554687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1570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1571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1571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1571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1572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1573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1573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1574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1574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1574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1575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1575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1575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1577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1578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1579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1580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1580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1580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1581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1581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1581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1582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1583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1584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1585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1586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1587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1588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1589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1589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1590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1591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1592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1579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1593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1593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1594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1595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1594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1574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1596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1597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1598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1599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1600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1601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1602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1603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1604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1605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1606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1586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1607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1608</v>
      </c>
    </row>
    <row r="72" spans="1:23" x14ac:dyDescent="0.25">
      <c r="A72" s="1">
        <v>100</v>
      </c>
      <c r="B72" t="s">
        <v>1788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1609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1610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1611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1612</v>
      </c>
    </row>
    <row r="76" spans="1:23" x14ac:dyDescent="0.25">
      <c r="A76" s="1">
        <v>104</v>
      </c>
      <c r="B76" t="s">
        <v>1521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1613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1614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1615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1587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1616</v>
      </c>
    </row>
    <row r="81" spans="1:23" x14ac:dyDescent="0.25">
      <c r="A81" s="1">
        <v>111</v>
      </c>
      <c r="B81" t="s">
        <v>1785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1617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1618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1619</v>
      </c>
    </row>
    <row r="84" spans="1:23" x14ac:dyDescent="0.25">
      <c r="A84" s="1">
        <v>114</v>
      </c>
      <c r="B84" t="s">
        <v>1789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1620</v>
      </c>
    </row>
    <row r="85" spans="1:23" x14ac:dyDescent="0.25">
      <c r="A85" s="1">
        <v>115</v>
      </c>
      <c r="B85" t="s">
        <v>1786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1621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1622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1623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1624</v>
      </c>
    </row>
    <row r="91" spans="1:23" x14ac:dyDescent="0.25">
      <c r="A91" s="1">
        <v>124</v>
      </c>
      <c r="B91" t="s">
        <v>1531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1625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1626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1627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1628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1612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1617</v>
      </c>
    </row>
    <row r="97" spans="1:23" x14ac:dyDescent="0.25">
      <c r="A97" s="1">
        <v>130</v>
      </c>
      <c r="B97" t="s">
        <v>1533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1617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1629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956</v>
      </c>
      <c r="W99" t="s">
        <v>1630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1631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1632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1633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1633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1634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1593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1584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1635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1636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1637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1638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1639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1640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1641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1642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1643</v>
      </c>
    </row>
    <row r="124" spans="1:23" x14ac:dyDescent="0.25">
      <c r="A124" s="1">
        <v>157</v>
      </c>
      <c r="B124" t="s">
        <v>1513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1644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1645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1646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1647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1648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1649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1650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1651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1652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1653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1654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1651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1655</v>
      </c>
    </row>
    <row r="137" spans="1:23" x14ac:dyDescent="0.25">
      <c r="A137" s="1">
        <v>170</v>
      </c>
      <c r="B137" t="s">
        <v>1787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1656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1651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1657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1658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1659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1660</v>
      </c>
    </row>
    <row r="143" spans="1:23" x14ac:dyDescent="0.25">
      <c r="A143" s="1">
        <v>176</v>
      </c>
      <c r="B143" t="s">
        <v>1791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1661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1662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1656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1651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957</v>
      </c>
      <c r="W147" t="s">
        <v>1663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1577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1579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1603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1664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1665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1666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1667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1665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1665</v>
      </c>
    </row>
    <row r="157" spans="1:23" x14ac:dyDescent="0.25">
      <c r="A157" s="1">
        <v>190</v>
      </c>
      <c r="B157" t="s">
        <v>1551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1668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1625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1582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1581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1663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1577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1669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1583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1670</v>
      </c>
    </row>
    <row r="166" spans="1:23" x14ac:dyDescent="0.25">
      <c r="A166" s="1">
        <v>199</v>
      </c>
      <c r="B166" t="s">
        <v>941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1590</v>
      </c>
    </row>
    <row r="167" spans="1:23" x14ac:dyDescent="0.25">
      <c r="A167" s="1">
        <v>200</v>
      </c>
      <c r="B167" t="s">
        <v>939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1593</v>
      </c>
    </row>
    <row r="168" spans="1:23" x14ac:dyDescent="0.25">
      <c r="A168" s="1">
        <v>201</v>
      </c>
      <c r="B168" t="s">
        <v>940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1580</v>
      </c>
    </row>
    <row r="169" spans="1:23" x14ac:dyDescent="0.25">
      <c r="A169" s="1">
        <v>202</v>
      </c>
      <c r="B169" t="s">
        <v>942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1571</v>
      </c>
    </row>
    <row r="170" spans="1:23" x14ac:dyDescent="0.25">
      <c r="A170" s="1">
        <v>203</v>
      </c>
      <c r="B170" t="s">
        <v>943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1579</v>
      </c>
    </row>
    <row r="171" spans="1:23" x14ac:dyDescent="0.25">
      <c r="A171" s="1">
        <v>204</v>
      </c>
      <c r="B171" t="s">
        <v>944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1584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1671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1671</v>
      </c>
    </row>
    <row r="174" spans="1:23" x14ac:dyDescent="0.25">
      <c r="A174" s="1">
        <v>207</v>
      </c>
      <c r="B174" t="s">
        <v>1790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1669</v>
      </c>
    </row>
    <row r="175" spans="1:23" x14ac:dyDescent="0.25">
      <c r="A175" s="1">
        <v>208</v>
      </c>
      <c r="B175" t="s">
        <v>1735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1672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1625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1673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1656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906</v>
      </c>
      <c r="W179" t="s">
        <v>1656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907</v>
      </c>
      <c r="W180" t="s">
        <v>1584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908</v>
      </c>
      <c r="W181" t="s">
        <v>1674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909</v>
      </c>
      <c r="W182" t="s">
        <v>1656</v>
      </c>
    </row>
    <row r="183" spans="1:23" x14ac:dyDescent="0.25">
      <c r="A183" s="1">
        <v>216</v>
      </c>
      <c r="B183" t="s">
        <v>1708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910</v>
      </c>
      <c r="W183" t="s">
        <v>1675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905</v>
      </c>
      <c r="W184" t="s">
        <v>1648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916</v>
      </c>
      <c r="W185" t="s">
        <v>1676</v>
      </c>
    </row>
    <row r="186" spans="1:23" x14ac:dyDescent="0.25">
      <c r="A186" s="1">
        <v>219</v>
      </c>
      <c r="B186" t="s">
        <v>926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911</v>
      </c>
      <c r="W186" t="s">
        <v>1669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917</v>
      </c>
      <c r="W187" t="s">
        <v>1677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958</v>
      </c>
      <c r="W188" t="s">
        <v>1678</v>
      </c>
    </row>
    <row r="189" spans="1:23" x14ac:dyDescent="0.25">
      <c r="A189" s="1">
        <v>222</v>
      </c>
      <c r="B189" t="s">
        <v>945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1679</v>
      </c>
    </row>
    <row r="190" spans="1:23" x14ac:dyDescent="0.25">
      <c r="A190" s="1">
        <v>223</v>
      </c>
      <c r="B190" t="s">
        <v>946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1680</v>
      </c>
    </row>
    <row r="191" spans="1:23" x14ac:dyDescent="0.25">
      <c r="A191" s="1">
        <v>224</v>
      </c>
      <c r="B191" t="s">
        <v>947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918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1681</v>
      </c>
    </row>
    <row r="192" spans="1:23" x14ac:dyDescent="0.25">
      <c r="A192" s="1">
        <v>225</v>
      </c>
      <c r="B192" t="s">
        <v>937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936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919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1682</v>
      </c>
    </row>
    <row r="194" spans="1:23" x14ac:dyDescent="0.25">
      <c r="A194" s="1">
        <v>227</v>
      </c>
      <c r="B194" t="s">
        <v>935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920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1683</v>
      </c>
    </row>
    <row r="195" spans="1:23" x14ac:dyDescent="0.25">
      <c r="A195" s="1">
        <v>228</v>
      </c>
      <c r="B195" t="s">
        <v>934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921</v>
      </c>
      <c r="K195" s="1" t="s">
        <v>333</v>
      </c>
      <c r="L195" s="1" t="s">
        <v>333</v>
      </c>
      <c r="M195" s="1" t="s">
        <v>922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1684</v>
      </c>
    </row>
    <row r="196" spans="1:23" x14ac:dyDescent="0.25">
      <c r="A196" s="1">
        <v>229</v>
      </c>
      <c r="B196" t="s">
        <v>933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921</v>
      </c>
      <c r="K196" s="1" t="s">
        <v>333</v>
      </c>
      <c r="L196" s="1" t="s">
        <v>333</v>
      </c>
      <c r="M196" s="1" t="s">
        <v>923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1684</v>
      </c>
    </row>
    <row r="197" spans="1:23" x14ac:dyDescent="0.25">
      <c r="A197" s="1">
        <v>230</v>
      </c>
      <c r="B197" t="s">
        <v>932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915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1685</v>
      </c>
    </row>
    <row r="198" spans="1:23" x14ac:dyDescent="0.25">
      <c r="A198" s="1">
        <v>231</v>
      </c>
      <c r="B198" t="s">
        <v>931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914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1685</v>
      </c>
    </row>
    <row r="199" spans="1:23" x14ac:dyDescent="0.25">
      <c r="A199" s="1">
        <v>232</v>
      </c>
      <c r="B199" t="s">
        <v>930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924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1686</v>
      </c>
    </row>
    <row r="200" spans="1:23" x14ac:dyDescent="0.25">
      <c r="A200" s="1">
        <v>233</v>
      </c>
      <c r="B200" t="s">
        <v>929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924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1686</v>
      </c>
    </row>
    <row r="201" spans="1:23" x14ac:dyDescent="0.25">
      <c r="A201" s="1">
        <v>234</v>
      </c>
      <c r="B201" t="s">
        <v>928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924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1687</v>
      </c>
    </row>
    <row r="202" spans="1:23" x14ac:dyDescent="0.25">
      <c r="A202" s="1">
        <v>235</v>
      </c>
      <c r="B202" t="s">
        <v>927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1597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1711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925</v>
      </c>
      <c r="W203" t="s">
        <v>1688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959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960</v>
      </c>
      <c r="W204" t="s">
        <v>1676</v>
      </c>
    </row>
    <row r="205" spans="1:23" x14ac:dyDescent="0.25">
      <c r="A205" s="1">
        <v>238</v>
      </c>
      <c r="B205" t="s">
        <v>964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957</v>
      </c>
      <c r="W205" t="s">
        <v>1577</v>
      </c>
    </row>
    <row r="206" spans="1:23" x14ac:dyDescent="0.25">
      <c r="A206" s="1">
        <v>239</v>
      </c>
      <c r="B206" t="s">
        <v>953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961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956</v>
      </c>
      <c r="W206" t="s">
        <v>1684</v>
      </c>
    </row>
    <row r="207" spans="1:23" x14ac:dyDescent="0.25">
      <c r="A207" s="1">
        <v>240</v>
      </c>
      <c r="B207" t="s">
        <v>954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962</v>
      </c>
      <c r="W207" t="s">
        <v>1689</v>
      </c>
    </row>
    <row r="208" spans="1:23" x14ac:dyDescent="0.25">
      <c r="A208" s="1">
        <v>241</v>
      </c>
      <c r="B208" t="s">
        <v>955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963</v>
      </c>
      <c r="W208" t="s">
        <v>1690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1691</v>
      </c>
      <c r="W209" t="s">
        <v>1656</v>
      </c>
    </row>
    <row r="210" spans="1:23" x14ac:dyDescent="0.25">
      <c r="A210" s="1">
        <v>243</v>
      </c>
      <c r="B210" t="s">
        <v>1262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1692</v>
      </c>
      <c r="W210" t="s">
        <v>1693</v>
      </c>
    </row>
    <row r="211" spans="1:23" x14ac:dyDescent="0.25">
      <c r="A211" s="1">
        <v>244</v>
      </c>
      <c r="B211" t="s">
        <v>1204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1576</v>
      </c>
      <c r="W211" t="s">
        <v>1694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918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1695</v>
      </c>
      <c r="W212" t="s">
        <v>1696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1697</v>
      </c>
      <c r="W213" t="s">
        <v>1698</v>
      </c>
    </row>
    <row r="214" spans="1:23" x14ac:dyDescent="0.25">
      <c r="A214" s="1">
        <v>247</v>
      </c>
      <c r="B214" t="s">
        <v>1321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1474</v>
      </c>
      <c r="W214" t="s">
        <v>1699</v>
      </c>
    </row>
    <row r="215" spans="1:23" x14ac:dyDescent="0.25">
      <c r="A215" s="1">
        <v>248</v>
      </c>
      <c r="B215" t="s">
        <v>1712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1687</v>
      </c>
    </row>
    <row r="216" spans="1:23" x14ac:dyDescent="0.25">
      <c r="A216" s="1">
        <v>249</v>
      </c>
      <c r="B216" t="s">
        <v>1731</v>
      </c>
      <c r="C216" s="1">
        <v>5</v>
      </c>
      <c r="D216" s="1">
        <v>1</v>
      </c>
      <c r="E216" s="1">
        <v>18</v>
      </c>
      <c r="F216" s="1" t="s">
        <v>1827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1828</v>
      </c>
      <c r="W216" t="s">
        <v>1829</v>
      </c>
    </row>
    <row r="217" spans="1:23" x14ac:dyDescent="0.25">
      <c r="A217" s="1">
        <v>250</v>
      </c>
      <c r="B217" t="s">
        <v>1826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1830</v>
      </c>
      <c r="W217" t="s">
        <v>1831</v>
      </c>
    </row>
    <row r="218" spans="1:23" x14ac:dyDescent="0.25">
      <c r="A218" s="1">
        <v>251</v>
      </c>
      <c r="B218" t="s">
        <v>1504</v>
      </c>
      <c r="C218" s="1">
        <v>5</v>
      </c>
      <c r="D218" s="1">
        <v>1</v>
      </c>
      <c r="E218" s="1">
        <v>3</v>
      </c>
      <c r="F218" s="1" t="s">
        <v>333</v>
      </c>
      <c r="G218" s="1" t="s">
        <v>1700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1701</v>
      </c>
      <c r="W218" t="s">
        <v>1574</v>
      </c>
    </row>
    <row r="219" spans="1:23" x14ac:dyDescent="0.25">
      <c r="A219" s="1">
        <v>252</v>
      </c>
      <c r="B219" t="s">
        <v>1796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1702</v>
      </c>
      <c r="W219" t="s">
        <v>1665</v>
      </c>
    </row>
    <row r="220" spans="1:23" x14ac:dyDescent="0.25">
      <c r="A220" s="1">
        <v>253</v>
      </c>
      <c r="B220" t="s">
        <v>1797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1703</v>
      </c>
      <c r="W220" t="s">
        <v>1674</v>
      </c>
    </row>
    <row r="221" spans="1:23" x14ac:dyDescent="0.25">
      <c r="A221" s="1">
        <v>254</v>
      </c>
      <c r="B221" t="s">
        <v>1497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1704</v>
      </c>
      <c r="W221" t="s">
        <v>1603</v>
      </c>
    </row>
    <row r="222" spans="1:23" x14ac:dyDescent="0.25">
      <c r="A222" s="1">
        <v>255</v>
      </c>
      <c r="B222" t="s">
        <v>1500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924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1705</v>
      </c>
      <c r="W222" t="s">
        <v>1687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S417"/>
  <sheetViews>
    <sheetView workbookViewId="0">
      <pane ySplit="1" topLeftCell="A187" activePane="bottomLeft" state="frozen"/>
      <selection pane="bottomLeft" activeCell="B200" sqref="B200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1173</v>
      </c>
      <c r="C1" s="43" t="s">
        <v>61</v>
      </c>
      <c r="D1" s="43" t="s">
        <v>222</v>
      </c>
      <c r="E1" s="43" t="s">
        <v>1174</v>
      </c>
      <c r="F1" s="43" t="s">
        <v>1175</v>
      </c>
      <c r="G1" s="43" t="s">
        <v>1176</v>
      </c>
      <c r="H1" s="43" t="s">
        <v>1177</v>
      </c>
      <c r="I1" s="43" t="s">
        <v>1178</v>
      </c>
      <c r="J1" s="43" t="s">
        <v>1179</v>
      </c>
      <c r="K1" s="43" t="s">
        <v>1180</v>
      </c>
      <c r="L1" s="43" t="s">
        <v>41</v>
      </c>
      <c r="M1" s="43" t="s">
        <v>42</v>
      </c>
      <c r="N1" s="43" t="s">
        <v>1181</v>
      </c>
      <c r="O1" s="43" t="s">
        <v>638</v>
      </c>
      <c r="P1" s="43" t="s">
        <v>1182</v>
      </c>
      <c r="Q1" s="43" t="s">
        <v>1183</v>
      </c>
      <c r="R1" s="43" t="s">
        <v>1184</v>
      </c>
      <c r="S1" s="43" t="s">
        <v>1185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1186</v>
      </c>
      <c r="R2" s="1" t="s">
        <v>1187</v>
      </c>
      <c r="S2" s="1" t="s">
        <v>1188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1189</v>
      </c>
      <c r="P3" s="1" t="s">
        <v>333</v>
      </c>
      <c r="Q3" s="1" t="s">
        <v>1186</v>
      </c>
      <c r="R3" s="1" t="s">
        <v>1187</v>
      </c>
      <c r="S3" s="1" t="s">
        <v>1188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1189</v>
      </c>
      <c r="P4" s="1" t="s">
        <v>333</v>
      </c>
      <c r="Q4" s="1" t="s">
        <v>1186</v>
      </c>
      <c r="R4" s="1" t="s">
        <v>1187</v>
      </c>
      <c r="S4" s="1" t="s">
        <v>1188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1190</v>
      </c>
      <c r="P5" s="1" t="s">
        <v>1191</v>
      </c>
      <c r="Q5" s="1" t="s">
        <v>1186</v>
      </c>
      <c r="R5" s="1" t="s">
        <v>1187</v>
      </c>
      <c r="S5" s="1" t="s">
        <v>1188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1192</v>
      </c>
      <c r="P6" s="1" t="s">
        <v>333</v>
      </c>
      <c r="Q6" s="1" t="s">
        <v>1186</v>
      </c>
      <c r="R6" s="1" t="s">
        <v>1187</v>
      </c>
      <c r="S6" s="1" t="s">
        <v>1188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1193</v>
      </c>
      <c r="P7" s="1" t="s">
        <v>333</v>
      </c>
      <c r="Q7" s="1" t="s">
        <v>1186</v>
      </c>
      <c r="R7" s="1" t="s">
        <v>1187</v>
      </c>
      <c r="S7" s="1" t="s">
        <v>1188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1186</v>
      </c>
      <c r="R8" s="1" t="s">
        <v>1187</v>
      </c>
      <c r="S8" s="1" t="s">
        <v>1194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1195</v>
      </c>
      <c r="P9" s="1" t="s">
        <v>1196</v>
      </c>
      <c r="Q9" s="1" t="s">
        <v>1186</v>
      </c>
      <c r="R9" s="1" t="s">
        <v>1187</v>
      </c>
      <c r="S9" s="1" t="s">
        <v>1188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1197</v>
      </c>
      <c r="P10" s="1" t="s">
        <v>333</v>
      </c>
      <c r="Q10" s="1" t="s">
        <v>1186</v>
      </c>
      <c r="R10" s="1" t="s">
        <v>1187</v>
      </c>
      <c r="S10" s="1" t="s">
        <v>1188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1195</v>
      </c>
      <c r="P11" s="1" t="s">
        <v>333</v>
      </c>
      <c r="Q11" s="1" t="s">
        <v>1186</v>
      </c>
      <c r="R11" s="1" t="s">
        <v>1187</v>
      </c>
      <c r="S11" s="1" t="s">
        <v>1188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1195</v>
      </c>
      <c r="P12" s="1" t="s">
        <v>333</v>
      </c>
      <c r="Q12" s="1" t="s">
        <v>1186</v>
      </c>
      <c r="R12" s="1" t="s">
        <v>1187</v>
      </c>
      <c r="S12" s="1" t="s">
        <v>1188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1195</v>
      </c>
      <c r="P13" s="1" t="s">
        <v>333</v>
      </c>
      <c r="Q13" s="1" t="s">
        <v>1186</v>
      </c>
      <c r="R13" s="1" t="s">
        <v>1187</v>
      </c>
      <c r="S13" s="1" t="s">
        <v>1188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1198</v>
      </c>
      <c r="P14" s="1" t="s">
        <v>333</v>
      </c>
      <c r="Q14" s="1" t="s">
        <v>1186</v>
      </c>
      <c r="R14" s="1" t="s">
        <v>1187</v>
      </c>
      <c r="S14" s="1" t="s">
        <v>1188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1195</v>
      </c>
      <c r="P15" s="1" t="s">
        <v>333</v>
      </c>
      <c r="Q15" s="1" t="s">
        <v>1186</v>
      </c>
      <c r="R15" s="1" t="s">
        <v>1187</v>
      </c>
      <c r="S15" s="1" t="s">
        <v>1188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1195</v>
      </c>
      <c r="P16" s="1" t="s">
        <v>333</v>
      </c>
      <c r="Q16" s="1" t="s">
        <v>1186</v>
      </c>
      <c r="R16" s="1" t="s">
        <v>1187</v>
      </c>
      <c r="S16" s="1" t="s">
        <v>1188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1199</v>
      </c>
      <c r="P17" s="1" t="s">
        <v>333</v>
      </c>
      <c r="Q17" s="1" t="s">
        <v>1200</v>
      </c>
      <c r="R17" s="1" t="s">
        <v>1187</v>
      </c>
      <c r="S17" s="1" t="s">
        <v>1201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1189</v>
      </c>
      <c r="P18" s="1" t="s">
        <v>333</v>
      </c>
      <c r="Q18" s="1" t="s">
        <v>1200</v>
      </c>
      <c r="R18" s="1" t="s">
        <v>1187</v>
      </c>
      <c r="S18" s="1" t="s">
        <v>1201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1189</v>
      </c>
      <c r="P19" s="1" t="s">
        <v>333</v>
      </c>
      <c r="Q19" s="1" t="s">
        <v>1200</v>
      </c>
      <c r="R19" s="1" t="s">
        <v>1187</v>
      </c>
      <c r="S19" s="1" t="s">
        <v>1201</v>
      </c>
    </row>
    <row r="20" spans="1:19" x14ac:dyDescent="0.25">
      <c r="A20" s="1">
        <v>19</v>
      </c>
      <c r="B20" s="9" t="s">
        <v>1713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1195</v>
      </c>
      <c r="P20" s="1" t="s">
        <v>333</v>
      </c>
      <c r="Q20" s="1" t="s">
        <v>1200</v>
      </c>
      <c r="R20" s="1" t="s">
        <v>1187</v>
      </c>
      <c r="S20" s="1" t="s">
        <v>1201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1202</v>
      </c>
      <c r="P21" s="1" t="s">
        <v>333</v>
      </c>
      <c r="Q21" s="1" t="s">
        <v>1200</v>
      </c>
      <c r="R21" s="1" t="s">
        <v>1187</v>
      </c>
      <c r="S21" s="1" t="s">
        <v>1201</v>
      </c>
    </row>
    <row r="22" spans="1:19" x14ac:dyDescent="0.25">
      <c r="A22" s="1">
        <v>21</v>
      </c>
      <c r="B22" s="9" t="s">
        <v>926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1189</v>
      </c>
      <c r="P22" s="1" t="s">
        <v>333</v>
      </c>
      <c r="Q22" s="1" t="s">
        <v>1200</v>
      </c>
      <c r="R22" s="1" t="s">
        <v>1187</v>
      </c>
      <c r="S22" s="1" t="s">
        <v>1201</v>
      </c>
    </row>
    <row r="23" spans="1:19" x14ac:dyDescent="0.25">
      <c r="A23" s="1">
        <v>22</v>
      </c>
      <c r="B23" s="9" t="s">
        <v>1714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1189</v>
      </c>
      <c r="P23" s="1" t="s">
        <v>333</v>
      </c>
      <c r="Q23" s="1" t="s">
        <v>1200</v>
      </c>
      <c r="R23" s="1" t="s">
        <v>1187</v>
      </c>
      <c r="S23" s="1" t="s">
        <v>1201</v>
      </c>
    </row>
    <row r="24" spans="1:19" x14ac:dyDescent="0.25">
      <c r="A24" s="1">
        <v>23</v>
      </c>
      <c r="B24" s="9" t="s">
        <v>1715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1203</v>
      </c>
      <c r="P24" s="1" t="s">
        <v>333</v>
      </c>
      <c r="Q24" s="1" t="s">
        <v>1200</v>
      </c>
      <c r="R24" s="1" t="s">
        <v>1187</v>
      </c>
      <c r="S24" s="1" t="s">
        <v>1201</v>
      </c>
    </row>
    <row r="25" spans="1:19" x14ac:dyDescent="0.25">
      <c r="A25" s="1">
        <v>24</v>
      </c>
      <c r="B25" s="9" t="s">
        <v>1204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1189</v>
      </c>
      <c r="P25" s="1" t="s">
        <v>333</v>
      </c>
      <c r="Q25" s="1" t="s">
        <v>1200</v>
      </c>
      <c r="R25" s="1" t="s">
        <v>1187</v>
      </c>
      <c r="S25" s="1" t="s">
        <v>1201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1189</v>
      </c>
      <c r="P26" s="1" t="s">
        <v>333</v>
      </c>
      <c r="Q26" s="1" t="s">
        <v>1200</v>
      </c>
      <c r="R26" s="1" t="s">
        <v>1187</v>
      </c>
      <c r="S26" s="1" t="s">
        <v>1201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1205</v>
      </c>
      <c r="P27" s="1" t="s">
        <v>333</v>
      </c>
      <c r="Q27" s="1" t="s">
        <v>1200</v>
      </c>
      <c r="R27" s="1" t="s">
        <v>1187</v>
      </c>
      <c r="S27" s="1" t="s">
        <v>1201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1206</v>
      </c>
      <c r="P28" s="1" t="s">
        <v>333</v>
      </c>
      <c r="Q28" s="1" t="s">
        <v>1200</v>
      </c>
      <c r="R28" s="1" t="s">
        <v>1187</v>
      </c>
      <c r="S28" s="1" t="s">
        <v>1201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1207</v>
      </c>
      <c r="P29" s="1" t="s">
        <v>333</v>
      </c>
      <c r="Q29" s="1" t="s">
        <v>1200</v>
      </c>
      <c r="R29" s="1" t="s">
        <v>1187</v>
      </c>
      <c r="S29" s="1" t="s">
        <v>1201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1208</v>
      </c>
      <c r="P30" s="1" t="s">
        <v>333</v>
      </c>
      <c r="Q30" s="1" t="s">
        <v>1200</v>
      </c>
      <c r="R30" s="1" t="s">
        <v>1187</v>
      </c>
      <c r="S30" s="1" t="s">
        <v>1201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1189</v>
      </c>
      <c r="P31" s="1" t="s">
        <v>1209</v>
      </c>
      <c r="Q31" s="1" t="s">
        <v>1200</v>
      </c>
      <c r="R31" s="1" t="s">
        <v>1187</v>
      </c>
      <c r="S31" s="1" t="s">
        <v>1201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1189</v>
      </c>
      <c r="P32" s="1" t="s">
        <v>1210</v>
      </c>
      <c r="Q32" s="1" t="s">
        <v>1200</v>
      </c>
      <c r="R32" s="1" t="s">
        <v>1187</v>
      </c>
      <c r="S32" s="1" t="s">
        <v>1201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1189</v>
      </c>
      <c r="P33" s="1" t="s">
        <v>333</v>
      </c>
      <c r="Q33" s="1" t="s">
        <v>1200</v>
      </c>
      <c r="R33" s="1" t="s">
        <v>1187</v>
      </c>
      <c r="S33" s="1" t="s">
        <v>1201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1211</v>
      </c>
      <c r="P34" s="1" t="s">
        <v>333</v>
      </c>
      <c r="Q34" s="1" t="s">
        <v>1212</v>
      </c>
      <c r="R34" s="1" t="s">
        <v>1213</v>
      </c>
      <c r="S34" s="1" t="s">
        <v>1214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1195</v>
      </c>
      <c r="P35" s="1" t="s">
        <v>333</v>
      </c>
      <c r="Q35" s="1" t="s">
        <v>1212</v>
      </c>
      <c r="R35" s="1" t="s">
        <v>1213</v>
      </c>
      <c r="S35" s="1" t="s">
        <v>1214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1215</v>
      </c>
      <c r="P36" s="1" t="s">
        <v>333</v>
      </c>
      <c r="Q36" s="1" t="s">
        <v>1212</v>
      </c>
      <c r="R36" s="1" t="s">
        <v>1213</v>
      </c>
      <c r="S36" s="1" t="s">
        <v>1214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1195</v>
      </c>
      <c r="P37" s="1" t="s">
        <v>333</v>
      </c>
      <c r="Q37" s="1" t="s">
        <v>1212</v>
      </c>
      <c r="R37" s="1" t="s">
        <v>1213</v>
      </c>
      <c r="S37" s="1" t="s">
        <v>1214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1216</v>
      </c>
      <c r="P38" s="1" t="s">
        <v>333</v>
      </c>
      <c r="Q38" s="1" t="s">
        <v>1212</v>
      </c>
      <c r="R38" s="1" t="s">
        <v>1213</v>
      </c>
      <c r="S38" s="1" t="s">
        <v>1214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1217</v>
      </c>
      <c r="P39" s="1" t="s">
        <v>333</v>
      </c>
      <c r="Q39" s="1" t="s">
        <v>1212</v>
      </c>
      <c r="R39" s="1" t="s">
        <v>1213</v>
      </c>
      <c r="S39" s="1" t="s">
        <v>1214</v>
      </c>
    </row>
    <row r="40" spans="1:19" x14ac:dyDescent="0.25">
      <c r="A40" s="1">
        <v>40</v>
      </c>
      <c r="B40" s="9" t="s">
        <v>1716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1216</v>
      </c>
      <c r="P40" s="1" t="s">
        <v>333</v>
      </c>
      <c r="Q40" s="1" t="s">
        <v>1212</v>
      </c>
      <c r="R40" s="1" t="s">
        <v>1213</v>
      </c>
      <c r="S40" s="1" t="s">
        <v>1214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1195</v>
      </c>
      <c r="P41" s="1" t="s">
        <v>333</v>
      </c>
      <c r="Q41" s="1" t="s">
        <v>1212</v>
      </c>
      <c r="R41" s="1" t="s">
        <v>1213</v>
      </c>
      <c r="S41" s="1" t="s">
        <v>1214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1218</v>
      </c>
      <c r="P42" s="1" t="s">
        <v>333</v>
      </c>
      <c r="Q42" s="1" t="s">
        <v>1212</v>
      </c>
      <c r="R42" s="1" t="s">
        <v>1213</v>
      </c>
      <c r="S42" s="1" t="s">
        <v>1214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1212</v>
      </c>
      <c r="R43" s="1" t="s">
        <v>1213</v>
      </c>
      <c r="S43" s="1" t="s">
        <v>1214</v>
      </c>
    </row>
    <row r="44" spans="1:19" x14ac:dyDescent="0.25">
      <c r="A44" s="1">
        <v>44</v>
      </c>
      <c r="B44" s="9" t="s">
        <v>1717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1219</v>
      </c>
      <c r="P44" s="1" t="s">
        <v>1220</v>
      </c>
      <c r="Q44" s="1" t="s">
        <v>1212</v>
      </c>
      <c r="R44" s="1" t="s">
        <v>1213</v>
      </c>
      <c r="S44" s="1" t="s">
        <v>1214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1221</v>
      </c>
      <c r="P45" s="1" t="s">
        <v>333</v>
      </c>
      <c r="Q45" s="1" t="s">
        <v>1212</v>
      </c>
      <c r="R45" s="1" t="s">
        <v>1213</v>
      </c>
      <c r="S45" s="1" t="s">
        <v>1214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1195</v>
      </c>
      <c r="P46" s="1" t="s">
        <v>333</v>
      </c>
      <c r="Q46" s="1" t="s">
        <v>1212</v>
      </c>
      <c r="R46" s="1" t="s">
        <v>1213</v>
      </c>
      <c r="S46" s="1" t="s">
        <v>1214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1222</v>
      </c>
      <c r="P47" s="1" t="s">
        <v>333</v>
      </c>
      <c r="Q47" s="1" t="s">
        <v>1212</v>
      </c>
      <c r="R47" s="1" t="s">
        <v>1213</v>
      </c>
      <c r="S47" s="1" t="s">
        <v>1214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1223</v>
      </c>
      <c r="P48" s="1" t="s">
        <v>333</v>
      </c>
      <c r="Q48" s="1" t="s">
        <v>1212</v>
      </c>
      <c r="R48" s="1" t="s">
        <v>1213</v>
      </c>
      <c r="S48" s="1" t="s">
        <v>1214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1212</v>
      </c>
      <c r="R49" s="1" t="s">
        <v>1213</v>
      </c>
      <c r="S49" s="1" t="s">
        <v>1214</v>
      </c>
    </row>
    <row r="50" spans="1:19" x14ac:dyDescent="0.25">
      <c r="A50" s="1">
        <v>51</v>
      </c>
      <c r="B50" s="9" t="s">
        <v>1224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1195</v>
      </c>
      <c r="P50" s="1" t="s">
        <v>333</v>
      </c>
      <c r="Q50" s="1" t="s">
        <v>1212</v>
      </c>
      <c r="R50" s="1" t="s">
        <v>1213</v>
      </c>
      <c r="S50" s="1" t="s">
        <v>1214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1195</v>
      </c>
      <c r="P51" s="1" t="s">
        <v>333</v>
      </c>
      <c r="Q51" s="1" t="s">
        <v>1212</v>
      </c>
      <c r="R51" s="1" t="s">
        <v>1213</v>
      </c>
      <c r="S51" s="1" t="s">
        <v>1214</v>
      </c>
    </row>
    <row r="52" spans="1:19" x14ac:dyDescent="0.25">
      <c r="A52" s="1">
        <v>53</v>
      </c>
      <c r="B52" s="9" t="s">
        <v>1718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1218</v>
      </c>
      <c r="P52" s="1" t="s">
        <v>333</v>
      </c>
      <c r="Q52" s="1" t="s">
        <v>1212</v>
      </c>
      <c r="R52" s="1" t="s">
        <v>1213</v>
      </c>
      <c r="S52" s="1" t="s">
        <v>1214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1225</v>
      </c>
      <c r="P53" s="1" t="s">
        <v>333</v>
      </c>
      <c r="Q53" s="1" t="s">
        <v>1226</v>
      </c>
      <c r="R53" s="1" t="s">
        <v>1227</v>
      </c>
      <c r="S53" s="1" t="s">
        <v>1227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1228</v>
      </c>
      <c r="P54" s="1" t="s">
        <v>333</v>
      </c>
      <c r="Q54" s="1" t="s">
        <v>1201</v>
      </c>
      <c r="R54" s="1" t="s">
        <v>1226</v>
      </c>
      <c r="S54" s="1" t="s">
        <v>1229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1230</v>
      </c>
      <c r="P55" s="1" t="s">
        <v>333</v>
      </c>
      <c r="Q55" s="1" t="s">
        <v>1231</v>
      </c>
      <c r="R55" s="1" t="s">
        <v>1231</v>
      </c>
      <c r="S55" s="1" t="s">
        <v>1226</v>
      </c>
    </row>
    <row r="56" spans="1:19" x14ac:dyDescent="0.25">
      <c r="A56" s="1">
        <v>57</v>
      </c>
      <c r="B56" s="9" t="s">
        <v>1719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1232</v>
      </c>
      <c r="P56" s="1" t="s">
        <v>333</v>
      </c>
      <c r="Q56" s="1" t="s">
        <v>1231</v>
      </c>
      <c r="R56" s="1" t="s">
        <v>1231</v>
      </c>
      <c r="S56" s="1" t="s">
        <v>1226</v>
      </c>
    </row>
    <row r="57" spans="1:19" x14ac:dyDescent="0.25">
      <c r="A57" s="1">
        <v>58</v>
      </c>
      <c r="B57" s="9" t="s">
        <v>1720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1195</v>
      </c>
      <c r="P57" s="1" t="s">
        <v>333</v>
      </c>
      <c r="Q57" s="1" t="s">
        <v>1201</v>
      </c>
      <c r="R57" s="1" t="s">
        <v>1226</v>
      </c>
      <c r="S57" s="1" t="s">
        <v>1200</v>
      </c>
    </row>
    <row r="58" spans="1:19" x14ac:dyDescent="0.25">
      <c r="A58" s="1">
        <v>59</v>
      </c>
      <c r="B58" s="9" t="s">
        <v>1721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1233</v>
      </c>
      <c r="P58" s="1" t="s">
        <v>1234</v>
      </c>
      <c r="Q58" s="1" t="s">
        <v>1200</v>
      </c>
      <c r="R58" s="1" t="s">
        <v>1187</v>
      </c>
      <c r="S58" s="1" t="s">
        <v>1201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1235</v>
      </c>
      <c r="P59" s="1" t="s">
        <v>333</v>
      </c>
      <c r="Q59" s="1" t="s">
        <v>1201</v>
      </c>
      <c r="R59" s="1" t="s">
        <v>1226</v>
      </c>
      <c r="S59" s="1" t="s">
        <v>1200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1189</v>
      </c>
      <c r="P60" s="1" t="s">
        <v>1236</v>
      </c>
      <c r="Q60" s="1" t="s">
        <v>1201</v>
      </c>
      <c r="R60" s="1" t="s">
        <v>1226</v>
      </c>
      <c r="S60" s="1" t="s">
        <v>1200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1237</v>
      </c>
      <c r="P61" s="1" t="s">
        <v>333</v>
      </c>
      <c r="Q61" s="1" t="s">
        <v>1201</v>
      </c>
      <c r="R61" s="1" t="s">
        <v>1226</v>
      </c>
      <c r="S61" s="1" t="s">
        <v>1229</v>
      </c>
    </row>
    <row r="62" spans="1:19" x14ac:dyDescent="0.25">
      <c r="A62" s="1">
        <v>63</v>
      </c>
      <c r="B62" s="9" t="s">
        <v>1238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1189</v>
      </c>
      <c r="P62" s="1" t="s">
        <v>333</v>
      </c>
      <c r="Q62" s="1" t="s">
        <v>1201</v>
      </c>
      <c r="R62" s="1" t="s">
        <v>1226</v>
      </c>
      <c r="S62" s="1" t="s">
        <v>1200</v>
      </c>
    </row>
    <row r="63" spans="1:19" x14ac:dyDescent="0.25">
      <c r="A63" s="1">
        <v>64</v>
      </c>
      <c r="B63" s="9" t="s">
        <v>1239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1201</v>
      </c>
      <c r="R63" s="1" t="s">
        <v>1226</v>
      </c>
      <c r="S63" s="1" t="s">
        <v>1200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1240</v>
      </c>
      <c r="P64" s="1" t="s">
        <v>333</v>
      </c>
      <c r="Q64" s="1" t="s">
        <v>1201</v>
      </c>
      <c r="R64" s="1" t="s">
        <v>1226</v>
      </c>
      <c r="S64" s="1" t="s">
        <v>1229</v>
      </c>
    </row>
    <row r="65" spans="1:19" x14ac:dyDescent="0.25">
      <c r="A65" s="1">
        <v>66</v>
      </c>
      <c r="B65" s="9" t="s">
        <v>1722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1241</v>
      </c>
      <c r="P65" s="1" t="s">
        <v>333</v>
      </c>
      <c r="Q65" s="1" t="s">
        <v>1201</v>
      </c>
      <c r="R65" s="1" t="s">
        <v>1226</v>
      </c>
      <c r="S65" s="1" t="s">
        <v>1200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1189</v>
      </c>
      <c r="P66" s="1" t="s">
        <v>333</v>
      </c>
      <c r="Q66" s="1" t="s">
        <v>1201</v>
      </c>
      <c r="R66" s="1" t="s">
        <v>1226</v>
      </c>
      <c r="S66" s="1" t="s">
        <v>1200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1241</v>
      </c>
      <c r="P67" s="1" t="s">
        <v>333</v>
      </c>
      <c r="Q67" s="1" t="s">
        <v>1201</v>
      </c>
      <c r="R67" s="1" t="s">
        <v>1226</v>
      </c>
      <c r="S67" s="1" t="s">
        <v>1200</v>
      </c>
    </row>
    <row r="68" spans="1:19" x14ac:dyDescent="0.25">
      <c r="A68" s="1">
        <v>70</v>
      </c>
      <c r="B68" s="9" t="s">
        <v>1242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1195</v>
      </c>
      <c r="P68" s="1" t="s">
        <v>333</v>
      </c>
      <c r="Q68" s="1" t="s">
        <v>1201</v>
      </c>
      <c r="R68" s="1" t="s">
        <v>1226</v>
      </c>
      <c r="S68" s="1" t="s">
        <v>1200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1195</v>
      </c>
      <c r="P69" s="1" t="s">
        <v>333</v>
      </c>
      <c r="Q69" s="1" t="s">
        <v>1201</v>
      </c>
      <c r="R69" s="1" t="s">
        <v>1226</v>
      </c>
      <c r="S69" s="1" t="s">
        <v>1229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1201</v>
      </c>
      <c r="R70" s="1" t="s">
        <v>1226</v>
      </c>
      <c r="S70" s="1" t="s">
        <v>1229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1243</v>
      </c>
      <c r="P71" s="1" t="s">
        <v>333</v>
      </c>
      <c r="Q71" s="1" t="s">
        <v>1201</v>
      </c>
      <c r="R71" s="1" t="s">
        <v>1226</v>
      </c>
      <c r="S71" s="1" t="s">
        <v>1200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1195</v>
      </c>
      <c r="P72" s="1" t="s">
        <v>333</v>
      </c>
      <c r="Q72" s="1" t="s">
        <v>1201</v>
      </c>
      <c r="R72" s="1" t="s">
        <v>1226</v>
      </c>
      <c r="S72" s="1" t="s">
        <v>1200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1244</v>
      </c>
      <c r="P73" s="1" t="s">
        <v>333</v>
      </c>
      <c r="Q73" s="1" t="s">
        <v>1245</v>
      </c>
      <c r="R73" s="1" t="s">
        <v>1246</v>
      </c>
      <c r="S73" s="1" t="s">
        <v>1247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1248</v>
      </c>
      <c r="P74" s="1" t="s">
        <v>333</v>
      </c>
      <c r="Q74" s="1" t="s">
        <v>1245</v>
      </c>
      <c r="R74" s="1" t="s">
        <v>1246</v>
      </c>
      <c r="S74" s="1" t="s">
        <v>1247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1244</v>
      </c>
      <c r="P75" s="1" t="s">
        <v>333</v>
      </c>
      <c r="Q75" s="1" t="s">
        <v>1245</v>
      </c>
      <c r="R75" s="1" t="s">
        <v>1246</v>
      </c>
      <c r="S75" s="1" t="s">
        <v>1247</v>
      </c>
    </row>
    <row r="76" spans="1:19" x14ac:dyDescent="0.25">
      <c r="A76" s="1">
        <v>79</v>
      </c>
      <c r="B76" s="9" t="s">
        <v>1249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1248</v>
      </c>
      <c r="P76" s="1" t="s">
        <v>333</v>
      </c>
      <c r="Q76" s="1" t="s">
        <v>1245</v>
      </c>
      <c r="R76" s="1" t="s">
        <v>1246</v>
      </c>
      <c r="S76" s="1" t="s">
        <v>1247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1248</v>
      </c>
      <c r="P77" s="1" t="s">
        <v>333</v>
      </c>
      <c r="Q77" s="1" t="s">
        <v>1245</v>
      </c>
      <c r="R77" s="1" t="s">
        <v>1246</v>
      </c>
      <c r="S77" s="1" t="s">
        <v>1247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1250</v>
      </c>
      <c r="P78" s="1" t="s">
        <v>333</v>
      </c>
      <c r="Q78" s="1" t="s">
        <v>1245</v>
      </c>
      <c r="R78" s="1" t="s">
        <v>1246</v>
      </c>
      <c r="S78" s="1" t="s">
        <v>1247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1248</v>
      </c>
      <c r="P79" s="1" t="s">
        <v>333</v>
      </c>
      <c r="Q79" s="1" t="s">
        <v>1245</v>
      </c>
      <c r="R79" s="1" t="s">
        <v>1246</v>
      </c>
      <c r="S79" s="1" t="s">
        <v>1247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1248</v>
      </c>
      <c r="P80" s="1" t="s">
        <v>333</v>
      </c>
      <c r="Q80" s="1" t="s">
        <v>1245</v>
      </c>
      <c r="R80" s="1" t="s">
        <v>1246</v>
      </c>
      <c r="S80" s="1" t="s">
        <v>1251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1244</v>
      </c>
      <c r="P81" s="1" t="s">
        <v>333</v>
      </c>
      <c r="Q81" s="1" t="s">
        <v>1245</v>
      </c>
      <c r="R81" s="1" t="s">
        <v>1246</v>
      </c>
      <c r="S81" s="1" t="s">
        <v>1247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1248</v>
      </c>
      <c r="P82" s="1" t="s">
        <v>333</v>
      </c>
      <c r="Q82" s="1" t="s">
        <v>1245</v>
      </c>
      <c r="R82" s="1" t="s">
        <v>1246</v>
      </c>
      <c r="S82" s="1" t="s">
        <v>1247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1248</v>
      </c>
      <c r="P83" s="1" t="s">
        <v>333</v>
      </c>
      <c r="Q83" s="1" t="s">
        <v>1245</v>
      </c>
      <c r="R83" s="1" t="s">
        <v>1246</v>
      </c>
      <c r="S83" s="1" t="s">
        <v>1247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1244</v>
      </c>
      <c r="P84" s="1" t="s">
        <v>333</v>
      </c>
      <c r="Q84" s="1" t="s">
        <v>1245</v>
      </c>
      <c r="R84" s="1" t="s">
        <v>1246</v>
      </c>
      <c r="S84" s="1" t="s">
        <v>1247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1248</v>
      </c>
      <c r="P85" s="1" t="s">
        <v>333</v>
      </c>
      <c r="Q85" s="1" t="s">
        <v>1245</v>
      </c>
      <c r="R85" s="1" t="s">
        <v>1246</v>
      </c>
      <c r="S85" s="1" t="s">
        <v>1247</v>
      </c>
    </row>
    <row r="86" spans="1:19" x14ac:dyDescent="0.25">
      <c r="A86" s="1">
        <v>90</v>
      </c>
      <c r="B86" s="9" t="s">
        <v>1252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1195</v>
      </c>
      <c r="P86" s="1" t="s">
        <v>333</v>
      </c>
      <c r="Q86" s="1" t="s">
        <v>1186</v>
      </c>
      <c r="R86" s="1" t="s">
        <v>1187</v>
      </c>
      <c r="S86" s="1" t="s">
        <v>1188</v>
      </c>
    </row>
    <row r="87" spans="1:19" x14ac:dyDescent="0.25">
      <c r="A87" s="1">
        <v>91</v>
      </c>
      <c r="B87" s="9" t="s">
        <v>1723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1253</v>
      </c>
      <c r="P87" s="1" t="s">
        <v>333</v>
      </c>
      <c r="Q87" s="1" t="s">
        <v>1186</v>
      </c>
      <c r="R87" s="1" t="s">
        <v>1187</v>
      </c>
      <c r="S87" s="1" t="s">
        <v>1188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1195</v>
      </c>
      <c r="P88" s="1" t="s">
        <v>333</v>
      </c>
      <c r="Q88" s="1" t="s">
        <v>1200</v>
      </c>
      <c r="R88" s="1" t="s">
        <v>1187</v>
      </c>
      <c r="S88" s="1" t="s">
        <v>1201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1254</v>
      </c>
      <c r="P89" s="1" t="s">
        <v>333</v>
      </c>
      <c r="Q89" s="1" t="s">
        <v>1200</v>
      </c>
      <c r="R89" s="1" t="s">
        <v>1187</v>
      </c>
      <c r="S89" s="1" t="s">
        <v>1201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1189</v>
      </c>
      <c r="P90" s="1" t="s">
        <v>333</v>
      </c>
      <c r="Q90" s="1" t="s">
        <v>1200</v>
      </c>
      <c r="R90" s="1" t="s">
        <v>1187</v>
      </c>
      <c r="S90" s="1" t="s">
        <v>1201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1255</v>
      </c>
      <c r="P91" s="1" t="s">
        <v>333</v>
      </c>
      <c r="Q91" s="1" t="s">
        <v>1212</v>
      </c>
      <c r="R91" s="1" t="s">
        <v>1213</v>
      </c>
      <c r="S91" s="1" t="s">
        <v>1214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1256</v>
      </c>
      <c r="Q92" s="1" t="s">
        <v>1186</v>
      </c>
      <c r="R92" s="1" t="s">
        <v>1187</v>
      </c>
      <c r="S92" s="1" t="s">
        <v>1188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1186</v>
      </c>
      <c r="R93" s="1" t="s">
        <v>1187</v>
      </c>
      <c r="S93" s="1" t="s">
        <v>1188</v>
      </c>
    </row>
    <row r="94" spans="1:19" x14ac:dyDescent="0.25">
      <c r="A94" s="1">
        <v>98</v>
      </c>
      <c r="B94" s="9" t="s">
        <v>1724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1186</v>
      </c>
      <c r="R94" s="1" t="s">
        <v>1187</v>
      </c>
      <c r="S94" s="1" t="s">
        <v>1188</v>
      </c>
    </row>
    <row r="95" spans="1:19" x14ac:dyDescent="0.25">
      <c r="A95" s="1">
        <v>99</v>
      </c>
      <c r="B95" s="9" t="s">
        <v>1257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1186</v>
      </c>
      <c r="R95" s="1" t="s">
        <v>1187</v>
      </c>
      <c r="S95" s="1" t="s">
        <v>1188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1186</v>
      </c>
      <c r="R96" s="1" t="s">
        <v>1187</v>
      </c>
      <c r="S96" s="1" t="s">
        <v>1188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1258</v>
      </c>
      <c r="P97" s="1" t="s">
        <v>333</v>
      </c>
      <c r="Q97" s="1" t="s">
        <v>1200</v>
      </c>
      <c r="R97" s="1" t="s">
        <v>1187</v>
      </c>
      <c r="S97" s="1" t="s">
        <v>1201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1259</v>
      </c>
      <c r="P98" s="1" t="s">
        <v>333</v>
      </c>
      <c r="Q98" s="1" t="s">
        <v>1200</v>
      </c>
      <c r="R98" s="1" t="s">
        <v>1187</v>
      </c>
      <c r="S98" s="1" t="s">
        <v>1201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1260</v>
      </c>
      <c r="P99" s="1" t="s">
        <v>333</v>
      </c>
      <c r="Q99" s="1" t="s">
        <v>1200</v>
      </c>
      <c r="R99" s="1" t="s">
        <v>1187</v>
      </c>
      <c r="S99" s="1" t="s">
        <v>1201</v>
      </c>
    </row>
    <row r="100" spans="1:19" x14ac:dyDescent="0.25">
      <c r="A100" s="1">
        <v>104</v>
      </c>
      <c r="B100" s="9" t="s">
        <v>1706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1200</v>
      </c>
      <c r="R100" s="1" t="s">
        <v>1187</v>
      </c>
      <c r="S100" s="1" t="s">
        <v>1201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1195</v>
      </c>
      <c r="P101" s="1" t="s">
        <v>333</v>
      </c>
      <c r="Q101" s="1" t="s">
        <v>1201</v>
      </c>
      <c r="R101" s="1" t="s">
        <v>1226</v>
      </c>
      <c r="S101" s="1" t="s">
        <v>1200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1241</v>
      </c>
      <c r="P102" s="1" t="s">
        <v>1261</v>
      </c>
      <c r="Q102" s="1" t="s">
        <v>1201</v>
      </c>
      <c r="R102" s="1" t="s">
        <v>1226</v>
      </c>
      <c r="S102" s="1" t="s">
        <v>1200</v>
      </c>
    </row>
    <row r="103" spans="1:19" x14ac:dyDescent="0.25">
      <c r="A103" s="1">
        <v>107</v>
      </c>
      <c r="B103" s="9" t="s">
        <v>1262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1195</v>
      </c>
      <c r="P103" s="1" t="s">
        <v>333</v>
      </c>
      <c r="Q103" s="1" t="s">
        <v>1201</v>
      </c>
      <c r="R103" s="1" t="s">
        <v>1226</v>
      </c>
      <c r="S103" s="1" t="s">
        <v>1200</v>
      </c>
    </row>
    <row r="104" spans="1:19" x14ac:dyDescent="0.25">
      <c r="A104" s="1">
        <v>108</v>
      </c>
      <c r="B104" s="9" t="s">
        <v>1725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1189</v>
      </c>
      <c r="P104" s="1" t="s">
        <v>333</v>
      </c>
      <c r="Q104" s="1" t="s">
        <v>1201</v>
      </c>
      <c r="R104" s="1" t="s">
        <v>1226</v>
      </c>
      <c r="S104" s="1" t="s">
        <v>1200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1244</v>
      </c>
      <c r="P105" s="1" t="s">
        <v>333</v>
      </c>
      <c r="Q105" s="1" t="s">
        <v>1245</v>
      </c>
      <c r="R105" s="1" t="s">
        <v>1246</v>
      </c>
      <c r="S105" s="1" t="s">
        <v>1247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1248</v>
      </c>
      <c r="P106" s="1" t="s">
        <v>333</v>
      </c>
      <c r="Q106" s="1" t="s">
        <v>1245</v>
      </c>
      <c r="R106" s="1" t="s">
        <v>1246</v>
      </c>
      <c r="S106" s="1" t="s">
        <v>1247</v>
      </c>
    </row>
    <row r="107" spans="1:19" x14ac:dyDescent="0.25">
      <c r="A107" s="1">
        <v>111</v>
      </c>
      <c r="B107" s="9" t="s">
        <v>1726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1248</v>
      </c>
      <c r="P107" s="1" t="s">
        <v>333</v>
      </c>
      <c r="Q107" s="1" t="s">
        <v>1245</v>
      </c>
      <c r="R107" s="1" t="s">
        <v>1246</v>
      </c>
      <c r="S107" s="1" t="s">
        <v>1247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1263</v>
      </c>
      <c r="P108" s="1" t="s">
        <v>333</v>
      </c>
      <c r="Q108" s="1" t="s">
        <v>1245</v>
      </c>
      <c r="R108" s="1" t="s">
        <v>1246</v>
      </c>
      <c r="S108" s="1" t="s">
        <v>1247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1195</v>
      </c>
      <c r="P109" s="1" t="s">
        <v>333</v>
      </c>
      <c r="Q109" s="1" t="s">
        <v>1186</v>
      </c>
      <c r="R109" s="1" t="s">
        <v>1187</v>
      </c>
      <c r="S109" s="1" t="s">
        <v>1188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1186</v>
      </c>
      <c r="R110" s="1" t="s">
        <v>1187</v>
      </c>
      <c r="S110" s="1" t="s">
        <v>1188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1264</v>
      </c>
      <c r="P111" s="1" t="s">
        <v>333</v>
      </c>
      <c r="Q111" s="1" t="s">
        <v>1200</v>
      </c>
      <c r="R111" s="1" t="s">
        <v>1187</v>
      </c>
      <c r="S111" s="1" t="s">
        <v>1201</v>
      </c>
    </row>
    <row r="112" spans="1:19" x14ac:dyDescent="0.25">
      <c r="A112" s="1">
        <v>116</v>
      </c>
      <c r="B112" s="9" t="s">
        <v>1727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1189</v>
      </c>
      <c r="P112" s="1" t="s">
        <v>333</v>
      </c>
      <c r="Q112" s="1" t="s">
        <v>1200</v>
      </c>
      <c r="R112" s="1" t="s">
        <v>1187</v>
      </c>
      <c r="S112" s="1" t="s">
        <v>1201</v>
      </c>
    </row>
    <row r="113" spans="1:19" x14ac:dyDescent="0.25">
      <c r="A113" s="1">
        <v>117</v>
      </c>
      <c r="B113" s="9" t="s">
        <v>1728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1215</v>
      </c>
      <c r="P113" s="1" t="s">
        <v>333</v>
      </c>
      <c r="Q113" s="1" t="s">
        <v>1212</v>
      </c>
      <c r="R113" s="1" t="s">
        <v>1213</v>
      </c>
      <c r="S113" s="1" t="s">
        <v>1214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1265</v>
      </c>
      <c r="P114" s="1" t="s">
        <v>333</v>
      </c>
      <c r="Q114" s="1" t="s">
        <v>1201</v>
      </c>
      <c r="R114" s="1" t="s">
        <v>1226</v>
      </c>
      <c r="S114" s="1" t="s">
        <v>1200</v>
      </c>
    </row>
    <row r="115" spans="1:19" x14ac:dyDescent="0.25">
      <c r="A115" s="1">
        <v>119</v>
      </c>
      <c r="B115" s="9" t="s">
        <v>1729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1201</v>
      </c>
      <c r="R115" s="1" t="s">
        <v>1226</v>
      </c>
      <c r="S115" s="1" t="s">
        <v>1200</v>
      </c>
    </row>
    <row r="116" spans="1:19" x14ac:dyDescent="0.25">
      <c r="A116" s="1">
        <v>120</v>
      </c>
      <c r="B116" s="9" t="s">
        <v>1730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1189</v>
      </c>
      <c r="P116" s="1" t="s">
        <v>333</v>
      </c>
      <c r="Q116" s="1" t="s">
        <v>1201</v>
      </c>
      <c r="R116" s="1" t="s">
        <v>1226</v>
      </c>
      <c r="S116" s="1" t="s">
        <v>1200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1244</v>
      </c>
      <c r="P117" s="1" t="s">
        <v>333</v>
      </c>
      <c r="Q117" s="1" t="s">
        <v>1245</v>
      </c>
      <c r="R117" s="1" t="s">
        <v>1246</v>
      </c>
      <c r="S117" s="1" t="s">
        <v>1247</v>
      </c>
    </row>
    <row r="118" spans="1:19" x14ac:dyDescent="0.25">
      <c r="A118" s="1">
        <v>122</v>
      </c>
      <c r="B118" s="9" t="s">
        <v>1266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1267</v>
      </c>
      <c r="P118" s="1" t="s">
        <v>333</v>
      </c>
      <c r="Q118" s="1" t="s">
        <v>1201</v>
      </c>
      <c r="R118" s="1" t="s">
        <v>1226</v>
      </c>
      <c r="S118" s="1" t="s">
        <v>1229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1195</v>
      </c>
      <c r="P119" s="1" t="s">
        <v>333</v>
      </c>
      <c r="Q119" s="1" t="s">
        <v>1186</v>
      </c>
      <c r="R119" s="1" t="s">
        <v>1187</v>
      </c>
      <c r="S119" s="1" t="s">
        <v>1188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1268</v>
      </c>
      <c r="P120" s="1" t="s">
        <v>333</v>
      </c>
      <c r="Q120" s="1" t="s">
        <v>1212</v>
      </c>
      <c r="R120" s="1" t="s">
        <v>1213</v>
      </c>
      <c r="S120" s="1" t="s">
        <v>1214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1269</v>
      </c>
      <c r="P121" s="1" t="s">
        <v>333</v>
      </c>
      <c r="Q121" s="1" t="s">
        <v>1245</v>
      </c>
      <c r="R121" s="1" t="s">
        <v>1246</v>
      </c>
      <c r="S121" s="1" t="s">
        <v>1247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1186</v>
      </c>
      <c r="R122" s="1" t="s">
        <v>1187</v>
      </c>
      <c r="S122" s="1" t="s">
        <v>1188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1270</v>
      </c>
      <c r="P123" s="1" t="s">
        <v>333</v>
      </c>
      <c r="Q123" s="1" t="s">
        <v>1200</v>
      </c>
      <c r="R123" s="1" t="s">
        <v>1187</v>
      </c>
      <c r="S123" s="1" t="s">
        <v>1201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1218</v>
      </c>
      <c r="P124" s="1" t="s">
        <v>333</v>
      </c>
      <c r="Q124" s="1" t="s">
        <v>1212</v>
      </c>
      <c r="R124" s="1" t="s">
        <v>1213</v>
      </c>
      <c r="S124" s="1" t="s">
        <v>1214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1271</v>
      </c>
      <c r="P125" s="1" t="s">
        <v>333</v>
      </c>
      <c r="Q125" s="1" t="s">
        <v>1201</v>
      </c>
      <c r="R125" s="1" t="s">
        <v>1226</v>
      </c>
      <c r="S125" s="1" t="s">
        <v>1200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1271</v>
      </c>
      <c r="P126" s="1" t="s">
        <v>333</v>
      </c>
      <c r="Q126" s="1" t="s">
        <v>1201</v>
      </c>
      <c r="R126" s="1" t="s">
        <v>1226</v>
      </c>
      <c r="S126" s="1" t="s">
        <v>1200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1189</v>
      </c>
      <c r="P127" s="1" t="s">
        <v>333</v>
      </c>
      <c r="Q127" s="1" t="s">
        <v>1200</v>
      </c>
      <c r="R127" s="1" t="s">
        <v>1187</v>
      </c>
      <c r="S127" s="1" t="s">
        <v>1201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1195</v>
      </c>
      <c r="P128" s="1" t="s">
        <v>333</v>
      </c>
      <c r="Q128" s="1" t="s">
        <v>1186</v>
      </c>
      <c r="R128" s="1" t="s">
        <v>1187</v>
      </c>
      <c r="S128" s="1" t="s">
        <v>1188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1195</v>
      </c>
      <c r="P129" s="1" t="s">
        <v>333</v>
      </c>
      <c r="Q129" s="1" t="s">
        <v>1201</v>
      </c>
      <c r="R129" s="1" t="s">
        <v>1226</v>
      </c>
      <c r="S129" s="1" t="s">
        <v>1200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1189</v>
      </c>
      <c r="P130" s="1" t="s">
        <v>333</v>
      </c>
      <c r="Q130" s="1" t="s">
        <v>1201</v>
      </c>
      <c r="R130" s="1" t="s">
        <v>1226</v>
      </c>
      <c r="S130" s="1" t="s">
        <v>1200</v>
      </c>
    </row>
    <row r="131" spans="1:19" x14ac:dyDescent="0.25">
      <c r="A131" s="1">
        <v>135</v>
      </c>
      <c r="B131" s="9" t="s">
        <v>1731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1200</v>
      </c>
      <c r="R131" s="1" t="s">
        <v>1187</v>
      </c>
      <c r="S131" s="1" t="s">
        <v>1201</v>
      </c>
    </row>
    <row r="132" spans="1:19" x14ac:dyDescent="0.25">
      <c r="A132" s="1">
        <v>136</v>
      </c>
      <c r="B132" s="9" t="s">
        <v>1732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1241</v>
      </c>
      <c r="P132" s="1" t="s">
        <v>333</v>
      </c>
      <c r="Q132" s="1" t="s">
        <v>1200</v>
      </c>
      <c r="R132" s="1" t="s">
        <v>1187</v>
      </c>
      <c r="S132" s="1" t="s">
        <v>1201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1200</v>
      </c>
      <c r="R133" s="1" t="s">
        <v>1187</v>
      </c>
      <c r="S133" s="1" t="s">
        <v>1201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1195</v>
      </c>
      <c r="P134" s="1" t="s">
        <v>333</v>
      </c>
      <c r="Q134" s="1" t="s">
        <v>1201</v>
      </c>
      <c r="R134" s="1" t="s">
        <v>1272</v>
      </c>
      <c r="S134" s="1" t="s">
        <v>1200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1195</v>
      </c>
      <c r="P135" s="1" t="s">
        <v>333</v>
      </c>
      <c r="Q135" s="1" t="s">
        <v>1186</v>
      </c>
      <c r="R135" s="1" t="s">
        <v>1187</v>
      </c>
      <c r="S135" s="1" t="s">
        <v>1188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1195</v>
      </c>
      <c r="P136" s="1" t="s">
        <v>333</v>
      </c>
      <c r="Q136" s="1" t="s">
        <v>1186</v>
      </c>
      <c r="R136" s="1" t="s">
        <v>1187</v>
      </c>
      <c r="S136" s="1" t="s">
        <v>1188</v>
      </c>
    </row>
    <row r="137" spans="1:19" x14ac:dyDescent="0.25">
      <c r="A137" s="1">
        <v>141</v>
      </c>
      <c r="B137" s="9" t="s">
        <v>1273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1195</v>
      </c>
      <c r="P137" s="1" t="s">
        <v>333</v>
      </c>
      <c r="Q137" s="1" t="s">
        <v>1186</v>
      </c>
      <c r="R137" s="1" t="s">
        <v>1187</v>
      </c>
      <c r="S137" s="1" t="s">
        <v>1188</v>
      </c>
    </row>
    <row r="138" spans="1:19" x14ac:dyDescent="0.25">
      <c r="A138" s="1">
        <v>142</v>
      </c>
      <c r="B138" s="9" t="s">
        <v>1733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1186</v>
      </c>
      <c r="R138" s="1" t="s">
        <v>1187</v>
      </c>
      <c r="S138" s="1" t="s">
        <v>1188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1274</v>
      </c>
      <c r="P139" s="1" t="s">
        <v>333</v>
      </c>
      <c r="Q139" s="1" t="s">
        <v>1229</v>
      </c>
      <c r="R139" s="1" t="s">
        <v>1187</v>
      </c>
      <c r="S139" s="1" t="s">
        <v>1201</v>
      </c>
    </row>
    <row r="140" spans="1:19" x14ac:dyDescent="0.25">
      <c r="A140" s="1">
        <v>144</v>
      </c>
      <c r="B140" s="9" t="s">
        <v>1734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1189</v>
      </c>
      <c r="P140" s="1" t="s">
        <v>333</v>
      </c>
      <c r="Q140" s="1" t="s">
        <v>1200</v>
      </c>
      <c r="R140" s="1" t="s">
        <v>1187</v>
      </c>
      <c r="S140" s="1" t="s">
        <v>1201</v>
      </c>
    </row>
    <row r="141" spans="1:19" x14ac:dyDescent="0.25">
      <c r="A141" s="1">
        <v>145</v>
      </c>
      <c r="B141" s="9" t="s">
        <v>1735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1275</v>
      </c>
      <c r="P141" s="1" t="s">
        <v>333</v>
      </c>
      <c r="Q141" s="1" t="s">
        <v>1212</v>
      </c>
      <c r="R141" s="1" t="s">
        <v>1213</v>
      </c>
      <c r="S141" s="1" t="s">
        <v>1214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1276</v>
      </c>
      <c r="P142" s="1" t="s">
        <v>333</v>
      </c>
      <c r="Q142" s="1" t="s">
        <v>1212</v>
      </c>
      <c r="R142" s="1" t="s">
        <v>1213</v>
      </c>
      <c r="S142" s="1" t="s">
        <v>1214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1195</v>
      </c>
      <c r="P143" s="1" t="s">
        <v>333</v>
      </c>
      <c r="Q143" s="1" t="s">
        <v>1212</v>
      </c>
      <c r="R143" s="1" t="s">
        <v>1213</v>
      </c>
      <c r="S143" s="1" t="s">
        <v>1214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1277</v>
      </c>
      <c r="P144" s="1" t="s">
        <v>333</v>
      </c>
      <c r="Q144" s="1" t="s">
        <v>1212</v>
      </c>
      <c r="R144" s="1" t="s">
        <v>1213</v>
      </c>
      <c r="S144" s="1" t="s">
        <v>1214</v>
      </c>
    </row>
    <row r="145" spans="1:19" x14ac:dyDescent="0.25">
      <c r="A145" s="1">
        <v>149</v>
      </c>
      <c r="B145" s="9" t="s">
        <v>1736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1244</v>
      </c>
      <c r="P145" s="1" t="s">
        <v>333</v>
      </c>
      <c r="Q145" s="1" t="s">
        <v>1245</v>
      </c>
      <c r="R145" s="1" t="s">
        <v>1246</v>
      </c>
      <c r="S145" s="1" t="s">
        <v>1247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1278</v>
      </c>
      <c r="P146" s="1" t="s">
        <v>333</v>
      </c>
      <c r="Q146" s="1" t="s">
        <v>1200</v>
      </c>
      <c r="R146" s="1" t="s">
        <v>1187</v>
      </c>
      <c r="S146" s="1" t="s">
        <v>1201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1279</v>
      </c>
      <c r="P147" s="1" t="s">
        <v>333</v>
      </c>
      <c r="Q147" s="1" t="s">
        <v>1280</v>
      </c>
      <c r="R147" s="1" t="s">
        <v>1281</v>
      </c>
      <c r="S147" s="1" t="s">
        <v>1282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1283</v>
      </c>
      <c r="P148" s="1" t="s">
        <v>333</v>
      </c>
      <c r="Q148" s="1" t="s">
        <v>1280</v>
      </c>
      <c r="R148" s="1" t="s">
        <v>1281</v>
      </c>
      <c r="S148" s="1" t="s">
        <v>1282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1279</v>
      </c>
      <c r="P149" s="1" t="s">
        <v>333</v>
      </c>
      <c r="Q149" s="1" t="s">
        <v>1280</v>
      </c>
      <c r="R149" s="1" t="s">
        <v>1281</v>
      </c>
      <c r="S149" s="1" t="s">
        <v>1282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1283</v>
      </c>
      <c r="P150" s="1" t="s">
        <v>333</v>
      </c>
      <c r="Q150" s="1" t="s">
        <v>1280</v>
      </c>
      <c r="R150" s="1" t="s">
        <v>1281</v>
      </c>
      <c r="S150" s="1" t="s">
        <v>1282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1279</v>
      </c>
      <c r="P151" s="1" t="s">
        <v>333</v>
      </c>
      <c r="Q151" s="1" t="s">
        <v>1280</v>
      </c>
      <c r="R151" s="1" t="s">
        <v>1281</v>
      </c>
      <c r="S151" s="1" t="s">
        <v>1282</v>
      </c>
    </row>
    <row r="152" spans="1:19" x14ac:dyDescent="0.25">
      <c r="A152" s="1">
        <v>156</v>
      </c>
      <c r="B152" s="9" t="s">
        <v>1737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1284</v>
      </c>
      <c r="P152" s="1" t="s">
        <v>333</v>
      </c>
      <c r="Q152" s="1" t="s">
        <v>1280</v>
      </c>
      <c r="R152" s="1" t="s">
        <v>1281</v>
      </c>
      <c r="S152" s="1" t="s">
        <v>1282</v>
      </c>
    </row>
    <row r="153" spans="1:19" x14ac:dyDescent="0.25">
      <c r="A153" s="1">
        <v>157</v>
      </c>
      <c r="B153" s="9" t="s">
        <v>1285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1279</v>
      </c>
      <c r="P153" s="1" t="s">
        <v>333</v>
      </c>
      <c r="Q153" s="1" t="s">
        <v>1280</v>
      </c>
      <c r="R153" s="1" t="s">
        <v>1281</v>
      </c>
      <c r="S153" s="1" t="s">
        <v>1282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1286</v>
      </c>
      <c r="P154" s="1" t="s">
        <v>333</v>
      </c>
      <c r="Q154" s="1" t="s">
        <v>1280</v>
      </c>
      <c r="R154" s="1" t="s">
        <v>1281</v>
      </c>
      <c r="S154" s="1" t="s">
        <v>1282</v>
      </c>
    </row>
    <row r="155" spans="1:19" x14ac:dyDescent="0.25">
      <c r="A155" s="1">
        <v>159</v>
      </c>
      <c r="B155" s="9" t="s">
        <v>1738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1283</v>
      </c>
      <c r="P155" s="1" t="s">
        <v>333</v>
      </c>
      <c r="Q155" s="1" t="s">
        <v>1280</v>
      </c>
      <c r="R155" s="1" t="s">
        <v>1281</v>
      </c>
      <c r="S155" s="1" t="s">
        <v>1282</v>
      </c>
    </row>
    <row r="156" spans="1:19" x14ac:dyDescent="0.25">
      <c r="A156" s="1">
        <v>160</v>
      </c>
      <c r="B156" s="9" t="s">
        <v>1739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1279</v>
      </c>
      <c r="P156" s="1" t="s">
        <v>333</v>
      </c>
      <c r="Q156" s="1" t="s">
        <v>1280</v>
      </c>
      <c r="R156" s="1" t="s">
        <v>1281</v>
      </c>
      <c r="S156" s="1" t="s">
        <v>1282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1287</v>
      </c>
      <c r="P157" s="1" t="s">
        <v>333</v>
      </c>
      <c r="Q157" s="1" t="s">
        <v>1280</v>
      </c>
      <c r="R157" s="1" t="s">
        <v>1281</v>
      </c>
      <c r="S157" s="1" t="s">
        <v>1282</v>
      </c>
    </row>
    <row r="158" spans="1:19" x14ac:dyDescent="0.25">
      <c r="A158" s="1">
        <v>162</v>
      </c>
      <c r="B158" s="9" t="s">
        <v>1740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1287</v>
      </c>
      <c r="P158" s="1" t="s">
        <v>333</v>
      </c>
      <c r="Q158" s="1" t="s">
        <v>1280</v>
      </c>
      <c r="R158" s="1" t="s">
        <v>1281</v>
      </c>
      <c r="S158" s="1" t="s">
        <v>1282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1288</v>
      </c>
      <c r="P159" s="1" t="s">
        <v>1289</v>
      </c>
      <c r="Q159" s="1" t="s">
        <v>1280</v>
      </c>
      <c r="R159" s="1" t="s">
        <v>1281</v>
      </c>
      <c r="S159" s="1" t="s">
        <v>1282</v>
      </c>
    </row>
    <row r="160" spans="1:19" x14ac:dyDescent="0.25">
      <c r="A160" s="1">
        <v>164</v>
      </c>
      <c r="B160" s="9" t="s">
        <v>1741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1290</v>
      </c>
      <c r="P160" s="1" t="s">
        <v>1291</v>
      </c>
      <c r="Q160" s="1" t="s">
        <v>1280</v>
      </c>
      <c r="R160" s="1" t="s">
        <v>1281</v>
      </c>
      <c r="S160" s="1" t="s">
        <v>1282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1279</v>
      </c>
      <c r="P161" s="1" t="s">
        <v>333</v>
      </c>
      <c r="Q161" s="1" t="s">
        <v>1280</v>
      </c>
      <c r="R161" s="1" t="s">
        <v>1281</v>
      </c>
      <c r="S161" s="1" t="s">
        <v>1282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1186</v>
      </c>
      <c r="R162" s="1" t="s">
        <v>1187</v>
      </c>
      <c r="S162" s="1" t="s">
        <v>1188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1195</v>
      </c>
      <c r="P163" s="1" t="s">
        <v>333</v>
      </c>
      <c r="Q163" s="1" t="s">
        <v>1186</v>
      </c>
      <c r="R163" s="1" t="s">
        <v>1187</v>
      </c>
      <c r="S163" s="1" t="s">
        <v>1188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1186</v>
      </c>
      <c r="R164" s="1" t="s">
        <v>1187</v>
      </c>
      <c r="S164" s="1" t="s">
        <v>1188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1195</v>
      </c>
      <c r="P165" s="1" t="s">
        <v>333</v>
      </c>
      <c r="Q165" s="1" t="s">
        <v>1200</v>
      </c>
      <c r="R165" s="1" t="s">
        <v>1187</v>
      </c>
      <c r="S165" s="1" t="s">
        <v>1201</v>
      </c>
    </row>
    <row r="166" spans="1:19" x14ac:dyDescent="0.25">
      <c r="A166" s="1">
        <v>170</v>
      </c>
      <c r="B166" s="9" t="s">
        <v>1742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1195</v>
      </c>
      <c r="P166" s="1" t="s">
        <v>333</v>
      </c>
      <c r="Q166" s="1" t="s">
        <v>1201</v>
      </c>
      <c r="R166" s="1" t="s">
        <v>1226</v>
      </c>
      <c r="S166" s="1" t="s">
        <v>1200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1292</v>
      </c>
      <c r="P167" s="1" t="s">
        <v>333</v>
      </c>
      <c r="Q167" s="1" t="s">
        <v>1201</v>
      </c>
      <c r="R167" s="1" t="s">
        <v>1226</v>
      </c>
      <c r="S167" s="1" t="s">
        <v>1200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1293</v>
      </c>
      <c r="P168" s="1" t="s">
        <v>333</v>
      </c>
      <c r="Q168" s="1" t="s">
        <v>1201</v>
      </c>
      <c r="R168" s="1" t="s">
        <v>1226</v>
      </c>
      <c r="S168" s="1" t="s">
        <v>1200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1294</v>
      </c>
      <c r="P169" s="1" t="s">
        <v>333</v>
      </c>
      <c r="Q169" s="1" t="s">
        <v>1245</v>
      </c>
      <c r="R169" s="1" t="s">
        <v>1246</v>
      </c>
      <c r="S169" s="1" t="s">
        <v>1247</v>
      </c>
    </row>
    <row r="170" spans="1:19" x14ac:dyDescent="0.25">
      <c r="A170" s="1">
        <v>174</v>
      </c>
      <c r="B170" s="9" t="s">
        <v>1707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1195</v>
      </c>
      <c r="P170" s="1" t="s">
        <v>333</v>
      </c>
      <c r="Q170" s="1" t="s">
        <v>1212</v>
      </c>
      <c r="R170" s="1" t="s">
        <v>1213</v>
      </c>
      <c r="S170" s="1" t="s">
        <v>1214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1201</v>
      </c>
      <c r="R171" s="1" t="s">
        <v>1226</v>
      </c>
      <c r="S171" s="1" t="s">
        <v>1200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1195</v>
      </c>
      <c r="P172" s="1" t="s">
        <v>333</v>
      </c>
      <c r="Q172" s="1" t="s">
        <v>1200</v>
      </c>
      <c r="R172" s="1" t="s">
        <v>1187</v>
      </c>
      <c r="S172" s="1" t="s">
        <v>1201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1241</v>
      </c>
      <c r="P173" s="1" t="s">
        <v>333</v>
      </c>
      <c r="Q173" s="1" t="s">
        <v>1200</v>
      </c>
      <c r="R173" s="1" t="s">
        <v>1187</v>
      </c>
      <c r="S173" s="1" t="s">
        <v>1201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1195</v>
      </c>
      <c r="P174" s="1" t="s">
        <v>333</v>
      </c>
      <c r="Q174" s="1" t="s">
        <v>1200</v>
      </c>
      <c r="R174" s="1" t="s">
        <v>1187</v>
      </c>
      <c r="S174" s="1" t="s">
        <v>1201</v>
      </c>
    </row>
    <row r="175" spans="1:19" x14ac:dyDescent="0.25">
      <c r="A175" s="1">
        <v>179</v>
      </c>
      <c r="B175" s="9" t="s">
        <v>1743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1218</v>
      </c>
      <c r="P175" s="1" t="s">
        <v>333</v>
      </c>
      <c r="Q175" s="1" t="s">
        <v>1212</v>
      </c>
      <c r="R175" s="1" t="s">
        <v>1213</v>
      </c>
      <c r="S175" s="1" t="s">
        <v>1214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1295</v>
      </c>
      <c r="P176" s="1" t="s">
        <v>333</v>
      </c>
      <c r="Q176" s="1" t="s">
        <v>1212</v>
      </c>
      <c r="R176" s="1" t="s">
        <v>1213</v>
      </c>
      <c r="S176" s="1" t="s">
        <v>1214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1201</v>
      </c>
      <c r="R177" s="1" t="s">
        <v>1226</v>
      </c>
      <c r="S177" s="1" t="s">
        <v>1200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1195</v>
      </c>
      <c r="P178" s="1" t="s">
        <v>333</v>
      </c>
      <c r="Q178" s="1" t="s">
        <v>1212</v>
      </c>
      <c r="R178" s="1" t="s">
        <v>1213</v>
      </c>
      <c r="S178" s="1" t="s">
        <v>1214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1296</v>
      </c>
      <c r="P179" s="1" t="s">
        <v>1297</v>
      </c>
      <c r="Q179" s="1" t="s">
        <v>1186</v>
      </c>
      <c r="R179" s="1" t="s">
        <v>1298</v>
      </c>
      <c r="S179" s="1" t="s">
        <v>1188</v>
      </c>
    </row>
    <row r="180" spans="1:19" x14ac:dyDescent="0.25">
      <c r="A180" s="1">
        <v>184</v>
      </c>
      <c r="B180" s="9" t="s">
        <v>1744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1212</v>
      </c>
      <c r="R180" s="1" t="s">
        <v>1213</v>
      </c>
      <c r="S180" s="1" t="s">
        <v>1214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1299</v>
      </c>
      <c r="P181" s="1" t="s">
        <v>333</v>
      </c>
      <c r="Q181" s="1" t="s">
        <v>1245</v>
      </c>
      <c r="R181" s="1" t="s">
        <v>1246</v>
      </c>
      <c r="S181" s="1" t="s">
        <v>1247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1195</v>
      </c>
      <c r="P182" s="1" t="s">
        <v>333</v>
      </c>
      <c r="Q182" s="1" t="s">
        <v>1186</v>
      </c>
      <c r="R182" s="1" t="s">
        <v>1187</v>
      </c>
      <c r="S182" s="1" t="s">
        <v>1188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1201</v>
      </c>
      <c r="R183" s="1" t="s">
        <v>1226</v>
      </c>
      <c r="S183" s="1" t="s">
        <v>1200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1279</v>
      </c>
      <c r="P184" s="1" t="s">
        <v>333</v>
      </c>
      <c r="Q184" s="1" t="s">
        <v>1280</v>
      </c>
      <c r="R184" s="1" t="s">
        <v>1281</v>
      </c>
      <c r="S184" s="1" t="s">
        <v>1282</v>
      </c>
    </row>
    <row r="185" spans="1:19" x14ac:dyDescent="0.25">
      <c r="A185" s="1">
        <v>189</v>
      </c>
      <c r="B185" s="9" t="s">
        <v>1745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1300</v>
      </c>
      <c r="P185" s="1" t="s">
        <v>333</v>
      </c>
      <c r="Q185" s="1" t="s">
        <v>1280</v>
      </c>
      <c r="R185" s="1" t="s">
        <v>1281</v>
      </c>
      <c r="S185" s="1" t="s">
        <v>1282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1286</v>
      </c>
      <c r="P186" s="1" t="s">
        <v>333</v>
      </c>
      <c r="Q186" s="1" t="s">
        <v>1280</v>
      </c>
      <c r="R186" s="1" t="s">
        <v>1281</v>
      </c>
      <c r="S186" s="1" t="s">
        <v>1282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1189</v>
      </c>
      <c r="P187" s="1" t="s">
        <v>333</v>
      </c>
      <c r="Q187" s="1" t="s">
        <v>1200</v>
      </c>
      <c r="R187" s="1" t="s">
        <v>1187</v>
      </c>
      <c r="S187" s="1" t="s">
        <v>1201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1295</v>
      </c>
      <c r="P188" s="1" t="s">
        <v>333</v>
      </c>
      <c r="Q188" s="1" t="s">
        <v>1212</v>
      </c>
      <c r="R188" s="1" t="s">
        <v>1213</v>
      </c>
      <c r="S188" s="1" t="s">
        <v>1214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1195</v>
      </c>
      <c r="P189" s="1" t="s">
        <v>333</v>
      </c>
      <c r="Q189" s="1" t="s">
        <v>1201</v>
      </c>
      <c r="R189" s="1" t="s">
        <v>1226</v>
      </c>
      <c r="S189" s="1" t="s">
        <v>1200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1301</v>
      </c>
      <c r="P190" s="1" t="s">
        <v>1302</v>
      </c>
      <c r="Q190" s="1" t="s">
        <v>1201</v>
      </c>
      <c r="R190" s="1" t="s">
        <v>1226</v>
      </c>
      <c r="S190" s="1" t="s">
        <v>1200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1248</v>
      </c>
      <c r="P191" s="1" t="s">
        <v>333</v>
      </c>
      <c r="Q191" s="1" t="s">
        <v>1245</v>
      </c>
      <c r="R191" s="1" t="s">
        <v>1246</v>
      </c>
      <c r="S191" s="1" t="s">
        <v>1247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1303</v>
      </c>
      <c r="P192" s="1" t="s">
        <v>1304</v>
      </c>
      <c r="Q192" s="1" t="s">
        <v>1201</v>
      </c>
      <c r="R192" s="1" t="s">
        <v>1226</v>
      </c>
      <c r="S192" s="1" t="s">
        <v>1200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1305</v>
      </c>
      <c r="P193" s="1" t="s">
        <v>1306</v>
      </c>
      <c r="Q193" s="1" t="s">
        <v>1212</v>
      </c>
      <c r="R193" s="1" t="s">
        <v>1213</v>
      </c>
      <c r="S193" s="1" t="s">
        <v>1214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1307</v>
      </c>
      <c r="P194" s="1" t="s">
        <v>1308</v>
      </c>
      <c r="Q194" s="1" t="s">
        <v>1212</v>
      </c>
      <c r="R194" s="1" t="s">
        <v>1213</v>
      </c>
      <c r="S194" s="1" t="s">
        <v>1214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1244</v>
      </c>
      <c r="P195" s="1" t="s">
        <v>1309</v>
      </c>
      <c r="Q195" s="1" t="s">
        <v>1245</v>
      </c>
      <c r="R195" s="1" t="s">
        <v>1246</v>
      </c>
      <c r="S195" s="1" t="s">
        <v>1247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1310</v>
      </c>
      <c r="P196" s="1" t="s">
        <v>333</v>
      </c>
      <c r="Q196" s="1" t="s">
        <v>1212</v>
      </c>
      <c r="R196" s="1" t="s">
        <v>1213</v>
      </c>
      <c r="S196" s="1" t="s">
        <v>1214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1275</v>
      </c>
      <c r="P197" s="1" t="s">
        <v>333</v>
      </c>
      <c r="Q197" s="1" t="s">
        <v>1212</v>
      </c>
      <c r="R197" s="1" t="s">
        <v>1213</v>
      </c>
      <c r="S197" s="1" t="s">
        <v>1214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1186</v>
      </c>
      <c r="R198" s="1" t="s">
        <v>1187</v>
      </c>
      <c r="S198" s="1" t="s">
        <v>1188</v>
      </c>
    </row>
    <row r="199" spans="1:19" x14ac:dyDescent="0.25">
      <c r="A199" s="1">
        <v>203</v>
      </c>
      <c r="B199" s="9" t="s">
        <v>1826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1200</v>
      </c>
      <c r="R199" s="1" t="s">
        <v>1187</v>
      </c>
      <c r="S199" s="1" t="s">
        <v>1201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1311</v>
      </c>
      <c r="P200" s="1" t="s">
        <v>1312</v>
      </c>
      <c r="Q200" s="1" t="s">
        <v>1212</v>
      </c>
      <c r="R200" s="1" t="s">
        <v>1213</v>
      </c>
      <c r="S200" s="1" t="s">
        <v>1214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1313</v>
      </c>
      <c r="P201" s="1" t="s">
        <v>333</v>
      </c>
      <c r="Q201" s="1" t="s">
        <v>1201</v>
      </c>
      <c r="R201" s="1" t="s">
        <v>1226</v>
      </c>
      <c r="S201" s="1" t="s">
        <v>1200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1314</v>
      </c>
      <c r="P202" s="1" t="s">
        <v>333</v>
      </c>
      <c r="Q202" s="1" t="s">
        <v>1201</v>
      </c>
      <c r="R202" s="1" t="s">
        <v>1226</v>
      </c>
      <c r="S202" s="1" t="s">
        <v>1200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1201</v>
      </c>
      <c r="R203" s="1" t="s">
        <v>1226</v>
      </c>
      <c r="S203" s="1" t="s">
        <v>1200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1315</v>
      </c>
      <c r="P204" s="1" t="s">
        <v>333</v>
      </c>
      <c r="Q204" s="1" t="s">
        <v>1245</v>
      </c>
      <c r="R204" s="1" t="s">
        <v>1246</v>
      </c>
      <c r="S204" s="1" t="s">
        <v>1247</v>
      </c>
    </row>
    <row r="205" spans="1:19" x14ac:dyDescent="0.25">
      <c r="A205" s="1">
        <v>209</v>
      </c>
      <c r="B205" s="9" t="s">
        <v>1746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1189</v>
      </c>
      <c r="P205" s="1" t="s">
        <v>333</v>
      </c>
      <c r="Q205" s="1" t="s">
        <v>1200</v>
      </c>
      <c r="R205" s="1" t="s">
        <v>1187</v>
      </c>
      <c r="S205" s="1" t="s">
        <v>1201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1195</v>
      </c>
      <c r="P206" s="1" t="s">
        <v>333</v>
      </c>
      <c r="Q206" s="1" t="s">
        <v>1186</v>
      </c>
      <c r="R206" s="1" t="s">
        <v>1187</v>
      </c>
      <c r="S206" s="1" t="s">
        <v>1188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1212</v>
      </c>
      <c r="R207" s="1" t="s">
        <v>1213</v>
      </c>
      <c r="S207" s="1" t="s">
        <v>1214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1186</v>
      </c>
      <c r="R208" s="1" t="s">
        <v>1187</v>
      </c>
      <c r="S208" s="1" t="s">
        <v>1188</v>
      </c>
    </row>
    <row r="209" spans="1:19" x14ac:dyDescent="0.25">
      <c r="A209" s="1">
        <v>213</v>
      </c>
      <c r="B209" s="9" t="s">
        <v>1747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1316</v>
      </c>
      <c r="Q209" s="1" t="s">
        <v>1200</v>
      </c>
      <c r="R209" s="1" t="s">
        <v>1298</v>
      </c>
      <c r="S209" s="1" t="s">
        <v>1201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1317</v>
      </c>
      <c r="P210" s="1" t="s">
        <v>1318</v>
      </c>
      <c r="Q210" s="1" t="s">
        <v>1201</v>
      </c>
      <c r="R210" s="1" t="s">
        <v>1226</v>
      </c>
      <c r="S210" s="1" t="s">
        <v>1200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1319</v>
      </c>
      <c r="Q211" s="1" t="s">
        <v>1201</v>
      </c>
      <c r="R211" s="1" t="s">
        <v>1226</v>
      </c>
      <c r="S211" s="1" t="s">
        <v>1200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1241</v>
      </c>
      <c r="P212" s="1" t="s">
        <v>333</v>
      </c>
      <c r="Q212" s="1" t="s">
        <v>1201</v>
      </c>
      <c r="R212" s="1" t="s">
        <v>1226</v>
      </c>
      <c r="S212" s="1" t="s">
        <v>1200</v>
      </c>
    </row>
    <row r="213" spans="1:19" x14ac:dyDescent="0.25">
      <c r="A213" s="1">
        <v>217</v>
      </c>
      <c r="B213" s="9" t="s">
        <v>1748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1195</v>
      </c>
      <c r="P213" s="1" t="s">
        <v>333</v>
      </c>
      <c r="Q213" s="1" t="s">
        <v>1212</v>
      </c>
      <c r="R213" s="1" t="s">
        <v>1213</v>
      </c>
      <c r="S213" s="1" t="s">
        <v>1214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1195</v>
      </c>
      <c r="P214" s="1" t="s">
        <v>333</v>
      </c>
      <c r="Q214" s="1" t="s">
        <v>1200</v>
      </c>
      <c r="R214" s="1" t="s">
        <v>1187</v>
      </c>
      <c r="S214" s="1" t="s">
        <v>1201</v>
      </c>
    </row>
    <row r="215" spans="1:19" x14ac:dyDescent="0.25">
      <c r="A215" s="1">
        <v>220</v>
      </c>
      <c r="B215" s="9" t="s">
        <v>1749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1195</v>
      </c>
      <c r="P215" s="1" t="s">
        <v>333</v>
      </c>
      <c r="Q215" s="1" t="s">
        <v>1186</v>
      </c>
      <c r="R215" s="1" t="s">
        <v>1187</v>
      </c>
      <c r="S215" s="1" t="s">
        <v>1188</v>
      </c>
    </row>
    <row r="216" spans="1:19" x14ac:dyDescent="0.25">
      <c r="A216" s="1">
        <v>221</v>
      </c>
      <c r="B216" s="9" t="s">
        <v>1750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1320</v>
      </c>
      <c r="P216" s="1" t="s">
        <v>333</v>
      </c>
      <c r="Q216" s="1" t="s">
        <v>1186</v>
      </c>
      <c r="R216" s="1" t="s">
        <v>1187</v>
      </c>
      <c r="S216" s="1" t="s">
        <v>1188</v>
      </c>
    </row>
    <row r="217" spans="1:19" x14ac:dyDescent="0.25">
      <c r="A217" s="1">
        <v>222</v>
      </c>
      <c r="B217" s="9" t="s">
        <v>1321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1322</v>
      </c>
      <c r="P217" s="1" t="s">
        <v>333</v>
      </c>
      <c r="Q217" s="1" t="s">
        <v>1212</v>
      </c>
      <c r="R217" s="1" t="s">
        <v>1213</v>
      </c>
      <c r="S217" s="1" t="s">
        <v>1214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1195</v>
      </c>
      <c r="P218" s="1" t="s">
        <v>333</v>
      </c>
      <c r="Q218" s="1" t="s">
        <v>1201</v>
      </c>
      <c r="R218" s="1" t="s">
        <v>1226</v>
      </c>
      <c r="S218" s="1" t="s">
        <v>1200</v>
      </c>
    </row>
    <row r="219" spans="1:19" x14ac:dyDescent="0.25">
      <c r="A219" s="1">
        <v>224</v>
      </c>
      <c r="B219" s="9" t="s">
        <v>1751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1200</v>
      </c>
      <c r="R219" s="1" t="s">
        <v>1187</v>
      </c>
      <c r="S219" s="1" t="s">
        <v>1201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1323</v>
      </c>
      <c r="P220" s="1" t="s">
        <v>333</v>
      </c>
      <c r="Q220" s="1" t="s">
        <v>1200</v>
      </c>
      <c r="R220" s="1" t="s">
        <v>1187</v>
      </c>
      <c r="S220" s="1" t="s">
        <v>1201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1324</v>
      </c>
      <c r="P221" s="1" t="s">
        <v>333</v>
      </c>
      <c r="Q221" s="1" t="s">
        <v>1212</v>
      </c>
      <c r="R221" s="1" t="s">
        <v>1213</v>
      </c>
      <c r="S221" s="1" t="s">
        <v>1214</v>
      </c>
    </row>
    <row r="222" spans="1:19" x14ac:dyDescent="0.25">
      <c r="A222" s="1">
        <v>227</v>
      </c>
      <c r="B222" s="9" t="s">
        <v>1752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1324</v>
      </c>
      <c r="P222" s="1" t="s">
        <v>333</v>
      </c>
      <c r="Q222" s="1" t="s">
        <v>1201</v>
      </c>
      <c r="R222" s="1" t="s">
        <v>1226</v>
      </c>
      <c r="S222" s="1" t="s">
        <v>1200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1325</v>
      </c>
      <c r="P223" s="1" t="s">
        <v>1326</v>
      </c>
      <c r="Q223" s="1" t="s">
        <v>1200</v>
      </c>
      <c r="R223" s="1" t="s">
        <v>1187</v>
      </c>
      <c r="S223" s="1" t="s">
        <v>1201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1327</v>
      </c>
      <c r="P224" s="1" t="s">
        <v>1328</v>
      </c>
      <c r="Q224" s="1" t="s">
        <v>1280</v>
      </c>
      <c r="R224" s="1" t="s">
        <v>1281</v>
      </c>
      <c r="S224" s="1" t="s">
        <v>1282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1195</v>
      </c>
      <c r="P225" s="1" t="s">
        <v>333</v>
      </c>
      <c r="Q225" s="1" t="s">
        <v>1212</v>
      </c>
      <c r="R225" s="1" t="s">
        <v>1213</v>
      </c>
      <c r="S225" s="1" t="s">
        <v>1214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1329</v>
      </c>
      <c r="P226" s="1" t="s">
        <v>1330</v>
      </c>
      <c r="Q226" s="1" t="s">
        <v>1212</v>
      </c>
      <c r="R226" s="1" t="s">
        <v>1213</v>
      </c>
      <c r="S226" s="1" t="s">
        <v>1214</v>
      </c>
    </row>
    <row r="227" spans="1:19" x14ac:dyDescent="0.25">
      <c r="A227" s="1">
        <v>232</v>
      </c>
      <c r="B227" s="9" t="s">
        <v>1753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1195</v>
      </c>
      <c r="P227" s="1" t="s">
        <v>333</v>
      </c>
      <c r="Q227" s="1" t="s">
        <v>1186</v>
      </c>
      <c r="R227" s="1" t="s">
        <v>1187</v>
      </c>
      <c r="S227" s="1" t="s">
        <v>1188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1186</v>
      </c>
      <c r="R228" s="1" t="s">
        <v>1187</v>
      </c>
      <c r="S228" s="1" t="s">
        <v>1188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1331</v>
      </c>
      <c r="P229" s="1" t="s">
        <v>1332</v>
      </c>
      <c r="Q229" s="1" t="s">
        <v>1200</v>
      </c>
      <c r="R229" s="1" t="s">
        <v>1187</v>
      </c>
      <c r="S229" s="1" t="s">
        <v>1201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1333</v>
      </c>
      <c r="P230" s="1" t="s">
        <v>1334</v>
      </c>
      <c r="Q230" s="1" t="s">
        <v>1212</v>
      </c>
      <c r="R230" s="1" t="s">
        <v>1213</v>
      </c>
      <c r="S230" s="1" t="s">
        <v>1214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1335</v>
      </c>
      <c r="P231" s="1" t="s">
        <v>1336</v>
      </c>
      <c r="Q231" s="1" t="s">
        <v>1201</v>
      </c>
      <c r="R231" s="1" t="s">
        <v>1226</v>
      </c>
      <c r="S231" s="1" t="s">
        <v>1200</v>
      </c>
    </row>
    <row r="232" spans="1:19" x14ac:dyDescent="0.25">
      <c r="A232" s="1">
        <v>237</v>
      </c>
      <c r="B232" s="9" t="s">
        <v>1754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1337</v>
      </c>
      <c r="P232" s="1" t="s">
        <v>333</v>
      </c>
      <c r="Q232" s="1" t="s">
        <v>1201</v>
      </c>
      <c r="R232" s="1" t="s">
        <v>1226</v>
      </c>
      <c r="S232" s="1" t="s">
        <v>1200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1338</v>
      </c>
      <c r="P233" s="1" t="s">
        <v>1339</v>
      </c>
      <c r="Q233" s="1" t="s">
        <v>1245</v>
      </c>
      <c r="R233" s="1" t="s">
        <v>1246</v>
      </c>
      <c r="S233" s="1" t="s">
        <v>1247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1195</v>
      </c>
      <c r="P234" s="1" t="s">
        <v>333</v>
      </c>
      <c r="Q234" s="1" t="s">
        <v>1201</v>
      </c>
      <c r="R234" s="1" t="s">
        <v>1226</v>
      </c>
      <c r="S234" s="1" t="s">
        <v>1200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1244</v>
      </c>
      <c r="P235" s="1" t="s">
        <v>333</v>
      </c>
      <c r="Q235" s="1" t="s">
        <v>1245</v>
      </c>
      <c r="R235" s="1" t="s">
        <v>1246</v>
      </c>
      <c r="S235" s="1" t="s">
        <v>1247</v>
      </c>
    </row>
    <row r="236" spans="1:19" x14ac:dyDescent="0.25">
      <c r="A236" s="1">
        <v>241</v>
      </c>
      <c r="B236" s="9" t="s">
        <v>1755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1275</v>
      </c>
      <c r="P236" s="1" t="s">
        <v>333</v>
      </c>
      <c r="Q236" s="1" t="s">
        <v>1212</v>
      </c>
      <c r="R236" s="1" t="s">
        <v>1213</v>
      </c>
      <c r="S236" s="1" t="s">
        <v>1214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1186</v>
      </c>
      <c r="R237" s="1" t="s">
        <v>1187</v>
      </c>
      <c r="S237" s="1" t="s">
        <v>1188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1340</v>
      </c>
      <c r="P238" s="1" t="s">
        <v>1341</v>
      </c>
      <c r="Q238" s="1" t="s">
        <v>1201</v>
      </c>
      <c r="R238" s="1" t="s">
        <v>1226</v>
      </c>
      <c r="S238" s="1" t="s">
        <v>1200</v>
      </c>
    </row>
    <row r="239" spans="1:19" x14ac:dyDescent="0.25">
      <c r="A239" s="1">
        <v>244</v>
      </c>
      <c r="B239" s="9" t="s">
        <v>1756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1195</v>
      </c>
      <c r="P239" s="1" t="s">
        <v>333</v>
      </c>
      <c r="Q239" s="1" t="s">
        <v>1186</v>
      </c>
      <c r="R239" s="1" t="s">
        <v>1187</v>
      </c>
      <c r="S239" s="1" t="s">
        <v>1188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1342</v>
      </c>
      <c r="P240" s="1" t="s">
        <v>1343</v>
      </c>
      <c r="Q240" s="1" t="s">
        <v>1200</v>
      </c>
      <c r="R240" s="1" t="s">
        <v>1187</v>
      </c>
      <c r="S240" s="1" t="s">
        <v>1201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1344</v>
      </c>
      <c r="P241" s="1" t="s">
        <v>333</v>
      </c>
      <c r="Q241" s="1" t="s">
        <v>1212</v>
      </c>
      <c r="R241" s="1" t="s">
        <v>1213</v>
      </c>
      <c r="S241" s="1" t="s">
        <v>1214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1345</v>
      </c>
      <c r="P242" s="1" t="s">
        <v>333</v>
      </c>
      <c r="Q242" s="1" t="s">
        <v>1186</v>
      </c>
      <c r="R242" s="1" t="s">
        <v>1187</v>
      </c>
      <c r="S242" s="1" t="s">
        <v>1188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1248</v>
      </c>
      <c r="P243" s="1" t="s">
        <v>333</v>
      </c>
      <c r="Q243" s="1" t="s">
        <v>1245</v>
      </c>
      <c r="R243" s="1" t="s">
        <v>1246</v>
      </c>
      <c r="S243" s="1" t="s">
        <v>1247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1186</v>
      </c>
      <c r="R244" s="1" t="s">
        <v>1187</v>
      </c>
      <c r="S244" s="1" t="s">
        <v>1188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1346</v>
      </c>
      <c r="Q245" s="1" t="s">
        <v>1200</v>
      </c>
      <c r="R245" s="1" t="s">
        <v>1187</v>
      </c>
      <c r="S245" s="1" t="s">
        <v>1201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1347</v>
      </c>
      <c r="P246" s="1" t="s">
        <v>333</v>
      </c>
      <c r="Q246" s="1" t="s">
        <v>1212</v>
      </c>
      <c r="R246" s="1" t="s">
        <v>1213</v>
      </c>
      <c r="S246" s="1" t="s">
        <v>1214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1348</v>
      </c>
      <c r="P247" s="1" t="s">
        <v>333</v>
      </c>
      <c r="Q247" s="1" t="s">
        <v>1245</v>
      </c>
      <c r="R247" s="1" t="s">
        <v>1246</v>
      </c>
      <c r="S247" s="1" t="s">
        <v>1247</v>
      </c>
    </row>
    <row r="248" spans="1:19" x14ac:dyDescent="0.25">
      <c r="A248" s="1">
        <v>254</v>
      </c>
      <c r="B248" s="9" t="s">
        <v>1757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1349</v>
      </c>
      <c r="P248" s="1" t="s">
        <v>1350</v>
      </c>
      <c r="Q248" s="1" t="s">
        <v>1245</v>
      </c>
      <c r="R248" s="1" t="s">
        <v>1246</v>
      </c>
      <c r="S248" s="1" t="s">
        <v>1247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1195</v>
      </c>
      <c r="P249" s="1" t="s">
        <v>333</v>
      </c>
      <c r="Q249" s="1" t="s">
        <v>1212</v>
      </c>
      <c r="R249" s="1" t="s">
        <v>1213</v>
      </c>
      <c r="S249" s="1" t="s">
        <v>1214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1351</v>
      </c>
      <c r="P250" s="1" t="s">
        <v>1352</v>
      </c>
      <c r="Q250" s="1" t="s">
        <v>1212</v>
      </c>
      <c r="R250" s="1" t="s">
        <v>1213</v>
      </c>
      <c r="S250" s="1" t="s">
        <v>1214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1353</v>
      </c>
      <c r="P251" s="1" t="s">
        <v>1354</v>
      </c>
      <c r="Q251" s="1" t="s">
        <v>1212</v>
      </c>
      <c r="R251" s="1" t="s">
        <v>1213</v>
      </c>
      <c r="S251" s="1" t="s">
        <v>1214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1195</v>
      </c>
      <c r="P252" s="1" t="s">
        <v>333</v>
      </c>
      <c r="Q252" s="1" t="s">
        <v>1201</v>
      </c>
      <c r="R252" s="1" t="s">
        <v>1226</v>
      </c>
      <c r="S252" s="1" t="s">
        <v>1200</v>
      </c>
    </row>
    <row r="253" spans="1:19" x14ac:dyDescent="0.25">
      <c r="A253" s="1">
        <v>259</v>
      </c>
      <c r="B253" s="9" t="s">
        <v>1758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1355</v>
      </c>
      <c r="P253" s="1" t="s">
        <v>333</v>
      </c>
      <c r="Q253" s="1" t="s">
        <v>1200</v>
      </c>
      <c r="R253" s="1" t="s">
        <v>1187</v>
      </c>
      <c r="S253" s="1" t="s">
        <v>1201</v>
      </c>
    </row>
    <row r="254" spans="1:19" x14ac:dyDescent="0.25">
      <c r="A254" s="1">
        <v>260</v>
      </c>
      <c r="B254" s="9" t="s">
        <v>1759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1356</v>
      </c>
      <c r="P254" s="1" t="s">
        <v>333</v>
      </c>
      <c r="Q254" s="1" t="s">
        <v>1186</v>
      </c>
      <c r="R254" s="1" t="s">
        <v>1187</v>
      </c>
      <c r="S254" s="1" t="s">
        <v>1188</v>
      </c>
    </row>
    <row r="255" spans="1:19" x14ac:dyDescent="0.25">
      <c r="A255" s="1">
        <v>261</v>
      </c>
      <c r="B255" s="9" t="s">
        <v>1760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1357</v>
      </c>
      <c r="P255" s="1" t="s">
        <v>1358</v>
      </c>
      <c r="Q255" s="1" t="s">
        <v>1212</v>
      </c>
      <c r="R255" s="1" t="s">
        <v>1213</v>
      </c>
      <c r="S255" s="1" t="s">
        <v>1214</v>
      </c>
    </row>
    <row r="256" spans="1:19" x14ac:dyDescent="0.25">
      <c r="A256" s="1">
        <v>262</v>
      </c>
      <c r="B256" s="9" t="s">
        <v>1761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1359</v>
      </c>
      <c r="Q256" s="1" t="s">
        <v>1201</v>
      </c>
      <c r="R256" s="1" t="s">
        <v>1226</v>
      </c>
      <c r="S256" s="1" t="s">
        <v>1200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1360</v>
      </c>
      <c r="P257" s="1" t="s">
        <v>1361</v>
      </c>
      <c r="Q257" s="1" t="s">
        <v>1245</v>
      </c>
      <c r="R257" s="1" t="s">
        <v>1246</v>
      </c>
      <c r="S257" s="1" t="s">
        <v>1247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1362</v>
      </c>
      <c r="P258" s="1" t="s">
        <v>1363</v>
      </c>
      <c r="Q258" s="1" t="s">
        <v>1245</v>
      </c>
      <c r="R258" s="1" t="s">
        <v>1246</v>
      </c>
      <c r="S258" s="1" t="s">
        <v>1247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1195</v>
      </c>
      <c r="P259" s="1" t="s">
        <v>333</v>
      </c>
      <c r="Q259" s="1" t="s">
        <v>1201</v>
      </c>
      <c r="R259" s="1" t="s">
        <v>1226</v>
      </c>
      <c r="S259" s="1" t="s">
        <v>1200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1364</v>
      </c>
      <c r="P260" s="1" t="s">
        <v>1365</v>
      </c>
      <c r="Q260" s="1" t="s">
        <v>1212</v>
      </c>
      <c r="R260" s="1" t="s">
        <v>1213</v>
      </c>
      <c r="S260" s="1" t="s">
        <v>1214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1195</v>
      </c>
      <c r="P261" s="1" t="s">
        <v>333</v>
      </c>
      <c r="Q261" s="1" t="s">
        <v>1200</v>
      </c>
      <c r="R261" s="1" t="s">
        <v>1187</v>
      </c>
      <c r="S261" s="1" t="s">
        <v>1201</v>
      </c>
    </row>
    <row r="262" spans="1:19" x14ac:dyDescent="0.25">
      <c r="A262" s="1">
        <v>268</v>
      </c>
      <c r="B262" s="9" t="s">
        <v>1762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1195</v>
      </c>
      <c r="P262" s="1" t="s">
        <v>333</v>
      </c>
      <c r="Q262" s="1" t="s">
        <v>1212</v>
      </c>
      <c r="R262" s="1" t="s">
        <v>1213</v>
      </c>
      <c r="S262" s="1" t="s">
        <v>1214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1366</v>
      </c>
      <c r="P263" s="1" t="s">
        <v>1367</v>
      </c>
      <c r="Q263" s="1" t="s">
        <v>1186</v>
      </c>
      <c r="R263" s="1" t="s">
        <v>1187</v>
      </c>
      <c r="S263" s="1" t="s">
        <v>1188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1368</v>
      </c>
      <c r="P264" s="1" t="s">
        <v>1369</v>
      </c>
      <c r="Q264" s="1" t="s">
        <v>1212</v>
      </c>
      <c r="R264" s="1" t="s">
        <v>1213</v>
      </c>
      <c r="S264" s="1" t="s">
        <v>1214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1248</v>
      </c>
      <c r="P265" s="1" t="s">
        <v>333</v>
      </c>
      <c r="Q265" s="1" t="s">
        <v>1245</v>
      </c>
      <c r="R265" s="1" t="s">
        <v>1246</v>
      </c>
      <c r="S265" s="1" t="s">
        <v>1247</v>
      </c>
    </row>
    <row r="266" spans="1:19" x14ac:dyDescent="0.25">
      <c r="A266" s="1">
        <v>272</v>
      </c>
      <c r="B266" s="9" t="s">
        <v>1792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1370</v>
      </c>
      <c r="P266" s="1" t="s">
        <v>1371</v>
      </c>
      <c r="Q266" s="1" t="s">
        <v>1186</v>
      </c>
      <c r="R266" s="1" t="s">
        <v>1187</v>
      </c>
      <c r="S266" s="1" t="s">
        <v>1188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1372</v>
      </c>
      <c r="P267" s="1" t="s">
        <v>1373</v>
      </c>
      <c r="Q267" s="1" t="s">
        <v>1212</v>
      </c>
      <c r="R267" s="1" t="s">
        <v>1213</v>
      </c>
      <c r="S267" s="1" t="s">
        <v>1214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1374</v>
      </c>
      <c r="P268" s="1" t="s">
        <v>1375</v>
      </c>
      <c r="Q268" s="1" t="s">
        <v>1201</v>
      </c>
      <c r="R268" s="1" t="s">
        <v>1226</v>
      </c>
      <c r="S268" s="1" t="s">
        <v>1200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1376</v>
      </c>
      <c r="P269" s="1" t="s">
        <v>1377</v>
      </c>
      <c r="Q269" s="1" t="s">
        <v>1245</v>
      </c>
      <c r="R269" s="1" t="s">
        <v>1246</v>
      </c>
      <c r="S269" s="1" t="s">
        <v>1247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1378</v>
      </c>
      <c r="P270" s="1" t="s">
        <v>1379</v>
      </c>
      <c r="Q270" s="1" t="s">
        <v>1245</v>
      </c>
      <c r="R270" s="1" t="s">
        <v>1246</v>
      </c>
      <c r="S270" s="1" t="s">
        <v>1247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1195</v>
      </c>
      <c r="P271" s="1" t="s">
        <v>333</v>
      </c>
      <c r="Q271" s="1" t="s">
        <v>1186</v>
      </c>
      <c r="R271" s="1" t="s">
        <v>1187</v>
      </c>
      <c r="S271" s="1" t="s">
        <v>1188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1286</v>
      </c>
      <c r="P272" s="1" t="s">
        <v>333</v>
      </c>
      <c r="Q272" s="1" t="s">
        <v>1280</v>
      </c>
      <c r="R272" s="1" t="s">
        <v>1281</v>
      </c>
      <c r="S272" s="1" t="s">
        <v>1282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1195</v>
      </c>
      <c r="P273" s="1" t="s">
        <v>333</v>
      </c>
      <c r="Q273" s="1" t="s">
        <v>1201</v>
      </c>
      <c r="R273" s="1" t="s">
        <v>1226</v>
      </c>
      <c r="S273" s="1" t="s">
        <v>1200</v>
      </c>
    </row>
    <row r="274" spans="1:19" x14ac:dyDescent="0.25">
      <c r="A274" s="1">
        <v>280</v>
      </c>
      <c r="B274" s="9" t="s">
        <v>1763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1380</v>
      </c>
      <c r="P274" s="1" t="s">
        <v>1381</v>
      </c>
      <c r="Q274" s="1" t="s">
        <v>1200</v>
      </c>
      <c r="R274" s="1" t="s">
        <v>1187</v>
      </c>
      <c r="S274" s="1" t="s">
        <v>1201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1382</v>
      </c>
      <c r="P275" s="1" t="s">
        <v>1383</v>
      </c>
      <c r="Q275" s="1" t="s">
        <v>1280</v>
      </c>
      <c r="R275" s="1" t="s">
        <v>1281</v>
      </c>
      <c r="S275" s="1" t="s">
        <v>1282</v>
      </c>
    </row>
    <row r="276" spans="1:19" x14ac:dyDescent="0.25">
      <c r="A276" s="1">
        <v>282</v>
      </c>
      <c r="B276" s="9" t="s">
        <v>1764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1384</v>
      </c>
      <c r="P276" s="1" t="s">
        <v>1385</v>
      </c>
      <c r="Q276" s="1" t="s">
        <v>1280</v>
      </c>
      <c r="R276" s="1" t="s">
        <v>1281</v>
      </c>
      <c r="S276" s="1" t="s">
        <v>1282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1279</v>
      </c>
      <c r="P277" s="1" t="s">
        <v>1386</v>
      </c>
      <c r="Q277" s="1" t="s">
        <v>1280</v>
      </c>
      <c r="R277" s="1" t="s">
        <v>1281</v>
      </c>
      <c r="S277" s="1" t="s">
        <v>1282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1195</v>
      </c>
      <c r="P278" s="1" t="s">
        <v>333</v>
      </c>
      <c r="Q278" s="1" t="s">
        <v>1212</v>
      </c>
      <c r="R278" s="1" t="s">
        <v>1213</v>
      </c>
      <c r="S278" s="1" t="s">
        <v>1214</v>
      </c>
    </row>
    <row r="279" spans="1:19" x14ac:dyDescent="0.25">
      <c r="A279" s="1">
        <v>285</v>
      </c>
      <c r="B279" s="9" t="s">
        <v>1765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1387</v>
      </c>
      <c r="P279" s="1" t="s">
        <v>1388</v>
      </c>
      <c r="Q279" s="1" t="s">
        <v>1186</v>
      </c>
      <c r="R279" s="1" t="s">
        <v>1187</v>
      </c>
      <c r="S279" s="1" t="s">
        <v>1188</v>
      </c>
    </row>
    <row r="280" spans="1:19" x14ac:dyDescent="0.25">
      <c r="A280" s="1">
        <v>286</v>
      </c>
      <c r="B280" s="9" t="s">
        <v>1766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1389</v>
      </c>
      <c r="P280" s="1" t="s">
        <v>333</v>
      </c>
      <c r="Q280" s="1" t="s">
        <v>1200</v>
      </c>
      <c r="R280" s="1" t="s">
        <v>1187</v>
      </c>
      <c r="S280" s="1" t="s">
        <v>1201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1390</v>
      </c>
      <c r="P281" s="1" t="s">
        <v>1391</v>
      </c>
      <c r="Q281" s="1" t="s">
        <v>1201</v>
      </c>
      <c r="R281" s="1" t="s">
        <v>1226</v>
      </c>
      <c r="S281" s="1" t="s">
        <v>1200</v>
      </c>
    </row>
    <row r="282" spans="1:19" x14ac:dyDescent="0.25">
      <c r="A282" s="1">
        <v>288</v>
      </c>
      <c r="B282" s="9" t="s">
        <v>1767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1392</v>
      </c>
      <c r="P282" s="1" t="s">
        <v>333</v>
      </c>
      <c r="Q282" s="1" t="s">
        <v>1201</v>
      </c>
      <c r="R282" s="1" t="s">
        <v>1226</v>
      </c>
      <c r="S282" s="1" t="s">
        <v>1200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1319</v>
      </c>
      <c r="Q283" s="1" t="s">
        <v>1201</v>
      </c>
      <c r="R283" s="1" t="s">
        <v>1226</v>
      </c>
      <c r="S283" s="1" t="s">
        <v>1200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1393</v>
      </c>
      <c r="P284" s="1" t="s">
        <v>1394</v>
      </c>
      <c r="Q284" s="1" t="s">
        <v>1201</v>
      </c>
      <c r="R284" s="1" t="s">
        <v>1226</v>
      </c>
      <c r="S284" s="1" t="s">
        <v>1200</v>
      </c>
    </row>
    <row r="285" spans="1:19" x14ac:dyDescent="0.25">
      <c r="A285" s="1">
        <v>291</v>
      </c>
      <c r="B285" s="9" t="s">
        <v>1793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1195</v>
      </c>
      <c r="P285" s="1" t="s">
        <v>333</v>
      </c>
      <c r="Q285" s="1" t="s">
        <v>1200</v>
      </c>
      <c r="R285" s="1" t="s">
        <v>1187</v>
      </c>
      <c r="S285" s="1" t="s">
        <v>1201</v>
      </c>
    </row>
    <row r="286" spans="1:19" x14ac:dyDescent="0.25">
      <c r="A286" s="1">
        <v>292</v>
      </c>
      <c r="B286" s="9" t="s">
        <v>1768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1395</v>
      </c>
      <c r="P286" s="1" t="s">
        <v>1396</v>
      </c>
      <c r="Q286" s="1" t="s">
        <v>1245</v>
      </c>
      <c r="R286" s="1" t="s">
        <v>1246</v>
      </c>
      <c r="S286" s="1" t="s">
        <v>1247</v>
      </c>
    </row>
    <row r="287" spans="1:19" x14ac:dyDescent="0.25">
      <c r="A287" s="1">
        <v>293</v>
      </c>
      <c r="B287" s="9" t="s">
        <v>1769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1397</v>
      </c>
      <c r="P287" s="1" t="s">
        <v>1398</v>
      </c>
      <c r="Q287" s="1" t="s">
        <v>1201</v>
      </c>
      <c r="R287" s="1" t="s">
        <v>1226</v>
      </c>
      <c r="S287" s="1" t="s">
        <v>1200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1399</v>
      </c>
      <c r="P288" s="1" t="s">
        <v>1400</v>
      </c>
      <c r="Q288" s="1" t="s">
        <v>1186</v>
      </c>
      <c r="R288" s="1" t="s">
        <v>1187</v>
      </c>
      <c r="S288" s="1" t="s">
        <v>1188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1401</v>
      </c>
      <c r="P289" s="1" t="s">
        <v>333</v>
      </c>
      <c r="Q289" s="1" t="s">
        <v>1200</v>
      </c>
      <c r="R289" s="1" t="s">
        <v>1187</v>
      </c>
      <c r="S289" s="1" t="s">
        <v>1201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1402</v>
      </c>
      <c r="P290" s="1" t="s">
        <v>1403</v>
      </c>
      <c r="Q290" s="1" t="s">
        <v>1212</v>
      </c>
      <c r="R290" s="1" t="s">
        <v>1213</v>
      </c>
      <c r="S290" s="1" t="s">
        <v>1214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1237</v>
      </c>
      <c r="P291" s="1" t="s">
        <v>333</v>
      </c>
      <c r="Q291" s="1" t="s">
        <v>1201</v>
      </c>
      <c r="R291" s="1" t="s">
        <v>1226</v>
      </c>
      <c r="S291" s="1" t="s">
        <v>1200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1195</v>
      </c>
      <c r="P292" s="1" t="s">
        <v>333</v>
      </c>
      <c r="Q292" s="1" t="s">
        <v>1201</v>
      </c>
      <c r="R292" s="1" t="s">
        <v>1226</v>
      </c>
      <c r="S292" s="1" t="s">
        <v>1200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1283</v>
      </c>
      <c r="P293" s="1" t="s">
        <v>333</v>
      </c>
      <c r="Q293" s="1" t="s">
        <v>1280</v>
      </c>
      <c r="R293" s="1" t="s">
        <v>1281</v>
      </c>
      <c r="S293" s="1" t="s">
        <v>1282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1248</v>
      </c>
      <c r="P294" s="1" t="s">
        <v>333</v>
      </c>
      <c r="Q294" s="1" t="s">
        <v>1245</v>
      </c>
      <c r="R294" s="1" t="s">
        <v>1246</v>
      </c>
      <c r="S294" s="1" t="s">
        <v>1247</v>
      </c>
    </row>
    <row r="295" spans="1:19" x14ac:dyDescent="0.25">
      <c r="A295" s="1">
        <v>301</v>
      </c>
      <c r="B295" s="9" t="s">
        <v>1770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1195</v>
      </c>
      <c r="P295" s="1" t="s">
        <v>333</v>
      </c>
      <c r="Q295" s="1" t="s">
        <v>1200</v>
      </c>
      <c r="R295" s="1" t="s">
        <v>1187</v>
      </c>
      <c r="S295" s="1" t="s">
        <v>1201</v>
      </c>
    </row>
    <row r="296" spans="1:19" x14ac:dyDescent="0.25">
      <c r="A296" s="1">
        <v>302</v>
      </c>
      <c r="B296" s="9" t="s">
        <v>1708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1404</v>
      </c>
      <c r="P296" s="1" t="s">
        <v>1405</v>
      </c>
      <c r="Q296" s="1" t="s">
        <v>1280</v>
      </c>
      <c r="R296" s="1" t="s">
        <v>1281</v>
      </c>
      <c r="S296" s="1" t="s">
        <v>1282</v>
      </c>
    </row>
    <row r="297" spans="1:19" x14ac:dyDescent="0.25">
      <c r="A297" s="1">
        <v>303</v>
      </c>
      <c r="B297" s="9" t="s">
        <v>1771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1406</v>
      </c>
      <c r="Q297" s="1" t="s">
        <v>1186</v>
      </c>
      <c r="R297" s="1" t="s">
        <v>1187</v>
      </c>
      <c r="S297" s="1" t="s">
        <v>1188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1407</v>
      </c>
      <c r="P298" s="1" t="s">
        <v>1408</v>
      </c>
      <c r="Q298" s="1" t="s">
        <v>1200</v>
      </c>
      <c r="R298" s="1" t="s">
        <v>1187</v>
      </c>
      <c r="S298" s="1" t="s">
        <v>1201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1212</v>
      </c>
      <c r="R299" s="1" t="s">
        <v>1213</v>
      </c>
      <c r="S299" s="1" t="s">
        <v>1214</v>
      </c>
    </row>
    <row r="300" spans="1:19" x14ac:dyDescent="0.25">
      <c r="A300" s="1">
        <v>306</v>
      </c>
      <c r="B300" s="9" t="s">
        <v>1772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1409</v>
      </c>
      <c r="P300" s="1" t="s">
        <v>1410</v>
      </c>
      <c r="Q300" s="1" t="s">
        <v>1201</v>
      </c>
      <c r="R300" s="1" t="s">
        <v>1226</v>
      </c>
      <c r="S300" s="1" t="s">
        <v>1200</v>
      </c>
    </row>
    <row r="301" spans="1:19" x14ac:dyDescent="0.25">
      <c r="A301" s="1">
        <v>307</v>
      </c>
      <c r="B301" s="9" t="s">
        <v>1773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1411</v>
      </c>
      <c r="P301" s="1" t="s">
        <v>1412</v>
      </c>
      <c r="Q301" s="1" t="s">
        <v>1245</v>
      </c>
      <c r="R301" s="1" t="s">
        <v>1246</v>
      </c>
      <c r="S301" s="1" t="s">
        <v>1247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1195</v>
      </c>
      <c r="P302" s="1" t="s">
        <v>333</v>
      </c>
      <c r="Q302" s="1" t="s">
        <v>1212</v>
      </c>
      <c r="R302" s="1" t="s">
        <v>1213</v>
      </c>
      <c r="S302" s="1" t="s">
        <v>1214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1413</v>
      </c>
      <c r="P303" s="1" t="s">
        <v>1414</v>
      </c>
      <c r="Q303" s="1" t="s">
        <v>1186</v>
      </c>
      <c r="R303" s="1" t="s">
        <v>1187</v>
      </c>
      <c r="S303" s="1" t="s">
        <v>1188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1186</v>
      </c>
      <c r="R304" s="1" t="s">
        <v>1187</v>
      </c>
      <c r="S304" s="1" t="s">
        <v>1188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1415</v>
      </c>
      <c r="P305" s="1" t="s">
        <v>1416</v>
      </c>
      <c r="Q305" s="1" t="s">
        <v>1200</v>
      </c>
      <c r="R305" s="1" t="s">
        <v>1187</v>
      </c>
      <c r="S305" s="1" t="s">
        <v>1201</v>
      </c>
    </row>
    <row r="306" spans="1:19" x14ac:dyDescent="0.25">
      <c r="A306" s="1">
        <v>312</v>
      </c>
      <c r="B306" s="9" t="s">
        <v>1774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1417</v>
      </c>
      <c r="P306" s="1" t="s">
        <v>333</v>
      </c>
      <c r="Q306" s="1" t="s">
        <v>1212</v>
      </c>
      <c r="R306" s="1" t="s">
        <v>1213</v>
      </c>
      <c r="S306" s="1" t="s">
        <v>1214</v>
      </c>
    </row>
    <row r="307" spans="1:19" x14ac:dyDescent="0.25">
      <c r="A307" s="1">
        <v>313</v>
      </c>
      <c r="B307" s="9" t="s">
        <v>1775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1418</v>
      </c>
      <c r="P307" s="1" t="s">
        <v>1419</v>
      </c>
      <c r="Q307" s="1" t="s">
        <v>1201</v>
      </c>
      <c r="R307" s="1" t="s">
        <v>1226</v>
      </c>
      <c r="S307" s="1" t="s">
        <v>1200</v>
      </c>
    </row>
    <row r="308" spans="1:19" x14ac:dyDescent="0.25">
      <c r="A308" s="1">
        <v>314</v>
      </c>
      <c r="B308" s="9" t="s">
        <v>1776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1195</v>
      </c>
      <c r="P308" s="1" t="s">
        <v>333</v>
      </c>
      <c r="Q308" s="1" t="s">
        <v>1201</v>
      </c>
      <c r="R308" s="1" t="s">
        <v>1226</v>
      </c>
      <c r="S308" s="1" t="s">
        <v>1200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1420</v>
      </c>
      <c r="P309" s="1" t="s">
        <v>1421</v>
      </c>
      <c r="Q309" s="1" t="s">
        <v>1200</v>
      </c>
      <c r="R309" s="1" t="s">
        <v>1187</v>
      </c>
      <c r="S309" s="1" t="s">
        <v>1201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1422</v>
      </c>
      <c r="P310" s="1" t="s">
        <v>1423</v>
      </c>
      <c r="Q310" s="1" t="s">
        <v>1212</v>
      </c>
      <c r="R310" s="1" t="s">
        <v>1213</v>
      </c>
      <c r="S310" s="1" t="s">
        <v>1214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1424</v>
      </c>
      <c r="P311" s="1" t="s">
        <v>1425</v>
      </c>
      <c r="Q311" s="1" t="s">
        <v>1212</v>
      </c>
      <c r="R311" s="1" t="s">
        <v>1213</v>
      </c>
      <c r="S311" s="1" t="s">
        <v>1214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1426</v>
      </c>
      <c r="P312" s="1" t="s">
        <v>1427</v>
      </c>
      <c r="Q312" s="1" t="s">
        <v>1201</v>
      </c>
      <c r="R312" s="1" t="s">
        <v>1226</v>
      </c>
      <c r="S312" s="1" t="s">
        <v>1200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1428</v>
      </c>
      <c r="P313" s="1" t="s">
        <v>1429</v>
      </c>
      <c r="Q313" s="1" t="s">
        <v>1245</v>
      </c>
      <c r="R313" s="1" t="s">
        <v>1246</v>
      </c>
      <c r="S313" s="1" t="s">
        <v>1247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1430</v>
      </c>
      <c r="P314" s="1" t="s">
        <v>333</v>
      </c>
      <c r="Q314" s="1" t="s">
        <v>1212</v>
      </c>
      <c r="R314" s="1" t="s">
        <v>1213</v>
      </c>
      <c r="S314" s="1" t="s">
        <v>1214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1431</v>
      </c>
      <c r="P315" s="1" t="s">
        <v>1432</v>
      </c>
      <c r="Q315" s="1" t="s">
        <v>1280</v>
      </c>
      <c r="R315" s="1" t="s">
        <v>1281</v>
      </c>
      <c r="S315" s="1" t="s">
        <v>1282</v>
      </c>
    </row>
    <row r="316" spans="1:19" x14ac:dyDescent="0.25">
      <c r="A316" s="1">
        <v>322</v>
      </c>
      <c r="B316" s="9" t="s">
        <v>1777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1433</v>
      </c>
      <c r="P316" s="1" t="s">
        <v>1434</v>
      </c>
      <c r="Q316" s="1" t="s">
        <v>1186</v>
      </c>
      <c r="R316" s="1" t="s">
        <v>1187</v>
      </c>
      <c r="S316" s="1" t="s">
        <v>1188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1279</v>
      </c>
      <c r="P317" s="1" t="s">
        <v>1435</v>
      </c>
      <c r="Q317" s="1" t="s">
        <v>1280</v>
      </c>
      <c r="R317" s="1" t="s">
        <v>1281</v>
      </c>
      <c r="S317" s="1" t="s">
        <v>1282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1436</v>
      </c>
      <c r="P318" s="1" t="s">
        <v>1437</v>
      </c>
      <c r="Q318" s="1" t="s">
        <v>1280</v>
      </c>
      <c r="R318" s="1" t="s">
        <v>1281</v>
      </c>
      <c r="S318" s="1" t="s">
        <v>1282</v>
      </c>
    </row>
    <row r="319" spans="1:19" x14ac:dyDescent="0.25">
      <c r="A319" s="1">
        <v>325</v>
      </c>
      <c r="B319" s="9" t="s">
        <v>1778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1438</v>
      </c>
      <c r="P319" s="1" t="s">
        <v>333</v>
      </c>
      <c r="Q319" s="1" t="s">
        <v>1280</v>
      </c>
      <c r="R319" s="1" t="s">
        <v>1281</v>
      </c>
      <c r="S319" s="1" t="s">
        <v>1282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1439</v>
      </c>
      <c r="P320" s="1" t="s">
        <v>1440</v>
      </c>
      <c r="Q320" s="1" t="s">
        <v>1280</v>
      </c>
      <c r="R320" s="1" t="s">
        <v>1281</v>
      </c>
      <c r="S320" s="1" t="s">
        <v>1282</v>
      </c>
    </row>
    <row r="321" spans="1:19" x14ac:dyDescent="0.25">
      <c r="A321" s="1">
        <v>327</v>
      </c>
      <c r="B321" s="9" t="s">
        <v>1779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1195</v>
      </c>
      <c r="P321" s="1" t="s">
        <v>333</v>
      </c>
      <c r="Q321" s="1" t="s">
        <v>1200</v>
      </c>
      <c r="R321" s="1" t="s">
        <v>1187</v>
      </c>
      <c r="S321" s="1" t="s">
        <v>1201</v>
      </c>
    </row>
    <row r="322" spans="1:19" x14ac:dyDescent="0.25">
      <c r="A322" s="1">
        <v>328</v>
      </c>
      <c r="B322" s="9" t="s">
        <v>1780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1441</v>
      </c>
      <c r="P322" s="1" t="s">
        <v>1442</v>
      </c>
      <c r="Q322" s="1" t="s">
        <v>1200</v>
      </c>
      <c r="R322" s="1" t="s">
        <v>1187</v>
      </c>
      <c r="S322" s="1" t="s">
        <v>1201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1443</v>
      </c>
      <c r="Q323" s="1" t="s">
        <v>1212</v>
      </c>
      <c r="R323" s="1" t="s">
        <v>1213</v>
      </c>
      <c r="S323" s="1" t="s">
        <v>1214</v>
      </c>
    </row>
    <row r="324" spans="1:19" x14ac:dyDescent="0.25">
      <c r="A324" s="1">
        <v>330</v>
      </c>
      <c r="B324" s="9" t="s">
        <v>1781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1444</v>
      </c>
      <c r="P324" s="1" t="s">
        <v>1445</v>
      </c>
      <c r="Q324" s="1" t="s">
        <v>1201</v>
      </c>
      <c r="R324" s="1" t="s">
        <v>1226</v>
      </c>
      <c r="S324" s="1" t="s">
        <v>1200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1446</v>
      </c>
      <c r="P325" s="1" t="s">
        <v>333</v>
      </c>
      <c r="Q325" s="1" t="s">
        <v>1186</v>
      </c>
      <c r="R325" s="1" t="s">
        <v>1187</v>
      </c>
      <c r="S325" s="1" t="s">
        <v>1188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1447</v>
      </c>
      <c r="Q326" s="1" t="s">
        <v>1186</v>
      </c>
      <c r="R326" s="1" t="s">
        <v>1187</v>
      </c>
      <c r="S326" s="1" t="s">
        <v>1188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1448</v>
      </c>
      <c r="P327" s="1" t="s">
        <v>1449</v>
      </c>
      <c r="Q327" s="1" t="s">
        <v>1200</v>
      </c>
      <c r="R327" s="1" t="s">
        <v>1187</v>
      </c>
      <c r="S327" s="1" t="s">
        <v>1201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1450</v>
      </c>
      <c r="P328" s="1" t="s">
        <v>1451</v>
      </c>
      <c r="Q328" s="1" t="s">
        <v>1212</v>
      </c>
      <c r="R328" s="1" t="s">
        <v>1213</v>
      </c>
      <c r="S328" s="1" t="s">
        <v>1214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1452</v>
      </c>
      <c r="P329" s="1" t="s">
        <v>1453</v>
      </c>
      <c r="Q329" s="1" t="s">
        <v>1201</v>
      </c>
      <c r="R329" s="1" t="s">
        <v>1226</v>
      </c>
      <c r="S329" s="1" t="s">
        <v>1200</v>
      </c>
    </row>
    <row r="330" spans="1:19" x14ac:dyDescent="0.25">
      <c r="A330" s="1">
        <v>336</v>
      </c>
      <c r="B330" s="9" t="s">
        <v>1782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1454</v>
      </c>
      <c r="P330" s="1" t="s">
        <v>1455</v>
      </c>
      <c r="Q330" s="1" t="s">
        <v>1200</v>
      </c>
      <c r="R330" s="1" t="s">
        <v>1187</v>
      </c>
      <c r="S330" s="1" t="s">
        <v>1201</v>
      </c>
    </row>
    <row r="331" spans="1:19" x14ac:dyDescent="0.25">
      <c r="A331" s="1">
        <v>337</v>
      </c>
      <c r="B331" s="9" t="s">
        <v>913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1456</v>
      </c>
      <c r="Q331" s="1" t="s">
        <v>1212</v>
      </c>
      <c r="R331" s="1" t="s">
        <v>1213</v>
      </c>
      <c r="S331" s="1" t="s">
        <v>1214</v>
      </c>
    </row>
    <row r="332" spans="1:19" x14ac:dyDescent="0.25">
      <c r="A332" s="1">
        <v>338</v>
      </c>
      <c r="B332" s="9" t="s">
        <v>912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1457</v>
      </c>
      <c r="P332" s="1" t="s">
        <v>1458</v>
      </c>
      <c r="Q332" s="1" t="s">
        <v>1201</v>
      </c>
      <c r="R332" s="1" t="s">
        <v>1226</v>
      </c>
      <c r="S332" s="1" t="s">
        <v>1200</v>
      </c>
    </row>
    <row r="333" spans="1:19" x14ac:dyDescent="0.25">
      <c r="A333" s="1">
        <v>339</v>
      </c>
      <c r="B333" s="9" t="s">
        <v>1783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1459</v>
      </c>
      <c r="P333" s="1" t="s">
        <v>1460</v>
      </c>
      <c r="Q333" s="1" t="s">
        <v>1245</v>
      </c>
      <c r="R333" s="1" t="s">
        <v>1246</v>
      </c>
      <c r="S333" s="1" t="s">
        <v>1247</v>
      </c>
    </row>
    <row r="334" spans="1:19" x14ac:dyDescent="0.25">
      <c r="A334" s="1">
        <v>340</v>
      </c>
      <c r="B334" s="9" t="s">
        <v>1784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1461</v>
      </c>
      <c r="P334" s="1" t="s">
        <v>1462</v>
      </c>
      <c r="Q334" s="1" t="s">
        <v>1201</v>
      </c>
      <c r="R334" s="1" t="s">
        <v>1226</v>
      </c>
      <c r="S334" s="1" t="s">
        <v>1200</v>
      </c>
    </row>
    <row r="335" spans="1:19" x14ac:dyDescent="0.25">
      <c r="A335" s="1">
        <v>341</v>
      </c>
      <c r="B335" s="9" t="s">
        <v>1809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1810</v>
      </c>
      <c r="P335" s="1" t="s">
        <v>1811</v>
      </c>
      <c r="Q335" s="1" t="s">
        <v>1200</v>
      </c>
      <c r="R335" s="1" t="s">
        <v>1187</v>
      </c>
      <c r="S335" s="1" t="s">
        <v>1201</v>
      </c>
    </row>
    <row r="336" spans="1:19" x14ac:dyDescent="0.25">
      <c r="A336" s="1">
        <v>342</v>
      </c>
      <c r="B336" s="9" t="s">
        <v>1812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1813</v>
      </c>
      <c r="P336" s="1" t="s">
        <v>1814</v>
      </c>
      <c r="Q336" s="1" t="s">
        <v>1201</v>
      </c>
      <c r="R336" s="1" t="s">
        <v>1226</v>
      </c>
      <c r="S336" s="1" t="s">
        <v>1200</v>
      </c>
    </row>
    <row r="337" spans="1:19" x14ac:dyDescent="0.25">
      <c r="A337" s="1">
        <v>343</v>
      </c>
      <c r="B337" s="9" t="s">
        <v>1815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1816</v>
      </c>
      <c r="P337" s="1" t="s">
        <v>1817</v>
      </c>
      <c r="Q337" s="1" t="s">
        <v>1201</v>
      </c>
      <c r="R337" s="1" t="s">
        <v>1226</v>
      </c>
      <c r="S337" s="1" t="s">
        <v>1200</v>
      </c>
    </row>
    <row r="338" spans="1:19" x14ac:dyDescent="0.25">
      <c r="A338" s="1">
        <v>344</v>
      </c>
      <c r="B338" s="9" t="s">
        <v>1818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1819</v>
      </c>
      <c r="P338" s="1" t="s">
        <v>1820</v>
      </c>
      <c r="Q338" s="1" t="s">
        <v>1201</v>
      </c>
      <c r="R338" s="1" t="s">
        <v>1226</v>
      </c>
      <c r="S338" s="1" t="s">
        <v>1200</v>
      </c>
    </row>
    <row r="339" spans="1:19" x14ac:dyDescent="0.25">
      <c r="A339" s="1">
        <v>345</v>
      </c>
      <c r="B339" s="9" t="s">
        <v>1821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1822</v>
      </c>
      <c r="P339" s="1" t="s">
        <v>333</v>
      </c>
      <c r="Q339" s="1" t="s">
        <v>1245</v>
      </c>
      <c r="R339" s="1" t="s">
        <v>1246</v>
      </c>
      <c r="S339" s="1" t="s">
        <v>1247</v>
      </c>
    </row>
    <row r="340" spans="1:19" x14ac:dyDescent="0.25">
      <c r="A340" s="1">
        <v>1001</v>
      </c>
      <c r="B340" s="9" t="s">
        <v>195</v>
      </c>
      <c r="C340" s="1">
        <v>1</v>
      </c>
      <c r="D340" s="1">
        <v>5</v>
      </c>
      <c r="E340" s="1">
        <v>90</v>
      </c>
      <c r="F340" s="1">
        <v>140</v>
      </c>
      <c r="G340" s="1">
        <v>120</v>
      </c>
      <c r="H340" s="1">
        <v>120</v>
      </c>
      <c r="I340" s="1">
        <v>110</v>
      </c>
      <c r="J340" s="1">
        <v>0</v>
      </c>
      <c r="K340" s="1">
        <v>120</v>
      </c>
      <c r="L340" s="1">
        <v>106406</v>
      </c>
      <c r="M340" s="1">
        <v>0</v>
      </c>
      <c r="N340" s="1">
        <v>300111</v>
      </c>
      <c r="O340" s="1" t="s">
        <v>333</v>
      </c>
      <c r="P340" s="1" t="s">
        <v>333</v>
      </c>
      <c r="Q340" s="1" t="s">
        <v>1186</v>
      </c>
      <c r="R340" s="1" t="s">
        <v>1187</v>
      </c>
      <c r="S340" s="1" t="s">
        <v>1188</v>
      </c>
    </row>
    <row r="341" spans="1:19" x14ac:dyDescent="0.25">
      <c r="A341" s="1">
        <v>1002</v>
      </c>
      <c r="B341" s="9" t="s">
        <v>196</v>
      </c>
      <c r="C341" s="1">
        <v>6</v>
      </c>
      <c r="D341" s="1">
        <v>5</v>
      </c>
      <c r="E341" s="1">
        <v>125</v>
      </c>
      <c r="F341" s="1">
        <v>130</v>
      </c>
      <c r="G341" s="1">
        <v>110</v>
      </c>
      <c r="H341" s="1">
        <v>120</v>
      </c>
      <c r="I341" s="1">
        <v>80</v>
      </c>
      <c r="J341" s="1">
        <v>125</v>
      </c>
      <c r="K341" s="1">
        <v>95</v>
      </c>
      <c r="L341" s="1">
        <v>106407</v>
      </c>
      <c r="M341" s="1">
        <v>0</v>
      </c>
      <c r="N341" s="1">
        <v>300110</v>
      </c>
      <c r="O341" s="1" t="s">
        <v>1279</v>
      </c>
      <c r="P341" s="1" t="s">
        <v>333</v>
      </c>
      <c r="Q341" s="1" t="s">
        <v>1280</v>
      </c>
      <c r="R341" s="1" t="s">
        <v>1281</v>
      </c>
      <c r="S341" s="1" t="s">
        <v>1282</v>
      </c>
    </row>
    <row r="342" spans="1:19" x14ac:dyDescent="0.25">
      <c r="A342" s="1">
        <v>1003</v>
      </c>
      <c r="B342" s="9" t="s">
        <v>832</v>
      </c>
      <c r="C342" s="1">
        <v>1</v>
      </c>
      <c r="D342" s="1">
        <v>5</v>
      </c>
      <c r="E342" s="1">
        <v>105</v>
      </c>
      <c r="F342" s="1">
        <v>125</v>
      </c>
      <c r="G342" s="1">
        <v>125</v>
      </c>
      <c r="H342" s="1">
        <v>118</v>
      </c>
      <c r="I342" s="1">
        <v>115</v>
      </c>
      <c r="J342" s="1">
        <v>0</v>
      </c>
      <c r="K342" s="1">
        <v>104</v>
      </c>
      <c r="L342" s="1">
        <v>107301</v>
      </c>
      <c r="M342" s="1">
        <v>0</v>
      </c>
      <c r="N342" s="1">
        <v>300101</v>
      </c>
      <c r="O342" s="1" t="s">
        <v>1463</v>
      </c>
      <c r="P342" s="1" t="s">
        <v>333</v>
      </c>
      <c r="Q342" s="1" t="s">
        <v>1186</v>
      </c>
      <c r="R342" s="1" t="s">
        <v>1187</v>
      </c>
      <c r="S342" s="1" t="s">
        <v>1188</v>
      </c>
    </row>
    <row r="343" spans="1:19" x14ac:dyDescent="0.25">
      <c r="A343" s="1">
        <v>1004</v>
      </c>
      <c r="B343" s="9" t="s">
        <v>833</v>
      </c>
      <c r="C343" s="1">
        <v>3</v>
      </c>
      <c r="D343" s="1">
        <v>5</v>
      </c>
      <c r="E343" s="1">
        <v>95</v>
      </c>
      <c r="F343" s="1">
        <v>135</v>
      </c>
      <c r="G343" s="1">
        <v>98</v>
      </c>
      <c r="H343" s="1">
        <v>105</v>
      </c>
      <c r="I343" s="1">
        <v>95</v>
      </c>
      <c r="J343" s="1">
        <v>0</v>
      </c>
      <c r="K343" s="1">
        <v>120</v>
      </c>
      <c r="L343" s="1">
        <v>107401</v>
      </c>
      <c r="M343" s="1">
        <v>0</v>
      </c>
      <c r="N343" s="1">
        <v>300104</v>
      </c>
      <c r="O343" s="1" t="s">
        <v>1463</v>
      </c>
      <c r="P343" s="1" t="s">
        <v>333</v>
      </c>
      <c r="Q343" s="1" t="s">
        <v>1212</v>
      </c>
      <c r="R343" s="1" t="s">
        <v>1213</v>
      </c>
      <c r="S343" s="1" t="s">
        <v>1214</v>
      </c>
    </row>
    <row r="344" spans="1:19" x14ac:dyDescent="0.25">
      <c r="A344" s="1">
        <v>1005</v>
      </c>
      <c r="B344" s="9" t="s">
        <v>834</v>
      </c>
      <c r="C344" s="1">
        <v>3</v>
      </c>
      <c r="D344" s="1">
        <v>5</v>
      </c>
      <c r="E344" s="1">
        <v>92</v>
      </c>
      <c r="F344" s="1">
        <v>122</v>
      </c>
      <c r="G344" s="1">
        <v>110</v>
      </c>
      <c r="H344" s="1">
        <v>115</v>
      </c>
      <c r="I344" s="1">
        <v>100</v>
      </c>
      <c r="J344" s="1">
        <v>0</v>
      </c>
      <c r="K344" s="1">
        <v>120</v>
      </c>
      <c r="L344" s="1">
        <v>107101</v>
      </c>
      <c r="M344" s="1">
        <v>0</v>
      </c>
      <c r="N344" s="1">
        <v>300104</v>
      </c>
      <c r="O344" s="1" t="s">
        <v>1463</v>
      </c>
      <c r="P344" s="1" t="s">
        <v>333</v>
      </c>
      <c r="Q344" s="1" t="s">
        <v>1212</v>
      </c>
      <c r="R344" s="1" t="s">
        <v>1213</v>
      </c>
      <c r="S344" s="1" t="s">
        <v>1214</v>
      </c>
    </row>
    <row r="345" spans="1:19" x14ac:dyDescent="0.25">
      <c r="A345" s="1">
        <v>1006</v>
      </c>
      <c r="B345" s="9" t="s">
        <v>835</v>
      </c>
      <c r="C345" s="1">
        <v>1</v>
      </c>
      <c r="D345" s="1">
        <v>5</v>
      </c>
      <c r="E345" s="1">
        <v>125</v>
      </c>
      <c r="F345" s="1">
        <v>120</v>
      </c>
      <c r="G345" s="1">
        <v>105</v>
      </c>
      <c r="H345" s="1">
        <v>105</v>
      </c>
      <c r="I345" s="1">
        <v>120</v>
      </c>
      <c r="J345" s="1">
        <v>0</v>
      </c>
      <c r="K345" s="1">
        <v>104</v>
      </c>
      <c r="L345" s="1">
        <v>107501</v>
      </c>
      <c r="M345" s="1">
        <v>0</v>
      </c>
      <c r="N345" s="1">
        <v>301901</v>
      </c>
      <c r="O345" s="1" t="s">
        <v>1203</v>
      </c>
      <c r="P345" s="1" t="s">
        <v>1464</v>
      </c>
      <c r="Q345" s="1" t="s">
        <v>1186</v>
      </c>
      <c r="R345" s="1" t="s">
        <v>1187</v>
      </c>
      <c r="S345" s="1" t="s">
        <v>1188</v>
      </c>
    </row>
    <row r="346" spans="1:19" x14ac:dyDescent="0.25">
      <c r="A346" s="1">
        <v>1007</v>
      </c>
      <c r="B346" s="9" t="s">
        <v>836</v>
      </c>
      <c r="C346" s="1">
        <v>4</v>
      </c>
      <c r="D346" s="1">
        <v>5</v>
      </c>
      <c r="E346" s="1">
        <v>110</v>
      </c>
      <c r="F346" s="1">
        <v>126</v>
      </c>
      <c r="G346" s="1">
        <v>95</v>
      </c>
      <c r="H346" s="1">
        <v>105</v>
      </c>
      <c r="I346" s="1">
        <v>100</v>
      </c>
      <c r="J346" s="1">
        <v>0</v>
      </c>
      <c r="K346" s="1">
        <v>122</v>
      </c>
      <c r="L346" s="1">
        <v>107601</v>
      </c>
      <c r="M346" s="1">
        <v>0</v>
      </c>
      <c r="N346" s="1">
        <v>302001</v>
      </c>
      <c r="O346" s="1" t="s">
        <v>1463</v>
      </c>
      <c r="P346" s="1" t="s">
        <v>1465</v>
      </c>
      <c r="Q346" s="1" t="s">
        <v>1201</v>
      </c>
      <c r="R346" s="1" t="s">
        <v>1226</v>
      </c>
      <c r="S346" s="1" t="s">
        <v>1200</v>
      </c>
    </row>
    <row r="347" spans="1:19" x14ac:dyDescent="0.25">
      <c r="A347" s="1">
        <v>1008</v>
      </c>
      <c r="B347" s="9" t="s">
        <v>837</v>
      </c>
      <c r="C347" s="1">
        <v>6</v>
      </c>
      <c r="D347" s="1">
        <v>5</v>
      </c>
      <c r="E347" s="1">
        <v>112</v>
      </c>
      <c r="F347" s="1">
        <v>128</v>
      </c>
      <c r="G347" s="1">
        <v>108</v>
      </c>
      <c r="H347" s="1">
        <v>110</v>
      </c>
      <c r="I347" s="1">
        <v>130</v>
      </c>
      <c r="J347" s="1">
        <v>120</v>
      </c>
      <c r="K347" s="1">
        <v>90</v>
      </c>
      <c r="L347" s="1">
        <v>107001</v>
      </c>
      <c r="M347" s="1">
        <v>0</v>
      </c>
      <c r="N347" s="1">
        <v>300110</v>
      </c>
      <c r="O347" s="1" t="s">
        <v>1466</v>
      </c>
      <c r="P347" s="1" t="s">
        <v>333</v>
      </c>
      <c r="Q347" s="1" t="s">
        <v>1280</v>
      </c>
      <c r="R347" s="1" t="s">
        <v>1281</v>
      </c>
      <c r="S347" s="1" t="s">
        <v>1282</v>
      </c>
    </row>
    <row r="348" spans="1:19" x14ac:dyDescent="0.25">
      <c r="A348" s="1">
        <v>1009</v>
      </c>
      <c r="B348" s="9" t="s">
        <v>197</v>
      </c>
      <c r="C348" s="1">
        <v>1</v>
      </c>
      <c r="D348" s="1">
        <v>5</v>
      </c>
      <c r="E348" s="1">
        <v>100</v>
      </c>
      <c r="F348" s="1">
        <v>100</v>
      </c>
      <c r="G348" s="1">
        <v>106</v>
      </c>
      <c r="H348" s="1">
        <v>108</v>
      </c>
      <c r="I348" s="1">
        <v>103</v>
      </c>
      <c r="J348" s="1">
        <v>0</v>
      </c>
      <c r="K348" s="1">
        <v>140</v>
      </c>
      <c r="L348" s="1">
        <v>109401</v>
      </c>
      <c r="M348" s="1">
        <v>0</v>
      </c>
      <c r="N348" s="1">
        <v>109403</v>
      </c>
      <c r="O348" s="1" t="s">
        <v>1467</v>
      </c>
      <c r="P348" s="1" t="s">
        <v>1468</v>
      </c>
      <c r="Q348" s="1" t="s">
        <v>1186</v>
      </c>
      <c r="R348" s="1" t="s">
        <v>1187</v>
      </c>
      <c r="S348" s="1" t="s">
        <v>1188</v>
      </c>
    </row>
    <row r="349" spans="1:19" x14ac:dyDescent="0.25">
      <c r="A349" s="1">
        <v>1010</v>
      </c>
      <c r="B349" s="9" t="s">
        <v>198</v>
      </c>
      <c r="C349" s="1">
        <v>1</v>
      </c>
      <c r="D349" s="1">
        <v>5</v>
      </c>
      <c r="E349" s="1">
        <v>100</v>
      </c>
      <c r="F349" s="1">
        <v>100</v>
      </c>
      <c r="G349" s="1">
        <v>106</v>
      </c>
      <c r="H349" s="1">
        <v>108</v>
      </c>
      <c r="I349" s="1">
        <v>103</v>
      </c>
      <c r="J349" s="1">
        <v>0</v>
      </c>
      <c r="K349" s="1">
        <v>140</v>
      </c>
      <c r="L349" s="1">
        <v>109501</v>
      </c>
      <c r="M349" s="1">
        <v>0</v>
      </c>
      <c r="N349" s="1">
        <v>109503</v>
      </c>
      <c r="O349" s="1" t="s">
        <v>333</v>
      </c>
      <c r="P349" s="1" t="s">
        <v>1469</v>
      </c>
      <c r="Q349" s="1" t="s">
        <v>1186</v>
      </c>
      <c r="R349" s="1" t="s">
        <v>1187</v>
      </c>
      <c r="S349" s="1" t="s">
        <v>1188</v>
      </c>
    </row>
    <row r="350" spans="1:19" x14ac:dyDescent="0.25">
      <c r="A350" s="1">
        <v>1017</v>
      </c>
      <c r="B350" s="9" t="s">
        <v>1798</v>
      </c>
      <c r="C350" s="1">
        <v>1</v>
      </c>
      <c r="D350" s="1">
        <v>5</v>
      </c>
      <c r="E350" s="1">
        <v>120</v>
      </c>
      <c r="F350" s="1">
        <v>102</v>
      </c>
      <c r="G350" s="1">
        <v>100</v>
      </c>
      <c r="H350" s="1">
        <v>100</v>
      </c>
      <c r="I350" s="1">
        <v>120</v>
      </c>
      <c r="J350" s="1">
        <v>0</v>
      </c>
      <c r="K350" s="1">
        <v>130</v>
      </c>
      <c r="L350" s="1">
        <v>710101</v>
      </c>
      <c r="M350" s="1">
        <v>0</v>
      </c>
      <c r="N350" s="1">
        <v>710119</v>
      </c>
      <c r="O350" s="1" t="s">
        <v>1470</v>
      </c>
      <c r="P350" s="1" t="s">
        <v>1471</v>
      </c>
      <c r="Q350" s="1" t="s">
        <v>1186</v>
      </c>
      <c r="R350" s="1" t="s">
        <v>1187</v>
      </c>
      <c r="S350" s="1" t="s">
        <v>1194</v>
      </c>
    </row>
    <row r="351" spans="1:19" x14ac:dyDescent="0.25">
      <c r="A351" s="1">
        <v>1018</v>
      </c>
      <c r="B351" s="9" t="s">
        <v>741</v>
      </c>
      <c r="C351" s="1">
        <v>1</v>
      </c>
      <c r="D351" s="1">
        <v>5</v>
      </c>
      <c r="E351" s="1">
        <v>128</v>
      </c>
      <c r="F351" s="1">
        <v>108</v>
      </c>
      <c r="G351" s="1">
        <v>100</v>
      </c>
      <c r="H351" s="1">
        <v>120</v>
      </c>
      <c r="I351" s="1">
        <v>105</v>
      </c>
      <c r="J351" s="1">
        <v>0</v>
      </c>
      <c r="K351" s="1">
        <v>118</v>
      </c>
      <c r="L351" s="1">
        <v>710401</v>
      </c>
      <c r="M351" s="1">
        <v>0</v>
      </c>
      <c r="N351" s="1">
        <v>710402</v>
      </c>
      <c r="O351" s="1" t="s">
        <v>1472</v>
      </c>
      <c r="P351" s="1" t="s">
        <v>1473</v>
      </c>
      <c r="Q351" s="1" t="s">
        <v>1186</v>
      </c>
      <c r="R351" s="1" t="s">
        <v>1187</v>
      </c>
      <c r="S351" s="1" t="s">
        <v>1188</v>
      </c>
    </row>
    <row r="352" spans="1:19" x14ac:dyDescent="0.25">
      <c r="A352" s="1">
        <v>1019</v>
      </c>
      <c r="B352" s="9" t="s">
        <v>731</v>
      </c>
      <c r="C352" s="1">
        <v>2</v>
      </c>
      <c r="D352" s="1">
        <v>5</v>
      </c>
      <c r="E352" s="1">
        <v>100</v>
      </c>
      <c r="F352" s="1">
        <v>95</v>
      </c>
      <c r="G352" s="1">
        <v>96</v>
      </c>
      <c r="H352" s="1">
        <v>105</v>
      </c>
      <c r="I352" s="1">
        <v>122</v>
      </c>
      <c r="J352" s="1">
        <v>0</v>
      </c>
      <c r="K352" s="1">
        <v>130</v>
      </c>
      <c r="L352" s="1">
        <v>710301</v>
      </c>
      <c r="M352" s="1">
        <v>0</v>
      </c>
      <c r="N352" s="1">
        <v>710307</v>
      </c>
      <c r="O352" s="1" t="s">
        <v>1475</v>
      </c>
      <c r="P352" s="1" t="s">
        <v>1476</v>
      </c>
      <c r="Q352" s="1" t="s">
        <v>1200</v>
      </c>
      <c r="R352" s="1" t="s">
        <v>1187</v>
      </c>
      <c r="S352" s="1" t="s">
        <v>1201</v>
      </c>
    </row>
    <row r="353" spans="1:19" x14ac:dyDescent="0.25">
      <c r="A353" s="1">
        <v>1020</v>
      </c>
      <c r="B353" s="9" t="s">
        <v>746</v>
      </c>
      <c r="C353" s="1">
        <v>3</v>
      </c>
      <c r="D353" s="1">
        <v>5</v>
      </c>
      <c r="E353" s="1">
        <v>102</v>
      </c>
      <c r="F353" s="1">
        <v>102</v>
      </c>
      <c r="G353" s="1">
        <v>102</v>
      </c>
      <c r="H353" s="1">
        <v>118</v>
      </c>
      <c r="I353" s="1">
        <v>100</v>
      </c>
      <c r="J353" s="1">
        <v>0</v>
      </c>
      <c r="K353" s="1">
        <v>130</v>
      </c>
      <c r="L353" s="1">
        <v>710501</v>
      </c>
      <c r="M353" s="1">
        <v>0</v>
      </c>
      <c r="N353" s="1">
        <v>710502</v>
      </c>
      <c r="O353" s="1" t="s">
        <v>1477</v>
      </c>
      <c r="P353" s="1" t="s">
        <v>1478</v>
      </c>
      <c r="Q353" s="1" t="s">
        <v>1212</v>
      </c>
      <c r="R353" s="1" t="s">
        <v>1213</v>
      </c>
      <c r="S353" s="1" t="s">
        <v>1479</v>
      </c>
    </row>
    <row r="354" spans="1:19" x14ac:dyDescent="0.25">
      <c r="A354" s="1">
        <v>1021</v>
      </c>
      <c r="B354" s="9" t="s">
        <v>747</v>
      </c>
      <c r="C354" s="1">
        <v>5</v>
      </c>
      <c r="D354" s="1">
        <v>5</v>
      </c>
      <c r="E354" s="1">
        <v>118</v>
      </c>
      <c r="F354" s="1">
        <v>108</v>
      </c>
      <c r="G354" s="1">
        <v>120</v>
      </c>
      <c r="H354" s="1">
        <v>120</v>
      </c>
      <c r="I354" s="1">
        <v>90</v>
      </c>
      <c r="J354" s="1">
        <v>0</v>
      </c>
      <c r="K354" s="1">
        <v>122</v>
      </c>
      <c r="L354" s="1">
        <v>710601</v>
      </c>
      <c r="M354" s="1">
        <v>0</v>
      </c>
      <c r="N354" s="1">
        <v>710608</v>
      </c>
      <c r="O354" s="1" t="s">
        <v>1480</v>
      </c>
      <c r="P354" s="1" t="s">
        <v>1481</v>
      </c>
      <c r="Q354" s="1" t="s">
        <v>1245</v>
      </c>
      <c r="R354" s="1" t="s">
        <v>1246</v>
      </c>
      <c r="S354" s="1" t="s">
        <v>1251</v>
      </c>
    </row>
    <row r="355" spans="1:19" x14ac:dyDescent="0.25">
      <c r="A355" s="1">
        <v>1022</v>
      </c>
      <c r="B355" s="9" t="s">
        <v>745</v>
      </c>
      <c r="C355" s="1">
        <v>6</v>
      </c>
      <c r="D355" s="1">
        <v>5</v>
      </c>
      <c r="E355" s="1">
        <v>122</v>
      </c>
      <c r="F355" s="1">
        <v>128</v>
      </c>
      <c r="G355" s="1">
        <v>95</v>
      </c>
      <c r="H355" s="1">
        <v>132</v>
      </c>
      <c r="I355" s="1">
        <v>110</v>
      </c>
      <c r="J355" s="1">
        <v>122</v>
      </c>
      <c r="K355" s="1">
        <v>105</v>
      </c>
      <c r="L355" s="1">
        <v>710201</v>
      </c>
      <c r="M355" s="1">
        <v>0</v>
      </c>
      <c r="N355" s="1">
        <v>710204</v>
      </c>
      <c r="O355" s="1" t="s">
        <v>1482</v>
      </c>
      <c r="P355" s="1" t="s">
        <v>1483</v>
      </c>
      <c r="Q355" s="1" t="s">
        <v>1484</v>
      </c>
      <c r="R355" s="1" t="s">
        <v>1281</v>
      </c>
      <c r="S355" s="1" t="s">
        <v>1282</v>
      </c>
    </row>
    <row r="356" spans="1:19" x14ac:dyDescent="0.25">
      <c r="A356" s="1">
        <v>1023</v>
      </c>
      <c r="B356" s="9" t="s">
        <v>252</v>
      </c>
      <c r="C356" s="1">
        <v>2</v>
      </c>
      <c r="D356" s="1">
        <v>5</v>
      </c>
      <c r="E356" s="1">
        <v>108</v>
      </c>
      <c r="F356" s="1">
        <v>112</v>
      </c>
      <c r="G356" s="1">
        <v>115</v>
      </c>
      <c r="H356" s="1">
        <v>120</v>
      </c>
      <c r="I356" s="1">
        <v>126</v>
      </c>
      <c r="J356" s="1">
        <v>0</v>
      </c>
      <c r="K356" s="1">
        <v>118</v>
      </c>
      <c r="L356" s="1">
        <v>900680</v>
      </c>
      <c r="M356" s="1">
        <v>0</v>
      </c>
      <c r="N356" s="1">
        <v>300102</v>
      </c>
      <c r="O356" s="1" t="s">
        <v>1485</v>
      </c>
      <c r="P356" s="1" t="s">
        <v>1486</v>
      </c>
      <c r="Q356" s="1" t="s">
        <v>1200</v>
      </c>
      <c r="R356" s="1" t="s">
        <v>1187</v>
      </c>
      <c r="S356" s="1" t="s">
        <v>1201</v>
      </c>
    </row>
    <row r="357" spans="1:19" x14ac:dyDescent="0.25">
      <c r="A357" s="1">
        <v>1024</v>
      </c>
      <c r="B357" s="9" t="s">
        <v>253</v>
      </c>
      <c r="C357" s="1">
        <v>3</v>
      </c>
      <c r="D357" s="1">
        <v>5</v>
      </c>
      <c r="E357" s="1">
        <v>90</v>
      </c>
      <c r="F357" s="1">
        <v>120</v>
      </c>
      <c r="G357" s="1">
        <v>110</v>
      </c>
      <c r="H357" s="1">
        <v>120</v>
      </c>
      <c r="I357" s="1">
        <v>100</v>
      </c>
      <c r="J357" s="1">
        <v>0</v>
      </c>
      <c r="K357" s="1">
        <v>120</v>
      </c>
      <c r="L357" s="1">
        <v>900692</v>
      </c>
      <c r="M357" s="1">
        <v>0</v>
      </c>
      <c r="N357" s="1">
        <v>900690</v>
      </c>
      <c r="O357" s="1" t="s">
        <v>333</v>
      </c>
      <c r="P357" s="1" t="s">
        <v>1487</v>
      </c>
      <c r="Q357" s="1" t="s">
        <v>1212</v>
      </c>
      <c r="R357" s="1" t="s">
        <v>1213</v>
      </c>
      <c r="S357" s="1" t="s">
        <v>1479</v>
      </c>
    </row>
    <row r="358" spans="1:19" x14ac:dyDescent="0.25">
      <c r="A358" s="1">
        <v>1025</v>
      </c>
      <c r="B358" s="9" t="s">
        <v>254</v>
      </c>
      <c r="C358" s="1">
        <v>6</v>
      </c>
      <c r="D358" s="1">
        <v>5</v>
      </c>
      <c r="E358" s="1">
        <v>115</v>
      </c>
      <c r="F358" s="1">
        <v>120</v>
      </c>
      <c r="G358" s="1">
        <v>100</v>
      </c>
      <c r="H358" s="1">
        <v>100</v>
      </c>
      <c r="I358" s="1">
        <v>95</v>
      </c>
      <c r="J358" s="1">
        <v>115</v>
      </c>
      <c r="K358" s="1">
        <v>110</v>
      </c>
      <c r="L358" s="1">
        <v>900704</v>
      </c>
      <c r="M358" s="1">
        <v>0</v>
      </c>
      <c r="N358" s="1">
        <v>900700</v>
      </c>
      <c r="O358" s="1" t="s">
        <v>1488</v>
      </c>
      <c r="P358" s="1" t="s">
        <v>1489</v>
      </c>
      <c r="Q358" s="1" t="s">
        <v>1280</v>
      </c>
      <c r="R358" s="1" t="s">
        <v>1281</v>
      </c>
      <c r="S358" s="1" t="s">
        <v>1282</v>
      </c>
    </row>
    <row r="359" spans="1:19" x14ac:dyDescent="0.25">
      <c r="A359" s="1">
        <v>1026</v>
      </c>
      <c r="B359" s="9" t="s">
        <v>255</v>
      </c>
      <c r="C359" s="1">
        <v>5</v>
      </c>
      <c r="D359" s="1">
        <v>5</v>
      </c>
      <c r="E359" s="1">
        <v>95</v>
      </c>
      <c r="F359" s="1">
        <v>90</v>
      </c>
      <c r="G359" s="1">
        <v>125</v>
      </c>
      <c r="H359" s="1">
        <v>125</v>
      </c>
      <c r="I359" s="1">
        <v>130</v>
      </c>
      <c r="J359" s="1">
        <v>0</v>
      </c>
      <c r="K359" s="1">
        <v>135</v>
      </c>
      <c r="L359" s="1">
        <v>900713</v>
      </c>
      <c r="M359" s="1">
        <v>0</v>
      </c>
      <c r="N359" s="1">
        <v>900710</v>
      </c>
      <c r="O359" s="1" t="s">
        <v>1490</v>
      </c>
      <c r="P359" s="1" t="s">
        <v>1491</v>
      </c>
      <c r="Q359" s="1" t="s">
        <v>1245</v>
      </c>
      <c r="R359" s="1" t="s">
        <v>1246</v>
      </c>
      <c r="S359" s="1" t="s">
        <v>1247</v>
      </c>
    </row>
    <row r="360" spans="1:19" x14ac:dyDescent="0.25">
      <c r="A360" s="1">
        <v>1027</v>
      </c>
      <c r="B360" s="9" t="s">
        <v>256</v>
      </c>
      <c r="C360" s="1">
        <v>4</v>
      </c>
      <c r="D360" s="1">
        <v>5</v>
      </c>
      <c r="E360" s="1">
        <v>110</v>
      </c>
      <c r="F360" s="1">
        <v>118</v>
      </c>
      <c r="G360" s="1">
        <v>110</v>
      </c>
      <c r="H360" s="1">
        <v>132</v>
      </c>
      <c r="I360" s="1">
        <v>105</v>
      </c>
      <c r="J360" s="1">
        <v>0</v>
      </c>
      <c r="K360" s="1">
        <v>125</v>
      </c>
      <c r="L360" s="1">
        <v>900721</v>
      </c>
      <c r="M360" s="1">
        <v>0</v>
      </c>
      <c r="N360" s="1">
        <v>900720</v>
      </c>
      <c r="O360" s="1" t="s">
        <v>1492</v>
      </c>
      <c r="P360" s="1" t="s">
        <v>1493</v>
      </c>
      <c r="Q360" s="1" t="s">
        <v>1201</v>
      </c>
      <c r="R360" s="1" t="s">
        <v>1226</v>
      </c>
      <c r="S360" s="1" t="s">
        <v>1229</v>
      </c>
    </row>
    <row r="361" spans="1:19" x14ac:dyDescent="0.25">
      <c r="A361" s="1">
        <v>1028</v>
      </c>
      <c r="B361" s="9" t="s">
        <v>1794</v>
      </c>
      <c r="C361" s="1">
        <v>2</v>
      </c>
      <c r="D361" s="1">
        <v>5</v>
      </c>
      <c r="E361" s="1">
        <v>105</v>
      </c>
      <c r="F361" s="1">
        <v>115</v>
      </c>
      <c r="G361" s="1">
        <v>130</v>
      </c>
      <c r="H361" s="1">
        <v>90</v>
      </c>
      <c r="I361" s="1">
        <v>120</v>
      </c>
      <c r="J361" s="1">
        <v>0</v>
      </c>
      <c r="K361" s="1">
        <v>105</v>
      </c>
      <c r="L361" s="1">
        <v>900991</v>
      </c>
      <c r="M361" s="1">
        <v>0</v>
      </c>
      <c r="N361" s="1">
        <v>300102</v>
      </c>
      <c r="O361" s="1" t="s">
        <v>333</v>
      </c>
      <c r="P361" s="1" t="s">
        <v>1494</v>
      </c>
      <c r="Q361" s="1" t="s">
        <v>1200</v>
      </c>
      <c r="R361" s="1" t="s">
        <v>1187</v>
      </c>
      <c r="S361" s="1" t="s">
        <v>1201</v>
      </c>
    </row>
    <row r="362" spans="1:19" x14ac:dyDescent="0.25">
      <c r="A362" s="1">
        <v>1029</v>
      </c>
      <c r="B362" s="9" t="s">
        <v>1795</v>
      </c>
      <c r="C362" s="1">
        <v>4</v>
      </c>
      <c r="D362" s="1">
        <v>5</v>
      </c>
      <c r="E362" s="1">
        <v>110</v>
      </c>
      <c r="F362" s="1">
        <v>115</v>
      </c>
      <c r="G362" s="1">
        <v>115</v>
      </c>
      <c r="H362" s="1">
        <v>115</v>
      </c>
      <c r="I362" s="1">
        <v>110</v>
      </c>
      <c r="J362" s="1">
        <v>0</v>
      </c>
      <c r="K362" s="1">
        <v>115</v>
      </c>
      <c r="L362" s="1">
        <v>901011</v>
      </c>
      <c r="M362" s="1">
        <v>0</v>
      </c>
      <c r="N362" s="1">
        <v>300103</v>
      </c>
      <c r="O362" s="1" t="s">
        <v>333</v>
      </c>
      <c r="P362" s="1" t="s">
        <v>1495</v>
      </c>
      <c r="Q362" s="1" t="s">
        <v>1201</v>
      </c>
      <c r="R362" s="1" t="s">
        <v>1226</v>
      </c>
      <c r="S362" s="1" t="s">
        <v>1229</v>
      </c>
    </row>
    <row r="363" spans="1:19" x14ac:dyDescent="0.25">
      <c r="A363" s="1">
        <v>1030</v>
      </c>
      <c r="B363" s="9" t="s">
        <v>1797</v>
      </c>
      <c r="C363" s="1">
        <v>2</v>
      </c>
      <c r="D363" s="1">
        <v>5</v>
      </c>
      <c r="E363" s="1">
        <v>115</v>
      </c>
      <c r="F363" s="1">
        <v>90</v>
      </c>
      <c r="G363" s="1">
        <v>100</v>
      </c>
      <c r="H363" s="1">
        <v>95</v>
      </c>
      <c r="I363" s="1">
        <v>110</v>
      </c>
      <c r="J363" s="1">
        <v>0</v>
      </c>
      <c r="K363" s="1">
        <v>125</v>
      </c>
      <c r="L363" s="1">
        <v>116401</v>
      </c>
      <c r="M363" s="1">
        <v>0</v>
      </c>
      <c r="N363" s="1">
        <v>116402</v>
      </c>
      <c r="O363" s="1" t="s">
        <v>1496</v>
      </c>
      <c r="P363" s="1" t="s">
        <v>333</v>
      </c>
      <c r="Q363" s="1" t="s">
        <v>1200</v>
      </c>
      <c r="R363" s="1" t="s">
        <v>1187</v>
      </c>
      <c r="S363" s="1" t="s">
        <v>1201</v>
      </c>
    </row>
    <row r="364" spans="1:19" x14ac:dyDescent="0.25">
      <c r="A364" s="1">
        <v>1031</v>
      </c>
      <c r="B364" s="9" t="s">
        <v>1497</v>
      </c>
      <c r="C364" s="1">
        <v>3</v>
      </c>
      <c r="D364" s="1">
        <v>5</v>
      </c>
      <c r="E364" s="1">
        <v>100</v>
      </c>
      <c r="F364" s="1">
        <v>100</v>
      </c>
      <c r="G364" s="1">
        <v>100</v>
      </c>
      <c r="H364" s="1">
        <v>100</v>
      </c>
      <c r="I364" s="1">
        <v>100</v>
      </c>
      <c r="J364" s="1">
        <v>0</v>
      </c>
      <c r="K364" s="1">
        <v>150</v>
      </c>
      <c r="L364" s="1">
        <v>116701</v>
      </c>
      <c r="M364" s="1">
        <v>0</v>
      </c>
      <c r="N364" s="1">
        <v>116705</v>
      </c>
      <c r="O364" s="1" t="s">
        <v>1498</v>
      </c>
      <c r="P364" s="1" t="s">
        <v>1499</v>
      </c>
      <c r="Q364" s="1" t="s">
        <v>1212</v>
      </c>
      <c r="R364" s="1" t="s">
        <v>1213</v>
      </c>
      <c r="S364" s="1" t="s">
        <v>1479</v>
      </c>
    </row>
    <row r="365" spans="1:19" x14ac:dyDescent="0.25">
      <c r="A365" s="1">
        <v>1032</v>
      </c>
      <c r="B365" s="9" t="s">
        <v>1500</v>
      </c>
      <c r="C365" s="1">
        <v>4</v>
      </c>
      <c r="D365" s="1">
        <v>5</v>
      </c>
      <c r="E365" s="1">
        <v>110</v>
      </c>
      <c r="F365" s="1">
        <v>122</v>
      </c>
      <c r="G365" s="1">
        <v>105</v>
      </c>
      <c r="H365" s="1">
        <v>128</v>
      </c>
      <c r="I365" s="1">
        <v>105</v>
      </c>
      <c r="J365" s="1">
        <v>0</v>
      </c>
      <c r="K365" s="1">
        <v>130</v>
      </c>
      <c r="L365" s="1">
        <v>116601</v>
      </c>
      <c r="M365" s="1">
        <v>0</v>
      </c>
      <c r="N365" s="1">
        <v>116603</v>
      </c>
      <c r="O365" s="1" t="s">
        <v>333</v>
      </c>
      <c r="P365" s="1" t="s">
        <v>1501</v>
      </c>
      <c r="Q365" s="1" t="s">
        <v>1201</v>
      </c>
      <c r="R365" s="1" t="s">
        <v>1226</v>
      </c>
      <c r="S365" s="1" t="s">
        <v>1229</v>
      </c>
    </row>
    <row r="366" spans="1:19" x14ac:dyDescent="0.25">
      <c r="A366" s="1">
        <v>1033</v>
      </c>
      <c r="B366" s="9" t="s">
        <v>1796</v>
      </c>
      <c r="C366" s="1">
        <v>5</v>
      </c>
      <c r="D366" s="1">
        <v>5</v>
      </c>
      <c r="E366" s="1">
        <v>110</v>
      </c>
      <c r="F366" s="1">
        <v>115</v>
      </c>
      <c r="G366" s="1">
        <v>120</v>
      </c>
      <c r="H366" s="1">
        <v>115</v>
      </c>
      <c r="I366" s="1">
        <v>95</v>
      </c>
      <c r="J366" s="1">
        <v>0</v>
      </c>
      <c r="K366" s="1">
        <v>118</v>
      </c>
      <c r="L366" s="1">
        <v>116501</v>
      </c>
      <c r="M366" s="1">
        <v>0</v>
      </c>
      <c r="N366" s="1">
        <v>116503</v>
      </c>
      <c r="O366" s="1" t="s">
        <v>1502</v>
      </c>
      <c r="P366" s="1" t="s">
        <v>1503</v>
      </c>
      <c r="Q366" s="1" t="s">
        <v>1245</v>
      </c>
      <c r="R366" s="1" t="s">
        <v>1246</v>
      </c>
      <c r="S366" s="1" t="s">
        <v>1251</v>
      </c>
    </row>
    <row r="367" spans="1:19" x14ac:dyDescent="0.25">
      <c r="A367" s="1">
        <v>1034</v>
      </c>
      <c r="B367" s="9" t="s">
        <v>1504</v>
      </c>
      <c r="C367" s="1">
        <v>6</v>
      </c>
      <c r="D367" s="1">
        <v>5</v>
      </c>
      <c r="E367" s="1">
        <v>130</v>
      </c>
      <c r="F367" s="1">
        <v>130</v>
      </c>
      <c r="G367" s="1">
        <v>90</v>
      </c>
      <c r="H367" s="1">
        <v>95</v>
      </c>
      <c r="I367" s="1">
        <v>90</v>
      </c>
      <c r="J367" s="1">
        <v>122</v>
      </c>
      <c r="K367" s="1">
        <v>108</v>
      </c>
      <c r="L367" s="1">
        <v>116801</v>
      </c>
      <c r="M367" s="1">
        <v>0</v>
      </c>
      <c r="N367" s="1">
        <v>116806</v>
      </c>
      <c r="O367" s="1" t="s">
        <v>1505</v>
      </c>
      <c r="P367" s="1" t="s">
        <v>1506</v>
      </c>
      <c r="Q367" s="1" t="s">
        <v>1484</v>
      </c>
      <c r="R367" s="1" t="s">
        <v>1281</v>
      </c>
      <c r="S367" s="1" t="s">
        <v>1282</v>
      </c>
    </row>
    <row r="368" spans="1:19" x14ac:dyDescent="0.25">
      <c r="A368" s="1">
        <v>20001</v>
      </c>
      <c r="B368" s="9" t="s">
        <v>271</v>
      </c>
      <c r="C368" s="1">
        <v>1</v>
      </c>
      <c r="D368" s="1">
        <v>5</v>
      </c>
      <c r="E368" s="1">
        <v>122</v>
      </c>
      <c r="F368" s="1">
        <v>125</v>
      </c>
      <c r="G368" s="1">
        <v>89</v>
      </c>
      <c r="H368" s="1">
        <v>90</v>
      </c>
      <c r="I368" s="1">
        <v>95</v>
      </c>
      <c r="J368" s="1">
        <v>0</v>
      </c>
      <c r="K368" s="1">
        <v>130</v>
      </c>
      <c r="L368" s="1">
        <v>801702</v>
      </c>
      <c r="M368" s="1">
        <v>801701</v>
      </c>
      <c r="N368" s="1">
        <v>300115</v>
      </c>
      <c r="O368" s="1" t="s">
        <v>333</v>
      </c>
      <c r="P368" s="1" t="s">
        <v>333</v>
      </c>
      <c r="Q368" s="1" t="s">
        <v>1186</v>
      </c>
      <c r="R368" s="1" t="s">
        <v>1187</v>
      </c>
      <c r="S368" s="1" t="s">
        <v>1188</v>
      </c>
    </row>
    <row r="369" spans="1:19" x14ac:dyDescent="0.25">
      <c r="A369" s="1">
        <v>20002</v>
      </c>
      <c r="B369" s="9" t="s">
        <v>257</v>
      </c>
      <c r="C369" s="1">
        <v>1</v>
      </c>
      <c r="D369" s="1">
        <v>4</v>
      </c>
      <c r="E369" s="1">
        <v>110</v>
      </c>
      <c r="F369" s="1">
        <v>100</v>
      </c>
      <c r="G369" s="1">
        <v>106</v>
      </c>
      <c r="H369" s="1">
        <v>100</v>
      </c>
      <c r="I369" s="1">
        <v>100</v>
      </c>
      <c r="J369" s="1">
        <v>0</v>
      </c>
      <c r="K369" s="1">
        <v>120</v>
      </c>
      <c r="L369" s="1">
        <v>800101</v>
      </c>
      <c r="M369" s="1">
        <v>800102</v>
      </c>
      <c r="N369" s="1">
        <v>300101</v>
      </c>
      <c r="O369" s="1" t="s">
        <v>1241</v>
      </c>
      <c r="P369" s="1" t="s">
        <v>1508</v>
      </c>
      <c r="Q369" s="1" t="s">
        <v>1186</v>
      </c>
      <c r="R369" s="1" t="s">
        <v>1187</v>
      </c>
      <c r="S369" s="1" t="s">
        <v>1188</v>
      </c>
    </row>
    <row r="370" spans="1:19" x14ac:dyDescent="0.25">
      <c r="A370" s="1">
        <v>20005</v>
      </c>
      <c r="B370" s="9" t="s">
        <v>797</v>
      </c>
      <c r="C370" s="1">
        <v>1</v>
      </c>
      <c r="D370" s="1">
        <v>4</v>
      </c>
      <c r="E370" s="1">
        <v>105</v>
      </c>
      <c r="F370" s="1">
        <v>115</v>
      </c>
      <c r="G370" s="1">
        <v>80</v>
      </c>
      <c r="H370" s="1">
        <v>85</v>
      </c>
      <c r="I370" s="1">
        <v>120</v>
      </c>
      <c r="J370" s="1">
        <v>0</v>
      </c>
      <c r="K370" s="1">
        <v>130</v>
      </c>
      <c r="L370" s="1">
        <v>800505</v>
      </c>
      <c r="M370" s="1">
        <v>800504</v>
      </c>
      <c r="N370" s="1">
        <v>800503</v>
      </c>
      <c r="O370" s="1" t="s">
        <v>1509</v>
      </c>
      <c r="P370" s="1" t="s">
        <v>333</v>
      </c>
      <c r="Q370" s="1" t="s">
        <v>1186</v>
      </c>
      <c r="R370" s="1" t="s">
        <v>1187</v>
      </c>
      <c r="S370" s="1" t="s">
        <v>1188</v>
      </c>
    </row>
    <row r="371" spans="1:19" x14ac:dyDescent="0.25">
      <c r="A371" s="1">
        <v>20007</v>
      </c>
      <c r="B371" s="9" t="s">
        <v>749</v>
      </c>
      <c r="C371" s="1">
        <v>1</v>
      </c>
      <c r="D371" s="1">
        <v>5</v>
      </c>
      <c r="E371" s="1">
        <v>125</v>
      </c>
      <c r="F371" s="1">
        <v>115</v>
      </c>
      <c r="G371" s="1">
        <v>125</v>
      </c>
      <c r="H371" s="1">
        <v>105</v>
      </c>
      <c r="I371" s="1">
        <v>95</v>
      </c>
      <c r="J371" s="1">
        <v>0</v>
      </c>
      <c r="K371" s="1">
        <v>110</v>
      </c>
      <c r="L371" s="1">
        <v>900270</v>
      </c>
      <c r="M371" s="1">
        <v>900274</v>
      </c>
      <c r="N371" s="1">
        <v>900271</v>
      </c>
      <c r="O371" s="1" t="s">
        <v>333</v>
      </c>
      <c r="P371" s="1" t="s">
        <v>1510</v>
      </c>
      <c r="Q371" s="1" t="s">
        <v>1186</v>
      </c>
      <c r="R371" s="1" t="s">
        <v>1187</v>
      </c>
      <c r="S371" s="1" t="s">
        <v>1194</v>
      </c>
    </row>
    <row r="372" spans="1:19" x14ac:dyDescent="0.25">
      <c r="A372" s="1">
        <v>20008</v>
      </c>
      <c r="B372" s="9" t="s">
        <v>964</v>
      </c>
      <c r="C372" s="1">
        <v>1</v>
      </c>
      <c r="D372" s="1">
        <v>4</v>
      </c>
      <c r="E372" s="1">
        <v>100</v>
      </c>
      <c r="F372" s="1">
        <v>97</v>
      </c>
      <c r="G372" s="1">
        <v>110</v>
      </c>
      <c r="H372" s="1">
        <v>115</v>
      </c>
      <c r="I372" s="1">
        <v>125</v>
      </c>
      <c r="J372" s="1">
        <v>0</v>
      </c>
      <c r="K372" s="1">
        <v>130</v>
      </c>
      <c r="L372" s="1">
        <v>803601</v>
      </c>
      <c r="M372" s="1">
        <v>803604</v>
      </c>
      <c r="N372" s="1">
        <v>300115</v>
      </c>
      <c r="O372" s="1" t="s">
        <v>1511</v>
      </c>
      <c r="P372" s="1" t="s">
        <v>1512</v>
      </c>
      <c r="Q372" s="1" t="s">
        <v>1186</v>
      </c>
      <c r="R372" s="1" t="s">
        <v>1187</v>
      </c>
      <c r="S372" s="1" t="s">
        <v>1188</v>
      </c>
    </row>
    <row r="373" spans="1:19" x14ac:dyDescent="0.25">
      <c r="A373" s="1">
        <v>20012</v>
      </c>
      <c r="B373" s="9" t="s">
        <v>755</v>
      </c>
      <c r="C373" s="1">
        <v>1</v>
      </c>
      <c r="D373" s="1">
        <v>4</v>
      </c>
      <c r="E373" s="1">
        <v>125</v>
      </c>
      <c r="F373" s="1">
        <v>118</v>
      </c>
      <c r="G373" s="1">
        <v>120</v>
      </c>
      <c r="H373" s="1">
        <v>108</v>
      </c>
      <c r="I373" s="1">
        <v>100</v>
      </c>
      <c r="J373" s="1">
        <v>0</v>
      </c>
      <c r="K373" s="1">
        <v>108</v>
      </c>
      <c r="L373" s="1">
        <v>900268</v>
      </c>
      <c r="M373" s="1">
        <v>900269</v>
      </c>
      <c r="N373" s="1">
        <v>300101</v>
      </c>
      <c r="O373" s="1" t="s">
        <v>333</v>
      </c>
      <c r="P373" s="1" t="s">
        <v>333</v>
      </c>
      <c r="Q373" s="1" t="s">
        <v>1186</v>
      </c>
      <c r="R373" s="1" t="s">
        <v>1187</v>
      </c>
      <c r="S373" s="1" t="s">
        <v>1188</v>
      </c>
    </row>
    <row r="374" spans="1:19" x14ac:dyDescent="0.25">
      <c r="A374" s="1">
        <v>20026</v>
      </c>
      <c r="B374" s="9" t="s">
        <v>1513</v>
      </c>
      <c r="C374" s="1">
        <v>2</v>
      </c>
      <c r="D374" s="1">
        <v>5</v>
      </c>
      <c r="E374" s="1">
        <v>100</v>
      </c>
      <c r="F374" s="1">
        <v>120</v>
      </c>
      <c r="G374" s="1">
        <v>115</v>
      </c>
      <c r="H374" s="1">
        <v>115</v>
      </c>
      <c r="I374" s="1">
        <v>115</v>
      </c>
      <c r="J374" s="1">
        <v>0</v>
      </c>
      <c r="K374" s="1">
        <v>105</v>
      </c>
      <c r="L374" s="1">
        <v>802301</v>
      </c>
      <c r="M374" s="1">
        <v>802303</v>
      </c>
      <c r="N374" s="1">
        <v>300102</v>
      </c>
      <c r="O374" s="1" t="s">
        <v>1514</v>
      </c>
      <c r="P374" s="1" t="s">
        <v>333</v>
      </c>
      <c r="Q374" s="1" t="s">
        <v>1200</v>
      </c>
      <c r="R374" s="1" t="s">
        <v>1187</v>
      </c>
      <c r="S374" s="1" t="s">
        <v>1201</v>
      </c>
    </row>
    <row r="375" spans="1:19" x14ac:dyDescent="0.25">
      <c r="A375" s="1">
        <v>20029</v>
      </c>
      <c r="B375" s="9" t="s">
        <v>841</v>
      </c>
      <c r="C375" s="1">
        <v>2</v>
      </c>
      <c r="D375" s="1">
        <v>4</v>
      </c>
      <c r="E375" s="1">
        <v>108</v>
      </c>
      <c r="F375" s="1">
        <v>100</v>
      </c>
      <c r="G375" s="1">
        <v>105</v>
      </c>
      <c r="H375" s="1">
        <v>120</v>
      </c>
      <c r="I375" s="1">
        <v>110</v>
      </c>
      <c r="J375" s="1">
        <v>0</v>
      </c>
      <c r="K375" s="1">
        <v>125</v>
      </c>
      <c r="L375" s="1">
        <v>802001</v>
      </c>
      <c r="M375" s="1">
        <v>802002</v>
      </c>
      <c r="N375" s="1">
        <v>300102</v>
      </c>
      <c r="O375" s="1" t="s">
        <v>1515</v>
      </c>
      <c r="P375" s="1" t="s">
        <v>333</v>
      </c>
      <c r="Q375" s="1" t="s">
        <v>1200</v>
      </c>
      <c r="R375" s="1" t="s">
        <v>1187</v>
      </c>
      <c r="S375" s="1" t="s">
        <v>1201</v>
      </c>
    </row>
    <row r="376" spans="1:19" x14ac:dyDescent="0.25">
      <c r="A376" s="1">
        <v>20031</v>
      </c>
      <c r="B376" s="9" t="s">
        <v>723</v>
      </c>
      <c r="C376" s="1">
        <v>2</v>
      </c>
      <c r="D376" s="1">
        <v>4</v>
      </c>
      <c r="E376" s="1">
        <v>120</v>
      </c>
      <c r="F376" s="1">
        <v>125</v>
      </c>
      <c r="G376" s="1">
        <v>100</v>
      </c>
      <c r="H376" s="1">
        <v>95</v>
      </c>
      <c r="I376" s="1">
        <v>94</v>
      </c>
      <c r="J376" s="1">
        <v>0</v>
      </c>
      <c r="K376" s="1">
        <v>110</v>
      </c>
      <c r="L376" s="1">
        <v>900266</v>
      </c>
      <c r="M376" s="1">
        <v>900267</v>
      </c>
      <c r="N376" s="1">
        <v>300102</v>
      </c>
      <c r="O376" s="1" t="s">
        <v>333</v>
      </c>
      <c r="P376" s="1" t="s">
        <v>1209</v>
      </c>
      <c r="Q376" s="1" t="s">
        <v>1200</v>
      </c>
      <c r="R376" s="1" t="s">
        <v>1187</v>
      </c>
      <c r="S376" s="1" t="s">
        <v>1201</v>
      </c>
    </row>
    <row r="377" spans="1:19" x14ac:dyDescent="0.25">
      <c r="A377" s="1">
        <v>20032</v>
      </c>
      <c r="B377" s="9" t="s">
        <v>258</v>
      </c>
      <c r="C377" s="1">
        <v>2</v>
      </c>
      <c r="D377" s="1">
        <v>4</v>
      </c>
      <c r="E377" s="1">
        <v>98</v>
      </c>
      <c r="F377" s="1">
        <v>93</v>
      </c>
      <c r="G377" s="1">
        <v>130</v>
      </c>
      <c r="H377" s="1">
        <v>95</v>
      </c>
      <c r="I377" s="1">
        <v>125</v>
      </c>
      <c r="J377" s="1">
        <v>0</v>
      </c>
      <c r="K377" s="1">
        <v>115</v>
      </c>
      <c r="L377" s="1">
        <v>802701</v>
      </c>
      <c r="M377" s="1">
        <v>802710</v>
      </c>
      <c r="N377" s="1">
        <v>300102</v>
      </c>
      <c r="O377" s="1" t="s">
        <v>1241</v>
      </c>
      <c r="P377" s="1" t="s">
        <v>1516</v>
      </c>
      <c r="Q377" s="1" t="s">
        <v>1200</v>
      </c>
      <c r="R377" s="1" t="s">
        <v>1187</v>
      </c>
      <c r="S377" s="1" t="s">
        <v>1201</v>
      </c>
    </row>
    <row r="378" spans="1:19" x14ac:dyDescent="0.25">
      <c r="A378" s="1">
        <v>20037</v>
      </c>
      <c r="B378" s="9" t="s">
        <v>259</v>
      </c>
      <c r="C378" s="1">
        <v>3</v>
      </c>
      <c r="D378" s="1">
        <v>4</v>
      </c>
      <c r="E378" s="1">
        <v>95</v>
      </c>
      <c r="F378" s="1">
        <v>105</v>
      </c>
      <c r="G378" s="1">
        <v>130</v>
      </c>
      <c r="H378" s="1">
        <v>115</v>
      </c>
      <c r="I378" s="1">
        <v>85</v>
      </c>
      <c r="J378" s="1">
        <v>0</v>
      </c>
      <c r="K378" s="1">
        <v>110</v>
      </c>
      <c r="L378" s="1">
        <v>801901</v>
      </c>
      <c r="M378" s="1">
        <v>801902</v>
      </c>
      <c r="N378" s="1">
        <v>300104</v>
      </c>
      <c r="O378" s="1" t="s">
        <v>333</v>
      </c>
      <c r="P378" s="1" t="s">
        <v>333</v>
      </c>
      <c r="Q378" s="1" t="s">
        <v>1212</v>
      </c>
      <c r="R378" s="1" t="s">
        <v>1213</v>
      </c>
      <c r="S378" s="1" t="s">
        <v>1214</v>
      </c>
    </row>
    <row r="379" spans="1:19" x14ac:dyDescent="0.25">
      <c r="A379" s="1">
        <v>20039</v>
      </c>
      <c r="B379" s="9" t="s">
        <v>1785</v>
      </c>
      <c r="C379" s="1">
        <v>3</v>
      </c>
      <c r="D379" s="1">
        <v>5</v>
      </c>
      <c r="E379" s="1">
        <v>100</v>
      </c>
      <c r="F379" s="1">
        <v>115</v>
      </c>
      <c r="G379" s="1">
        <v>85</v>
      </c>
      <c r="H379" s="1">
        <v>120</v>
      </c>
      <c r="I379" s="1">
        <v>105</v>
      </c>
      <c r="J379" s="1">
        <v>0</v>
      </c>
      <c r="K379" s="1">
        <v>130</v>
      </c>
      <c r="L379" s="1">
        <v>800605</v>
      </c>
      <c r="M379" s="1">
        <v>800602</v>
      </c>
      <c r="N379" s="1">
        <v>800601</v>
      </c>
      <c r="O379" s="1" t="s">
        <v>1217</v>
      </c>
      <c r="P379" s="1" t="s">
        <v>1517</v>
      </c>
      <c r="Q379" s="1" t="s">
        <v>1212</v>
      </c>
      <c r="R379" s="1" t="s">
        <v>1213</v>
      </c>
      <c r="S379" s="1" t="s">
        <v>1214</v>
      </c>
    </row>
    <row r="380" spans="1:19" x14ac:dyDescent="0.25">
      <c r="A380" s="1">
        <v>20044</v>
      </c>
      <c r="B380" s="9" t="s">
        <v>1786</v>
      </c>
      <c r="C380" s="1">
        <v>3</v>
      </c>
      <c r="D380" s="1">
        <v>4</v>
      </c>
      <c r="E380" s="1">
        <v>95</v>
      </c>
      <c r="F380" s="1">
        <v>118</v>
      </c>
      <c r="G380" s="1">
        <v>110</v>
      </c>
      <c r="H380" s="1">
        <v>122</v>
      </c>
      <c r="I380" s="1">
        <v>85</v>
      </c>
      <c r="J380" s="1">
        <v>0</v>
      </c>
      <c r="K380" s="1">
        <v>115</v>
      </c>
      <c r="L380" s="1">
        <v>801417</v>
      </c>
      <c r="M380" s="1">
        <v>801414</v>
      </c>
      <c r="N380" s="1">
        <v>300104</v>
      </c>
      <c r="O380" s="1" t="s">
        <v>1518</v>
      </c>
      <c r="P380" s="1" t="s">
        <v>1519</v>
      </c>
      <c r="Q380" s="1" t="s">
        <v>1212</v>
      </c>
      <c r="R380" s="1" t="s">
        <v>1213</v>
      </c>
      <c r="S380" s="1" t="s">
        <v>1214</v>
      </c>
    </row>
    <row r="381" spans="1:19" x14ac:dyDescent="0.25">
      <c r="A381" s="1">
        <v>20049</v>
      </c>
      <c r="B381" s="9" t="s">
        <v>842</v>
      </c>
      <c r="C381" s="1">
        <v>3</v>
      </c>
      <c r="D381" s="1">
        <v>4</v>
      </c>
      <c r="E381" s="1">
        <v>105</v>
      </c>
      <c r="F381" s="1">
        <v>105</v>
      </c>
      <c r="G381" s="1">
        <v>110</v>
      </c>
      <c r="H381" s="1">
        <v>110</v>
      </c>
      <c r="I381" s="1">
        <v>115</v>
      </c>
      <c r="J381" s="1">
        <v>0</v>
      </c>
      <c r="K381" s="1">
        <v>110</v>
      </c>
      <c r="L381" s="1">
        <v>992232</v>
      </c>
      <c r="M381" s="1">
        <v>902233</v>
      </c>
      <c r="N381" s="1">
        <v>902228</v>
      </c>
      <c r="O381" s="1" t="s">
        <v>1520</v>
      </c>
      <c r="P381" s="1" t="s">
        <v>333</v>
      </c>
      <c r="Q381" s="1" t="s">
        <v>1212</v>
      </c>
      <c r="R381" s="1" t="s">
        <v>1213</v>
      </c>
      <c r="S381" s="1" t="s">
        <v>1214</v>
      </c>
    </row>
    <row r="382" spans="1:19" x14ac:dyDescent="0.25">
      <c r="A382" s="1">
        <v>20051</v>
      </c>
      <c r="B382" s="9" t="s">
        <v>1521</v>
      </c>
      <c r="C382" s="1">
        <v>3</v>
      </c>
      <c r="D382" s="1">
        <v>4</v>
      </c>
      <c r="E382" s="1">
        <v>105</v>
      </c>
      <c r="F382" s="1">
        <v>110</v>
      </c>
      <c r="G382" s="1">
        <v>100</v>
      </c>
      <c r="H382" s="1">
        <v>95</v>
      </c>
      <c r="I382" s="1">
        <v>100</v>
      </c>
      <c r="J382" s="1">
        <v>0</v>
      </c>
      <c r="K382" s="1">
        <v>115</v>
      </c>
      <c r="L382" s="1">
        <v>800901</v>
      </c>
      <c r="M382" s="1">
        <v>800902</v>
      </c>
      <c r="N382" s="1">
        <v>300104</v>
      </c>
      <c r="O382" s="1" t="s">
        <v>333</v>
      </c>
      <c r="P382" s="1" t="s">
        <v>333</v>
      </c>
      <c r="Q382" s="1" t="s">
        <v>1212</v>
      </c>
      <c r="R382" s="1" t="s">
        <v>1213</v>
      </c>
      <c r="S382" s="1" t="s">
        <v>1214</v>
      </c>
    </row>
    <row r="383" spans="1:19" x14ac:dyDescent="0.25">
      <c r="A383" s="1">
        <v>20053</v>
      </c>
      <c r="B383" s="9" t="s">
        <v>1787</v>
      </c>
      <c r="C383" s="1">
        <v>3</v>
      </c>
      <c r="D383" s="1">
        <v>6</v>
      </c>
      <c r="E383" s="1">
        <v>105</v>
      </c>
      <c r="F383" s="1">
        <v>145</v>
      </c>
      <c r="G383" s="1">
        <v>90</v>
      </c>
      <c r="H383" s="1">
        <v>110</v>
      </c>
      <c r="I383" s="1">
        <v>80</v>
      </c>
      <c r="J383" s="1">
        <v>0</v>
      </c>
      <c r="K383" s="1">
        <v>130</v>
      </c>
      <c r="L383" s="1">
        <v>803101</v>
      </c>
      <c r="M383" s="1">
        <v>803105</v>
      </c>
      <c r="N383" s="1">
        <v>803106</v>
      </c>
      <c r="O383" s="1" t="s">
        <v>1522</v>
      </c>
      <c r="P383" s="1" t="s">
        <v>1523</v>
      </c>
      <c r="Q383" s="1" t="s">
        <v>1212</v>
      </c>
      <c r="R383" s="1" t="s">
        <v>1213</v>
      </c>
      <c r="S383" s="1" t="s">
        <v>1214</v>
      </c>
    </row>
    <row r="384" spans="1:19" x14ac:dyDescent="0.25">
      <c r="A384" s="1">
        <v>20055</v>
      </c>
      <c r="B384" s="9" t="s">
        <v>260</v>
      </c>
      <c r="C384" s="1">
        <v>4</v>
      </c>
      <c r="D384" s="1">
        <v>5</v>
      </c>
      <c r="E384" s="1">
        <v>100</v>
      </c>
      <c r="F384" s="1">
        <v>110</v>
      </c>
      <c r="G384" s="1">
        <v>120</v>
      </c>
      <c r="H384" s="1">
        <v>120</v>
      </c>
      <c r="I384" s="1">
        <v>120</v>
      </c>
      <c r="J384" s="1">
        <v>0</v>
      </c>
      <c r="K384" s="1">
        <v>115</v>
      </c>
      <c r="L384" s="1">
        <v>801101</v>
      </c>
      <c r="M384" s="1">
        <v>801108</v>
      </c>
      <c r="N384" s="1">
        <v>801102</v>
      </c>
      <c r="O384" s="1" t="s">
        <v>1524</v>
      </c>
      <c r="P384" s="1" t="s">
        <v>1507</v>
      </c>
      <c r="Q384" s="1" t="s">
        <v>1201</v>
      </c>
      <c r="R384" s="1" t="s">
        <v>1226</v>
      </c>
      <c r="S384" s="1" t="s">
        <v>1229</v>
      </c>
    </row>
    <row r="385" spans="1:19" x14ac:dyDescent="0.25">
      <c r="A385" s="1">
        <v>20056</v>
      </c>
      <c r="B385" s="9" t="s">
        <v>261</v>
      </c>
      <c r="C385" s="1">
        <v>4</v>
      </c>
      <c r="D385" s="1">
        <v>5</v>
      </c>
      <c r="E385" s="1">
        <v>100</v>
      </c>
      <c r="F385" s="1">
        <v>118</v>
      </c>
      <c r="G385" s="1">
        <v>120</v>
      </c>
      <c r="H385" s="1">
        <v>125</v>
      </c>
      <c r="I385" s="1">
        <v>115</v>
      </c>
      <c r="J385" s="1">
        <v>0</v>
      </c>
      <c r="K385" s="1">
        <v>110</v>
      </c>
      <c r="L385" s="1">
        <v>801601</v>
      </c>
      <c r="M385" s="1">
        <v>801602</v>
      </c>
      <c r="N385" s="1">
        <v>300103</v>
      </c>
      <c r="O385" s="1" t="s">
        <v>1525</v>
      </c>
      <c r="P385" s="1" t="s">
        <v>1526</v>
      </c>
      <c r="Q385" s="1" t="s">
        <v>1231</v>
      </c>
      <c r="R385" s="1" t="s">
        <v>1231</v>
      </c>
      <c r="S385" s="1" t="s">
        <v>1226</v>
      </c>
    </row>
    <row r="386" spans="1:19" x14ac:dyDescent="0.25">
      <c r="A386" s="1">
        <v>20057</v>
      </c>
      <c r="B386" s="9" t="s">
        <v>1788</v>
      </c>
      <c r="C386" s="1">
        <v>4</v>
      </c>
      <c r="D386" s="1">
        <v>5</v>
      </c>
      <c r="E386" s="1">
        <v>95</v>
      </c>
      <c r="F386" s="1">
        <v>106</v>
      </c>
      <c r="G386" s="1">
        <v>115</v>
      </c>
      <c r="H386" s="1">
        <v>125</v>
      </c>
      <c r="I386" s="1">
        <v>120</v>
      </c>
      <c r="J386" s="1">
        <v>0</v>
      </c>
      <c r="K386" s="1">
        <v>120</v>
      </c>
      <c r="L386" s="1">
        <v>801003</v>
      </c>
      <c r="M386" s="1">
        <v>801002</v>
      </c>
      <c r="N386" s="1">
        <v>801001</v>
      </c>
      <c r="O386" s="1" t="s">
        <v>1527</v>
      </c>
      <c r="P386" s="1" t="s">
        <v>1528</v>
      </c>
      <c r="Q386" s="1" t="s">
        <v>1231</v>
      </c>
      <c r="R386" s="1" t="s">
        <v>1231</v>
      </c>
      <c r="S386" s="1" t="s">
        <v>1226</v>
      </c>
    </row>
    <row r="387" spans="1:19" x14ac:dyDescent="0.25">
      <c r="A387" s="1">
        <v>20060</v>
      </c>
      <c r="B387" s="9" t="s">
        <v>262</v>
      </c>
      <c r="C387" s="1">
        <v>4</v>
      </c>
      <c r="D387" s="1">
        <v>5</v>
      </c>
      <c r="E387" s="1">
        <v>120</v>
      </c>
      <c r="F387" s="1">
        <v>94</v>
      </c>
      <c r="G387" s="1">
        <v>115</v>
      </c>
      <c r="H387" s="1">
        <v>125</v>
      </c>
      <c r="I387" s="1">
        <v>125</v>
      </c>
      <c r="J387" s="1">
        <v>0</v>
      </c>
      <c r="K387" s="1">
        <v>110</v>
      </c>
      <c r="L387" s="1">
        <v>802601</v>
      </c>
      <c r="M387" s="1">
        <v>802602</v>
      </c>
      <c r="N387" s="1">
        <v>802603</v>
      </c>
      <c r="O387" s="1" t="s">
        <v>333</v>
      </c>
      <c r="P387" s="1" t="s">
        <v>1529</v>
      </c>
      <c r="Q387" s="1" t="s">
        <v>1201</v>
      </c>
      <c r="R387" s="1" t="s">
        <v>1226</v>
      </c>
      <c r="S387" s="1" t="s">
        <v>1200</v>
      </c>
    </row>
    <row r="388" spans="1:19" x14ac:dyDescent="0.25">
      <c r="A388" s="1">
        <v>20061</v>
      </c>
      <c r="B388" s="9" t="s">
        <v>843</v>
      </c>
      <c r="C388" s="1">
        <v>4</v>
      </c>
      <c r="D388" s="1">
        <v>4</v>
      </c>
      <c r="E388" s="1">
        <v>115</v>
      </c>
      <c r="F388" s="1">
        <v>125</v>
      </c>
      <c r="G388" s="1">
        <v>96</v>
      </c>
      <c r="H388" s="1">
        <v>115</v>
      </c>
      <c r="I388" s="1">
        <v>85</v>
      </c>
      <c r="J388" s="1">
        <v>0</v>
      </c>
      <c r="K388" s="1">
        <v>120</v>
      </c>
      <c r="L388" s="1">
        <v>802502</v>
      </c>
      <c r="M388" s="1">
        <v>802504</v>
      </c>
      <c r="N388" s="1">
        <v>300103</v>
      </c>
      <c r="O388" s="1" t="s">
        <v>1241</v>
      </c>
      <c r="P388" s="1" t="s">
        <v>1530</v>
      </c>
      <c r="Q388" s="1" t="s">
        <v>1201</v>
      </c>
      <c r="R388" s="1" t="s">
        <v>1226</v>
      </c>
      <c r="S388" s="1" t="s">
        <v>1200</v>
      </c>
    </row>
    <row r="389" spans="1:19" x14ac:dyDescent="0.25">
      <c r="A389" s="1">
        <v>20063</v>
      </c>
      <c r="B389" s="9" t="s">
        <v>1531</v>
      </c>
      <c r="C389" s="1">
        <v>4</v>
      </c>
      <c r="D389" s="1">
        <v>4</v>
      </c>
      <c r="E389" s="1">
        <v>100</v>
      </c>
      <c r="F389" s="1">
        <v>125</v>
      </c>
      <c r="G389" s="1">
        <v>95</v>
      </c>
      <c r="H389" s="1">
        <v>125</v>
      </c>
      <c r="I389" s="1">
        <v>90</v>
      </c>
      <c r="J389" s="1">
        <v>0</v>
      </c>
      <c r="K389" s="1">
        <v>120</v>
      </c>
      <c r="L389" s="1">
        <v>801302</v>
      </c>
      <c r="M389" s="1">
        <v>801303</v>
      </c>
      <c r="N389" s="1">
        <v>300103</v>
      </c>
      <c r="O389" s="1" t="s">
        <v>1532</v>
      </c>
      <c r="P389" s="1" t="s">
        <v>333</v>
      </c>
      <c r="Q389" s="1" t="s">
        <v>1201</v>
      </c>
      <c r="R389" s="1" t="s">
        <v>1226</v>
      </c>
      <c r="S389" s="1" t="s">
        <v>1200</v>
      </c>
    </row>
    <row r="390" spans="1:19" x14ac:dyDescent="0.25">
      <c r="A390" s="1">
        <v>20064</v>
      </c>
      <c r="B390" s="9" t="s">
        <v>1533</v>
      </c>
      <c r="C390" s="1">
        <v>4</v>
      </c>
      <c r="D390" s="1">
        <v>5</v>
      </c>
      <c r="E390" s="1">
        <v>115</v>
      </c>
      <c r="F390" s="1">
        <v>114</v>
      </c>
      <c r="G390" s="1">
        <v>114</v>
      </c>
      <c r="H390" s="1">
        <v>120</v>
      </c>
      <c r="I390" s="1">
        <v>110</v>
      </c>
      <c r="J390" s="1">
        <v>0</v>
      </c>
      <c r="K390" s="1">
        <v>110</v>
      </c>
      <c r="L390" s="1">
        <v>802101</v>
      </c>
      <c r="M390" s="1">
        <v>802102</v>
      </c>
      <c r="N390" s="1">
        <v>300103</v>
      </c>
      <c r="O390" s="1" t="s">
        <v>333</v>
      </c>
      <c r="P390" s="1" t="s">
        <v>1534</v>
      </c>
      <c r="Q390" s="1" t="s">
        <v>1201</v>
      </c>
      <c r="R390" s="1" t="s">
        <v>1226</v>
      </c>
      <c r="S390" s="1" t="s">
        <v>1200</v>
      </c>
    </row>
    <row r="391" spans="1:19" x14ac:dyDescent="0.25">
      <c r="A391" s="1">
        <v>20065</v>
      </c>
      <c r="B391" s="9" t="s">
        <v>263</v>
      </c>
      <c r="C391" s="1">
        <v>4</v>
      </c>
      <c r="D391" s="1">
        <v>6</v>
      </c>
      <c r="E391" s="1">
        <v>110</v>
      </c>
      <c r="F391" s="1">
        <v>118</v>
      </c>
      <c r="G391" s="1">
        <v>116</v>
      </c>
      <c r="H391" s="1">
        <v>120</v>
      </c>
      <c r="I391" s="1">
        <v>110</v>
      </c>
      <c r="J391" s="1">
        <v>0</v>
      </c>
      <c r="K391" s="1">
        <v>118</v>
      </c>
      <c r="L391" s="1">
        <v>802901</v>
      </c>
      <c r="M391" s="1">
        <v>802902</v>
      </c>
      <c r="N391" s="1">
        <v>300103</v>
      </c>
      <c r="O391" s="1" t="s">
        <v>1535</v>
      </c>
      <c r="P391" s="1" t="s">
        <v>333</v>
      </c>
      <c r="Q391" s="1" t="s">
        <v>1201</v>
      </c>
      <c r="R391" s="1" t="s">
        <v>1226</v>
      </c>
      <c r="S391" s="1" t="s">
        <v>1229</v>
      </c>
    </row>
    <row r="392" spans="1:19" x14ac:dyDescent="0.25">
      <c r="A392" s="1">
        <v>20071</v>
      </c>
      <c r="B392" s="9" t="s">
        <v>844</v>
      </c>
      <c r="C392" s="1">
        <v>4</v>
      </c>
      <c r="D392" s="1">
        <v>4</v>
      </c>
      <c r="E392" s="1">
        <v>112</v>
      </c>
      <c r="F392" s="1">
        <v>108</v>
      </c>
      <c r="G392" s="1">
        <v>95</v>
      </c>
      <c r="H392" s="1">
        <v>105</v>
      </c>
      <c r="I392" s="1">
        <v>95</v>
      </c>
      <c r="J392" s="1">
        <v>0</v>
      </c>
      <c r="K392" s="1">
        <v>130</v>
      </c>
      <c r="L392" s="1">
        <v>902130</v>
      </c>
      <c r="M392" s="1">
        <v>902132</v>
      </c>
      <c r="N392" s="1">
        <v>902131</v>
      </c>
      <c r="O392" s="1" t="s">
        <v>333</v>
      </c>
      <c r="P392" s="1" t="s">
        <v>1536</v>
      </c>
      <c r="Q392" s="1" t="s">
        <v>1201</v>
      </c>
      <c r="R392" s="1" t="s">
        <v>1226</v>
      </c>
      <c r="S392" s="1" t="s">
        <v>1229</v>
      </c>
    </row>
    <row r="393" spans="1:19" x14ac:dyDescent="0.25">
      <c r="A393" s="1">
        <v>20075</v>
      </c>
      <c r="B393" s="9" t="s">
        <v>264</v>
      </c>
      <c r="C393" s="1">
        <v>5</v>
      </c>
      <c r="D393" s="1">
        <v>5</v>
      </c>
      <c r="E393" s="1">
        <v>95</v>
      </c>
      <c r="F393" s="1">
        <v>118</v>
      </c>
      <c r="G393" s="1">
        <v>105</v>
      </c>
      <c r="H393" s="1">
        <v>125</v>
      </c>
      <c r="I393" s="1">
        <v>125</v>
      </c>
      <c r="J393" s="1">
        <v>0</v>
      </c>
      <c r="K393" s="1">
        <v>125</v>
      </c>
      <c r="L393" s="1">
        <v>800303</v>
      </c>
      <c r="M393" s="1">
        <v>800304</v>
      </c>
      <c r="N393" s="1">
        <v>300105</v>
      </c>
      <c r="O393" s="1" t="s">
        <v>1537</v>
      </c>
      <c r="P393" s="1" t="s">
        <v>1538</v>
      </c>
      <c r="Q393" s="1" t="s">
        <v>1245</v>
      </c>
      <c r="R393" s="1" t="s">
        <v>1246</v>
      </c>
      <c r="S393" s="1" t="s">
        <v>1247</v>
      </c>
    </row>
    <row r="394" spans="1:19" x14ac:dyDescent="0.25">
      <c r="A394" s="1">
        <v>20081</v>
      </c>
      <c r="B394" s="9" t="s">
        <v>265</v>
      </c>
      <c r="C394" s="1">
        <v>5</v>
      </c>
      <c r="D394" s="1">
        <v>4</v>
      </c>
      <c r="E394" s="1">
        <v>105</v>
      </c>
      <c r="F394" s="1">
        <v>138</v>
      </c>
      <c r="G394" s="1">
        <v>90</v>
      </c>
      <c r="H394" s="1">
        <v>120</v>
      </c>
      <c r="I394" s="1">
        <v>105</v>
      </c>
      <c r="J394" s="1">
        <v>0</v>
      </c>
      <c r="K394" s="1">
        <v>100</v>
      </c>
      <c r="L394" s="1">
        <v>802201</v>
      </c>
      <c r="M394" s="1">
        <v>802203</v>
      </c>
      <c r="N394" s="1">
        <v>802202</v>
      </c>
      <c r="O394" s="1" t="s">
        <v>1539</v>
      </c>
      <c r="P394" s="1" t="s">
        <v>1540</v>
      </c>
      <c r="Q394" s="1" t="s">
        <v>1245</v>
      </c>
      <c r="R394" s="1" t="s">
        <v>1246</v>
      </c>
      <c r="S394" s="1" t="s">
        <v>1247</v>
      </c>
    </row>
    <row r="395" spans="1:19" x14ac:dyDescent="0.25">
      <c r="A395" s="1">
        <v>20089</v>
      </c>
      <c r="B395" s="9" t="s">
        <v>753</v>
      </c>
      <c r="C395" s="1">
        <v>5</v>
      </c>
      <c r="D395" s="1">
        <v>4</v>
      </c>
      <c r="E395" s="1">
        <v>105</v>
      </c>
      <c r="F395" s="1">
        <v>115</v>
      </c>
      <c r="G395" s="1">
        <v>95</v>
      </c>
      <c r="H395" s="1">
        <v>130</v>
      </c>
      <c r="I395" s="1">
        <v>110</v>
      </c>
      <c r="J395" s="1">
        <v>0</v>
      </c>
      <c r="K395" s="1">
        <v>120</v>
      </c>
      <c r="L395" s="1">
        <v>801501</v>
      </c>
      <c r="M395" s="1">
        <v>801502</v>
      </c>
      <c r="N395" s="1">
        <v>300105</v>
      </c>
      <c r="O395" s="1" t="s">
        <v>1384</v>
      </c>
      <c r="P395" s="1" t="s">
        <v>333</v>
      </c>
      <c r="Q395" s="1" t="s">
        <v>1245</v>
      </c>
      <c r="R395" s="1" t="s">
        <v>1246</v>
      </c>
      <c r="S395" s="1" t="s">
        <v>1247</v>
      </c>
    </row>
    <row r="396" spans="1:19" x14ac:dyDescent="0.25">
      <c r="A396" s="1">
        <v>20091</v>
      </c>
      <c r="B396" s="9" t="s">
        <v>1789</v>
      </c>
      <c r="C396" s="1">
        <v>1</v>
      </c>
      <c r="D396" s="1">
        <v>4</v>
      </c>
      <c r="E396" s="1">
        <v>100</v>
      </c>
      <c r="F396" s="1">
        <v>105</v>
      </c>
      <c r="G396" s="1">
        <v>110</v>
      </c>
      <c r="H396" s="1">
        <v>110</v>
      </c>
      <c r="I396" s="1">
        <v>102</v>
      </c>
      <c r="J396" s="1">
        <v>0</v>
      </c>
      <c r="K396" s="1">
        <v>120</v>
      </c>
      <c r="L396" s="1">
        <v>800401</v>
      </c>
      <c r="M396" s="1">
        <v>800402</v>
      </c>
      <c r="N396" s="1">
        <v>300101</v>
      </c>
      <c r="O396" s="1" t="s">
        <v>1541</v>
      </c>
      <c r="P396" s="1" t="s">
        <v>333</v>
      </c>
      <c r="Q396" s="1" t="s">
        <v>1186</v>
      </c>
      <c r="R396" s="1" t="s">
        <v>1187</v>
      </c>
      <c r="S396" s="1" t="s">
        <v>1188</v>
      </c>
    </row>
    <row r="397" spans="1:19" x14ac:dyDescent="0.25">
      <c r="A397" s="1">
        <v>20093</v>
      </c>
      <c r="B397" s="9" t="s">
        <v>266</v>
      </c>
      <c r="C397" s="1">
        <v>2</v>
      </c>
      <c r="D397" s="1">
        <v>4</v>
      </c>
      <c r="E397" s="1">
        <v>85</v>
      </c>
      <c r="F397" s="1">
        <v>90</v>
      </c>
      <c r="G397" s="1">
        <v>90</v>
      </c>
      <c r="H397" s="1">
        <v>110</v>
      </c>
      <c r="I397" s="1">
        <v>125</v>
      </c>
      <c r="J397" s="1">
        <v>0</v>
      </c>
      <c r="K397" s="1">
        <v>130</v>
      </c>
      <c r="L397" s="1">
        <v>800702</v>
      </c>
      <c r="M397" s="1">
        <v>800703</v>
      </c>
      <c r="N397" s="1">
        <v>300102</v>
      </c>
      <c r="O397" s="1" t="s">
        <v>1542</v>
      </c>
      <c r="P397" s="1" t="s">
        <v>1543</v>
      </c>
      <c r="Q397" s="1" t="s">
        <v>1200</v>
      </c>
      <c r="R397" s="1" t="s">
        <v>1187</v>
      </c>
      <c r="S397" s="1" t="s">
        <v>1201</v>
      </c>
    </row>
    <row r="398" spans="1:19" x14ac:dyDescent="0.25">
      <c r="A398" s="1">
        <v>20094</v>
      </c>
      <c r="B398" s="9" t="s">
        <v>750</v>
      </c>
      <c r="C398" s="1">
        <v>2</v>
      </c>
      <c r="D398" s="1">
        <v>4</v>
      </c>
      <c r="E398" s="1">
        <v>100</v>
      </c>
      <c r="F398" s="1">
        <v>105</v>
      </c>
      <c r="G398" s="1">
        <v>120</v>
      </c>
      <c r="H398" s="1">
        <v>95</v>
      </c>
      <c r="I398" s="1">
        <v>113</v>
      </c>
      <c r="J398" s="1">
        <v>0</v>
      </c>
      <c r="K398" s="1">
        <v>105</v>
      </c>
      <c r="L398" s="1">
        <v>800801</v>
      </c>
      <c r="M398" s="1">
        <v>800802</v>
      </c>
      <c r="N398" s="1">
        <v>300102</v>
      </c>
      <c r="O398" s="1" t="s">
        <v>1241</v>
      </c>
      <c r="P398" s="1" t="s">
        <v>333</v>
      </c>
      <c r="Q398" s="1" t="s">
        <v>1200</v>
      </c>
      <c r="R398" s="1" t="s">
        <v>1187</v>
      </c>
      <c r="S398" s="1" t="s">
        <v>1201</v>
      </c>
    </row>
    <row r="399" spans="1:19" x14ac:dyDescent="0.25">
      <c r="A399" s="1">
        <v>20095</v>
      </c>
      <c r="B399" s="9" t="s">
        <v>851</v>
      </c>
      <c r="C399" s="1">
        <v>3</v>
      </c>
      <c r="D399" s="1">
        <v>4</v>
      </c>
      <c r="E399" s="1">
        <v>115</v>
      </c>
      <c r="F399" s="1">
        <v>105</v>
      </c>
      <c r="G399" s="1">
        <v>108</v>
      </c>
      <c r="H399" s="1">
        <v>100</v>
      </c>
      <c r="I399" s="1">
        <v>110</v>
      </c>
      <c r="J399" s="1">
        <v>0</v>
      </c>
      <c r="K399" s="1">
        <v>120</v>
      </c>
      <c r="L399" s="1">
        <v>803001</v>
      </c>
      <c r="M399" s="1">
        <v>803003</v>
      </c>
      <c r="N399" s="1">
        <v>803002</v>
      </c>
      <c r="O399" s="1" t="s">
        <v>1544</v>
      </c>
      <c r="P399" s="1" t="s">
        <v>1545</v>
      </c>
      <c r="Q399" s="1" t="s">
        <v>1212</v>
      </c>
      <c r="R399" s="1" t="s">
        <v>1213</v>
      </c>
      <c r="S399" s="1" t="s">
        <v>1214</v>
      </c>
    </row>
    <row r="400" spans="1:19" x14ac:dyDescent="0.25">
      <c r="A400" s="1">
        <v>20097</v>
      </c>
      <c r="B400" s="9" t="s">
        <v>267</v>
      </c>
      <c r="C400" s="1">
        <v>1</v>
      </c>
      <c r="D400" s="1">
        <v>6</v>
      </c>
      <c r="E400" s="1">
        <v>118</v>
      </c>
      <c r="F400" s="1">
        <v>116</v>
      </c>
      <c r="G400" s="1">
        <v>135</v>
      </c>
      <c r="H400" s="1">
        <v>115</v>
      </c>
      <c r="I400" s="1">
        <v>102</v>
      </c>
      <c r="J400" s="1">
        <v>0</v>
      </c>
      <c r="K400" s="1">
        <v>115</v>
      </c>
      <c r="L400" s="1">
        <v>803412</v>
      </c>
      <c r="M400" s="1">
        <v>803413</v>
      </c>
      <c r="N400" s="1">
        <v>300101</v>
      </c>
      <c r="O400" s="1" t="s">
        <v>333</v>
      </c>
      <c r="P400" s="1" t="s">
        <v>1546</v>
      </c>
      <c r="Q400" s="1" t="s">
        <v>1186</v>
      </c>
      <c r="R400" s="1" t="s">
        <v>1187</v>
      </c>
      <c r="S400" s="1" t="s">
        <v>1188</v>
      </c>
    </row>
    <row r="401" spans="1:19" x14ac:dyDescent="0.25">
      <c r="A401" s="1">
        <v>20101</v>
      </c>
      <c r="B401" s="9" t="s">
        <v>268</v>
      </c>
      <c r="C401" s="1">
        <v>2</v>
      </c>
      <c r="D401" s="1">
        <v>5</v>
      </c>
      <c r="E401" s="1">
        <v>100</v>
      </c>
      <c r="F401" s="1">
        <v>105</v>
      </c>
      <c r="G401" s="1">
        <v>110</v>
      </c>
      <c r="H401" s="1">
        <v>135</v>
      </c>
      <c r="I401" s="1">
        <v>130</v>
      </c>
      <c r="J401" s="1">
        <v>0</v>
      </c>
      <c r="K401" s="1">
        <v>110</v>
      </c>
      <c r="L401" s="1">
        <v>802801</v>
      </c>
      <c r="M401" s="1">
        <v>802802</v>
      </c>
      <c r="N401" s="1">
        <v>300102</v>
      </c>
      <c r="O401" s="1" t="s">
        <v>1547</v>
      </c>
      <c r="P401" s="1" t="s">
        <v>1548</v>
      </c>
      <c r="Q401" s="1" t="s">
        <v>1200</v>
      </c>
      <c r="R401" s="1" t="s">
        <v>1187</v>
      </c>
      <c r="S401" s="1" t="s">
        <v>1201</v>
      </c>
    </row>
    <row r="402" spans="1:19" x14ac:dyDescent="0.25">
      <c r="A402" s="1">
        <v>20103</v>
      </c>
      <c r="B402" s="9" t="s">
        <v>269</v>
      </c>
      <c r="C402" s="1">
        <v>2</v>
      </c>
      <c r="D402" s="1">
        <v>5</v>
      </c>
      <c r="E402" s="1">
        <v>108</v>
      </c>
      <c r="F402" s="1">
        <v>105</v>
      </c>
      <c r="G402" s="1">
        <v>105</v>
      </c>
      <c r="H402" s="1">
        <v>110</v>
      </c>
      <c r="I402" s="1">
        <v>120</v>
      </c>
      <c r="J402" s="1">
        <v>0</v>
      </c>
      <c r="K402" s="1">
        <v>110</v>
      </c>
      <c r="L402" s="1">
        <v>801801</v>
      </c>
      <c r="M402" s="1">
        <v>801804</v>
      </c>
      <c r="N402" s="1">
        <v>801803</v>
      </c>
      <c r="O402" s="1" t="s">
        <v>1549</v>
      </c>
      <c r="P402" s="1" t="s">
        <v>333</v>
      </c>
      <c r="Q402" s="1" t="s">
        <v>1200</v>
      </c>
      <c r="R402" s="1" t="s">
        <v>1187</v>
      </c>
      <c r="S402" s="1" t="s">
        <v>1201</v>
      </c>
    </row>
    <row r="403" spans="1:19" x14ac:dyDescent="0.25">
      <c r="A403" s="1">
        <v>20114</v>
      </c>
      <c r="B403" s="9" t="s">
        <v>847</v>
      </c>
      <c r="C403" s="1">
        <v>1</v>
      </c>
      <c r="D403" s="1">
        <v>6</v>
      </c>
      <c r="E403" s="1">
        <v>120</v>
      </c>
      <c r="F403" s="1">
        <v>96</v>
      </c>
      <c r="G403" s="1">
        <v>90</v>
      </c>
      <c r="H403" s="1">
        <v>125</v>
      </c>
      <c r="I403" s="1">
        <v>110</v>
      </c>
      <c r="J403" s="1">
        <v>0</v>
      </c>
      <c r="K403" s="1">
        <v>140</v>
      </c>
      <c r="L403" s="1">
        <v>902241</v>
      </c>
      <c r="M403" s="1">
        <v>902243</v>
      </c>
      <c r="N403" s="1">
        <v>300101</v>
      </c>
      <c r="O403" s="1" t="s">
        <v>1550</v>
      </c>
      <c r="P403" s="1" t="s">
        <v>333</v>
      </c>
      <c r="Q403" s="1" t="s">
        <v>1186</v>
      </c>
      <c r="R403" s="1" t="s">
        <v>1187</v>
      </c>
      <c r="S403" s="1" t="s">
        <v>1188</v>
      </c>
    </row>
    <row r="404" spans="1:19" x14ac:dyDescent="0.25">
      <c r="A404" s="1">
        <v>20122</v>
      </c>
      <c r="B404" s="9" t="s">
        <v>1551</v>
      </c>
      <c r="C404" s="1">
        <v>4</v>
      </c>
      <c r="D404" s="1">
        <v>6</v>
      </c>
      <c r="E404" s="1">
        <v>110</v>
      </c>
      <c r="F404" s="1">
        <v>105</v>
      </c>
      <c r="G404" s="1">
        <v>145</v>
      </c>
      <c r="H404" s="1">
        <v>115</v>
      </c>
      <c r="I404" s="1">
        <v>105</v>
      </c>
      <c r="J404" s="1">
        <v>0</v>
      </c>
      <c r="K404" s="1">
        <v>114</v>
      </c>
      <c r="L404" s="1">
        <v>900893</v>
      </c>
      <c r="M404" s="1">
        <v>900894</v>
      </c>
      <c r="N404" s="1">
        <v>900890</v>
      </c>
      <c r="O404" s="1" t="s">
        <v>1552</v>
      </c>
      <c r="P404" s="1" t="s">
        <v>333</v>
      </c>
      <c r="Q404" s="1" t="s">
        <v>1201</v>
      </c>
      <c r="R404" s="1" t="s">
        <v>1226</v>
      </c>
      <c r="S404" s="1" t="s">
        <v>1229</v>
      </c>
    </row>
    <row r="405" spans="1:19" x14ac:dyDescent="0.25">
      <c r="A405" s="1">
        <v>20124</v>
      </c>
      <c r="B405" s="9" t="s">
        <v>845</v>
      </c>
      <c r="C405" s="1">
        <v>3</v>
      </c>
      <c r="D405" s="1">
        <v>4</v>
      </c>
      <c r="E405" s="1">
        <v>100</v>
      </c>
      <c r="F405" s="1">
        <v>115</v>
      </c>
      <c r="G405" s="1">
        <v>120</v>
      </c>
      <c r="H405" s="1">
        <v>110</v>
      </c>
      <c r="I405" s="1">
        <v>90</v>
      </c>
      <c r="J405" s="1">
        <v>0</v>
      </c>
      <c r="K405" s="1">
        <v>115</v>
      </c>
      <c r="L405" s="1">
        <v>900880</v>
      </c>
      <c r="M405" s="1">
        <v>900882</v>
      </c>
      <c r="N405" s="1">
        <v>900883</v>
      </c>
      <c r="O405" s="1" t="s">
        <v>1553</v>
      </c>
      <c r="P405" s="1" t="s">
        <v>1554</v>
      </c>
      <c r="Q405" s="1" t="s">
        <v>1212</v>
      </c>
      <c r="R405" s="1" t="s">
        <v>1213</v>
      </c>
      <c r="S405" s="1" t="s">
        <v>1214</v>
      </c>
    </row>
    <row r="406" spans="1:19" x14ac:dyDescent="0.25">
      <c r="A406" s="1">
        <v>20125</v>
      </c>
      <c r="B406" s="9" t="s">
        <v>953</v>
      </c>
      <c r="C406" s="1">
        <v>5</v>
      </c>
      <c r="D406" s="1">
        <v>6</v>
      </c>
      <c r="E406" s="1">
        <v>110</v>
      </c>
      <c r="F406" s="1">
        <v>102</v>
      </c>
      <c r="G406" s="1">
        <v>125</v>
      </c>
      <c r="H406" s="1">
        <v>130</v>
      </c>
      <c r="I406" s="1">
        <v>120</v>
      </c>
      <c r="J406" s="1">
        <v>0</v>
      </c>
      <c r="K406" s="1">
        <v>135</v>
      </c>
      <c r="L406" s="1">
        <v>803901</v>
      </c>
      <c r="M406" s="1">
        <v>803904</v>
      </c>
      <c r="N406" s="1">
        <v>803925</v>
      </c>
      <c r="O406" s="1" t="s">
        <v>1244</v>
      </c>
      <c r="P406" s="1" t="s">
        <v>1555</v>
      </c>
      <c r="Q406" s="1" t="s">
        <v>1245</v>
      </c>
      <c r="R406" s="1" t="s">
        <v>1246</v>
      </c>
      <c r="S406" s="1" t="s">
        <v>1247</v>
      </c>
    </row>
    <row r="407" spans="1:19" x14ac:dyDescent="0.25">
      <c r="A407" s="1">
        <v>20136</v>
      </c>
      <c r="B407" s="9" t="s">
        <v>1790</v>
      </c>
      <c r="C407" s="1">
        <v>2</v>
      </c>
      <c r="D407" s="1">
        <v>5</v>
      </c>
      <c r="E407" s="1">
        <v>105</v>
      </c>
      <c r="F407" s="1">
        <v>103</v>
      </c>
      <c r="G407" s="1">
        <v>115</v>
      </c>
      <c r="H407" s="1">
        <v>115</v>
      </c>
      <c r="I407" s="1">
        <v>125</v>
      </c>
      <c r="J407" s="1">
        <v>0</v>
      </c>
      <c r="K407" s="1">
        <v>110</v>
      </c>
      <c r="L407" s="1">
        <v>902137</v>
      </c>
      <c r="M407" s="1">
        <v>902148</v>
      </c>
      <c r="N407" s="1">
        <v>300102</v>
      </c>
      <c r="O407" s="1" t="s">
        <v>1556</v>
      </c>
      <c r="P407" s="1" t="s">
        <v>1557</v>
      </c>
      <c r="Q407" s="1" t="s">
        <v>1200</v>
      </c>
      <c r="R407" s="1" t="s">
        <v>1187</v>
      </c>
      <c r="S407" s="1" t="s">
        <v>1201</v>
      </c>
    </row>
    <row r="408" spans="1:19" x14ac:dyDescent="0.25">
      <c r="A408" s="1">
        <v>20143</v>
      </c>
      <c r="B408" s="9" t="s">
        <v>838</v>
      </c>
      <c r="C408" s="1">
        <v>2</v>
      </c>
      <c r="D408" s="1">
        <v>6</v>
      </c>
      <c r="E408" s="1">
        <v>115</v>
      </c>
      <c r="F408" s="1">
        <v>110</v>
      </c>
      <c r="G408" s="1">
        <v>125</v>
      </c>
      <c r="H408" s="1">
        <v>130</v>
      </c>
      <c r="I408" s="1">
        <v>125</v>
      </c>
      <c r="J408" s="1">
        <v>0</v>
      </c>
      <c r="K408" s="1">
        <v>105</v>
      </c>
      <c r="L408" s="1">
        <v>803501</v>
      </c>
      <c r="M408" s="1">
        <v>803502</v>
      </c>
      <c r="N408" s="1">
        <v>803504</v>
      </c>
      <c r="O408" s="1" t="s">
        <v>1558</v>
      </c>
      <c r="P408" s="1" t="s">
        <v>1559</v>
      </c>
      <c r="Q408" s="1" t="s">
        <v>1229</v>
      </c>
      <c r="R408" s="1" t="s">
        <v>1187</v>
      </c>
      <c r="S408" s="1" t="s">
        <v>1201</v>
      </c>
    </row>
    <row r="409" spans="1:19" x14ac:dyDescent="0.25">
      <c r="A409" s="1">
        <v>20152</v>
      </c>
      <c r="B409" s="9" t="s">
        <v>734</v>
      </c>
      <c r="C409" s="1">
        <v>6</v>
      </c>
      <c r="D409" s="1">
        <v>4</v>
      </c>
      <c r="E409" s="1">
        <v>120</v>
      </c>
      <c r="F409" s="1">
        <v>125</v>
      </c>
      <c r="G409" s="1">
        <v>100</v>
      </c>
      <c r="H409" s="1">
        <v>108</v>
      </c>
      <c r="I409" s="1">
        <v>95</v>
      </c>
      <c r="J409" s="1">
        <v>115</v>
      </c>
      <c r="K409" s="1">
        <v>100</v>
      </c>
      <c r="L409" s="1">
        <v>103203</v>
      </c>
      <c r="M409" s="1">
        <v>902142</v>
      </c>
      <c r="N409" s="1">
        <v>902140</v>
      </c>
      <c r="O409" s="1" t="s">
        <v>1560</v>
      </c>
      <c r="P409" s="1" t="s">
        <v>333</v>
      </c>
      <c r="Q409" s="1" t="s">
        <v>1280</v>
      </c>
      <c r="R409" s="1" t="s">
        <v>1281</v>
      </c>
      <c r="S409" s="1" t="s">
        <v>1282</v>
      </c>
    </row>
    <row r="410" spans="1:19" x14ac:dyDescent="0.25">
      <c r="A410" s="1">
        <v>20154</v>
      </c>
      <c r="B410" s="9" t="s">
        <v>725</v>
      </c>
      <c r="C410" s="1">
        <v>6</v>
      </c>
      <c r="D410" s="1">
        <v>4</v>
      </c>
      <c r="E410" s="1">
        <v>120</v>
      </c>
      <c r="F410" s="1">
        <v>115</v>
      </c>
      <c r="G410" s="1">
        <v>115</v>
      </c>
      <c r="H410" s="1">
        <v>110</v>
      </c>
      <c r="I410" s="1">
        <v>90</v>
      </c>
      <c r="J410" s="1">
        <v>115</v>
      </c>
      <c r="K410" s="1">
        <v>95</v>
      </c>
      <c r="L410" s="1">
        <v>803301</v>
      </c>
      <c r="M410" s="1">
        <v>803302</v>
      </c>
      <c r="N410" s="1">
        <v>300106</v>
      </c>
      <c r="O410" s="1" t="s">
        <v>1561</v>
      </c>
      <c r="P410" s="1" t="s">
        <v>1562</v>
      </c>
      <c r="Q410" s="1" t="s">
        <v>1280</v>
      </c>
      <c r="R410" s="1" t="s">
        <v>1281</v>
      </c>
      <c r="S410" s="1" t="s">
        <v>1282</v>
      </c>
    </row>
    <row r="411" spans="1:19" x14ac:dyDescent="0.25">
      <c r="A411" s="1">
        <v>20159</v>
      </c>
      <c r="B411" s="9" t="s">
        <v>954</v>
      </c>
      <c r="C411" s="1">
        <v>6</v>
      </c>
      <c r="D411" s="1">
        <v>4</v>
      </c>
      <c r="E411" s="1">
        <v>110</v>
      </c>
      <c r="F411" s="1">
        <v>112</v>
      </c>
      <c r="G411" s="1">
        <v>110</v>
      </c>
      <c r="H411" s="1">
        <v>106</v>
      </c>
      <c r="I411" s="1">
        <v>120</v>
      </c>
      <c r="J411" s="1">
        <v>120</v>
      </c>
      <c r="K411" s="1">
        <v>100</v>
      </c>
      <c r="L411" s="1">
        <v>803701</v>
      </c>
      <c r="M411" s="1">
        <v>803702</v>
      </c>
      <c r="N411" s="1">
        <v>300106</v>
      </c>
      <c r="O411" s="1" t="s">
        <v>1563</v>
      </c>
      <c r="P411" s="1" t="s">
        <v>1564</v>
      </c>
      <c r="Q411" s="1" t="s">
        <v>1280</v>
      </c>
      <c r="R411" s="1" t="s">
        <v>1281</v>
      </c>
      <c r="S411" s="1" t="s">
        <v>1282</v>
      </c>
    </row>
    <row r="412" spans="1:19" x14ac:dyDescent="0.25">
      <c r="A412" s="1">
        <v>20161</v>
      </c>
      <c r="B412" s="9" t="s">
        <v>743</v>
      </c>
      <c r="C412" s="1">
        <v>6</v>
      </c>
      <c r="D412" s="1">
        <v>5</v>
      </c>
      <c r="E412" s="1">
        <v>120</v>
      </c>
      <c r="F412" s="1">
        <v>120</v>
      </c>
      <c r="G412" s="1">
        <v>105</v>
      </c>
      <c r="H412" s="1">
        <v>110</v>
      </c>
      <c r="I412" s="1">
        <v>115</v>
      </c>
      <c r="J412" s="1">
        <v>115</v>
      </c>
      <c r="K412" s="1">
        <v>105</v>
      </c>
      <c r="L412" s="1">
        <v>900886</v>
      </c>
      <c r="M412" s="1">
        <v>900887</v>
      </c>
      <c r="N412" s="1">
        <v>900888</v>
      </c>
      <c r="O412" s="1" t="s">
        <v>1565</v>
      </c>
      <c r="P412" s="1" t="s">
        <v>333</v>
      </c>
      <c r="Q412" s="1" t="s">
        <v>1280</v>
      </c>
      <c r="R412" s="1" t="s">
        <v>1281</v>
      </c>
      <c r="S412" s="1" t="s">
        <v>1282</v>
      </c>
    </row>
    <row r="413" spans="1:19" x14ac:dyDescent="0.25">
      <c r="A413" s="1">
        <v>20178</v>
      </c>
      <c r="B413" s="9" t="s">
        <v>839</v>
      </c>
      <c r="C413" s="1">
        <v>2</v>
      </c>
      <c r="D413" s="1">
        <v>4</v>
      </c>
      <c r="E413" s="1">
        <v>120</v>
      </c>
      <c r="F413" s="1">
        <v>102</v>
      </c>
      <c r="G413" s="1">
        <v>100</v>
      </c>
      <c r="H413" s="1">
        <v>110</v>
      </c>
      <c r="I413" s="1">
        <v>98</v>
      </c>
      <c r="J413" s="1">
        <v>0</v>
      </c>
      <c r="K413" s="1">
        <v>112</v>
      </c>
      <c r="L413" s="1">
        <v>902234</v>
      </c>
      <c r="M413" s="1">
        <v>902235</v>
      </c>
      <c r="N413" s="1">
        <v>300102</v>
      </c>
      <c r="O413" s="1" t="s">
        <v>333</v>
      </c>
      <c r="P413" s="1" t="s">
        <v>333</v>
      </c>
      <c r="Q413" s="1" t="s">
        <v>1200</v>
      </c>
      <c r="R413" s="1" t="s">
        <v>1187</v>
      </c>
      <c r="S413" s="1" t="s">
        <v>1201</v>
      </c>
    </row>
    <row r="414" spans="1:19" x14ac:dyDescent="0.25">
      <c r="A414" s="1">
        <v>20199</v>
      </c>
      <c r="B414" s="9" t="s">
        <v>846</v>
      </c>
      <c r="C414" s="1">
        <v>5</v>
      </c>
      <c r="D414" s="1">
        <v>5</v>
      </c>
      <c r="E414" s="1">
        <v>108</v>
      </c>
      <c r="F414" s="1">
        <v>128</v>
      </c>
      <c r="G414" s="1">
        <v>115</v>
      </c>
      <c r="H414" s="1">
        <v>122</v>
      </c>
      <c r="I414" s="1">
        <v>105</v>
      </c>
      <c r="J414" s="1">
        <v>0</v>
      </c>
      <c r="K414" s="1">
        <v>105</v>
      </c>
      <c r="L414" s="1">
        <v>902236</v>
      </c>
      <c r="M414" s="1">
        <v>902237</v>
      </c>
      <c r="N414" s="1">
        <v>902238</v>
      </c>
      <c r="O414" s="1" t="s">
        <v>1566</v>
      </c>
      <c r="P414" s="1" t="s">
        <v>1309</v>
      </c>
      <c r="Q414" s="1" t="s">
        <v>1245</v>
      </c>
      <c r="R414" s="1" t="s">
        <v>1246</v>
      </c>
      <c r="S414" s="1" t="s">
        <v>1247</v>
      </c>
    </row>
    <row r="415" spans="1:19" x14ac:dyDescent="0.25">
      <c r="A415" s="1">
        <v>20200</v>
      </c>
      <c r="B415" s="9" t="s">
        <v>955</v>
      </c>
      <c r="C415" s="1">
        <v>3</v>
      </c>
      <c r="D415" s="1">
        <v>5</v>
      </c>
      <c r="E415" s="1">
        <v>95</v>
      </c>
      <c r="F415" s="1">
        <v>120</v>
      </c>
      <c r="G415" s="1">
        <v>105</v>
      </c>
      <c r="H415" s="1">
        <v>128</v>
      </c>
      <c r="I415" s="1">
        <v>88</v>
      </c>
      <c r="J415" s="1">
        <v>0</v>
      </c>
      <c r="K415" s="1">
        <v>128</v>
      </c>
      <c r="L415" s="1">
        <v>803801</v>
      </c>
      <c r="M415" s="1">
        <v>803802</v>
      </c>
      <c r="N415" s="1">
        <v>803803</v>
      </c>
      <c r="O415" s="1" t="s">
        <v>1567</v>
      </c>
      <c r="P415" s="1" t="s">
        <v>333</v>
      </c>
      <c r="Q415" s="1" t="s">
        <v>1212</v>
      </c>
      <c r="R415" s="1" t="s">
        <v>1213</v>
      </c>
      <c r="S415" s="1" t="s">
        <v>1214</v>
      </c>
    </row>
    <row r="416" spans="1:19" x14ac:dyDescent="0.25">
      <c r="A416" s="1">
        <v>20221</v>
      </c>
      <c r="B416" s="9" t="s">
        <v>1791</v>
      </c>
      <c r="C416" s="1">
        <v>1</v>
      </c>
      <c r="D416" s="1">
        <v>4</v>
      </c>
      <c r="E416" s="1">
        <v>108</v>
      </c>
      <c r="F416" s="1">
        <v>130</v>
      </c>
      <c r="G416" s="1">
        <v>111</v>
      </c>
      <c r="H416" s="1">
        <v>115</v>
      </c>
      <c r="I416" s="1">
        <v>130</v>
      </c>
      <c r="J416" s="1">
        <v>0</v>
      </c>
      <c r="K416" s="1">
        <v>105</v>
      </c>
      <c r="L416" s="1">
        <v>803201</v>
      </c>
      <c r="M416" s="1">
        <v>803205</v>
      </c>
      <c r="N416" s="1">
        <v>803203</v>
      </c>
      <c r="O416" s="1" t="s">
        <v>1237</v>
      </c>
      <c r="P416" s="1" t="s">
        <v>1568</v>
      </c>
      <c r="Q416" s="1" t="s">
        <v>1186</v>
      </c>
      <c r="R416" s="1" t="s">
        <v>1187</v>
      </c>
      <c r="S416" s="1" t="s">
        <v>1188</v>
      </c>
    </row>
    <row r="417" spans="1:19" x14ac:dyDescent="0.25">
      <c r="A417" s="1">
        <v>20252</v>
      </c>
      <c r="B417" s="9" t="s">
        <v>270</v>
      </c>
      <c r="C417" s="1">
        <v>3</v>
      </c>
      <c r="D417" s="1">
        <v>5</v>
      </c>
      <c r="E417" s="1">
        <v>100</v>
      </c>
      <c r="F417" s="1">
        <v>142</v>
      </c>
      <c r="G417" s="1">
        <v>92</v>
      </c>
      <c r="H417" s="1">
        <v>118</v>
      </c>
      <c r="I417" s="1">
        <v>82</v>
      </c>
      <c r="J417" s="1">
        <v>0</v>
      </c>
      <c r="K417" s="1">
        <v>128</v>
      </c>
      <c r="L417" s="1">
        <v>900623</v>
      </c>
      <c r="M417" s="1">
        <v>900622</v>
      </c>
      <c r="N417" s="1">
        <v>900621</v>
      </c>
      <c r="O417" s="1" t="s">
        <v>1569</v>
      </c>
      <c r="P417" s="1" t="s">
        <v>333</v>
      </c>
      <c r="Q417" s="1" t="s">
        <v>1212</v>
      </c>
      <c r="R417" s="1" t="s">
        <v>1213</v>
      </c>
      <c r="S417" s="1" t="s">
        <v>1214</v>
      </c>
    </row>
  </sheetData>
  <autoFilter ref="A1:S413" xr:uid="{6D3E758E-EB79-4B99-A4F9-2FE0CA28EA3F}">
    <sortState ref="A2:S417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1014</v>
      </c>
      <c r="E1" s="43" t="s">
        <v>1015</v>
      </c>
      <c r="F1" s="43" t="s">
        <v>1016</v>
      </c>
      <c r="G1" s="43" t="s">
        <v>1017</v>
      </c>
      <c r="H1" s="43" t="s">
        <v>1018</v>
      </c>
      <c r="I1" s="43" t="s">
        <v>222</v>
      </c>
      <c r="J1" s="43" t="s">
        <v>1802</v>
      </c>
      <c r="K1" s="43" t="s">
        <v>1175</v>
      </c>
      <c r="L1" s="43" t="s">
        <v>1176</v>
      </c>
      <c r="M1" s="43" t="s">
        <v>1177</v>
      </c>
      <c r="N1" s="43" t="s">
        <v>1178</v>
      </c>
      <c r="O1" s="43" t="s">
        <v>1179</v>
      </c>
      <c r="P1" s="43" t="s">
        <v>1180</v>
      </c>
    </row>
    <row r="2" spans="1:16" x14ac:dyDescent="0.25">
      <c r="A2">
        <v>1012</v>
      </c>
      <c r="B2" t="s">
        <v>1034</v>
      </c>
      <c r="C2">
        <v>1</v>
      </c>
      <c r="D2" t="s">
        <v>1021</v>
      </c>
      <c r="E2">
        <v>1</v>
      </c>
      <c r="F2">
        <v>112</v>
      </c>
      <c r="G2" t="s">
        <v>1022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1029</v>
      </c>
      <c r="C3">
        <v>1</v>
      </c>
      <c r="D3" t="s">
        <v>1024</v>
      </c>
      <c r="E3">
        <v>1</v>
      </c>
      <c r="F3">
        <v>108</v>
      </c>
      <c r="G3" t="s">
        <v>1022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1801</v>
      </c>
      <c r="C4">
        <v>1</v>
      </c>
      <c r="D4" t="s">
        <v>1021</v>
      </c>
      <c r="E4">
        <v>1</v>
      </c>
      <c r="F4">
        <v>106</v>
      </c>
      <c r="G4" t="s">
        <v>1022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1803</v>
      </c>
      <c r="C5">
        <v>1</v>
      </c>
      <c r="D5" t="s">
        <v>1021</v>
      </c>
      <c r="E5">
        <v>1</v>
      </c>
      <c r="F5">
        <v>115</v>
      </c>
      <c r="G5" t="s">
        <v>1022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1027</v>
      </c>
      <c r="C6">
        <v>1</v>
      </c>
      <c r="D6" t="s">
        <v>1021</v>
      </c>
      <c r="E6">
        <v>1</v>
      </c>
      <c r="F6">
        <v>105</v>
      </c>
      <c r="G6" t="s">
        <v>1022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1030</v>
      </c>
      <c r="C7">
        <v>1</v>
      </c>
      <c r="D7" t="s">
        <v>1021</v>
      </c>
      <c r="E7">
        <v>1</v>
      </c>
      <c r="F7">
        <v>109</v>
      </c>
      <c r="G7" t="s">
        <v>1022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1023</v>
      </c>
      <c r="C8">
        <v>1</v>
      </c>
      <c r="D8" t="s">
        <v>1024</v>
      </c>
      <c r="E8">
        <v>1</v>
      </c>
      <c r="F8">
        <v>102</v>
      </c>
      <c r="G8" t="s">
        <v>1022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1031</v>
      </c>
      <c r="C9">
        <v>1</v>
      </c>
      <c r="D9" t="s">
        <v>1021</v>
      </c>
      <c r="E9">
        <v>1</v>
      </c>
      <c r="F9">
        <v>110</v>
      </c>
      <c r="G9" t="s">
        <v>1022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1025</v>
      </c>
      <c r="C10">
        <v>1</v>
      </c>
      <c r="D10" t="s">
        <v>1021</v>
      </c>
      <c r="E10">
        <v>1</v>
      </c>
      <c r="F10">
        <v>103</v>
      </c>
      <c r="G10" t="s">
        <v>1022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1026</v>
      </c>
      <c r="C11">
        <v>1</v>
      </c>
      <c r="D11" t="s">
        <v>1021</v>
      </c>
      <c r="E11">
        <v>1</v>
      </c>
      <c r="F11">
        <v>104</v>
      </c>
      <c r="G11" t="s">
        <v>1022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1032</v>
      </c>
      <c r="C12">
        <v>1</v>
      </c>
      <c r="D12" t="s">
        <v>1033</v>
      </c>
      <c r="E12">
        <v>1</v>
      </c>
      <c r="F12">
        <v>111</v>
      </c>
      <c r="G12" t="s">
        <v>1022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1035</v>
      </c>
      <c r="C13">
        <v>1</v>
      </c>
      <c r="D13" t="s">
        <v>1021</v>
      </c>
      <c r="E13">
        <v>1</v>
      </c>
      <c r="F13">
        <v>113</v>
      </c>
      <c r="G13" t="s">
        <v>1022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1036</v>
      </c>
      <c r="C14">
        <v>1</v>
      </c>
      <c r="D14" t="s">
        <v>1024</v>
      </c>
      <c r="E14">
        <v>1</v>
      </c>
      <c r="F14">
        <v>114</v>
      </c>
      <c r="G14" t="s">
        <v>1022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1020</v>
      </c>
      <c r="C15">
        <v>1</v>
      </c>
      <c r="D15" t="s">
        <v>1021</v>
      </c>
      <c r="E15">
        <v>1</v>
      </c>
      <c r="F15">
        <v>101</v>
      </c>
      <c r="G15" t="s">
        <v>1022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1028</v>
      </c>
      <c r="C16">
        <v>1</v>
      </c>
      <c r="D16" t="s">
        <v>1021</v>
      </c>
      <c r="E16">
        <v>1</v>
      </c>
      <c r="F16">
        <v>107</v>
      </c>
      <c r="G16" t="s">
        <v>1022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1028</v>
      </c>
      <c r="C17">
        <v>1</v>
      </c>
      <c r="D17" t="s">
        <v>1021</v>
      </c>
      <c r="E17">
        <v>1</v>
      </c>
      <c r="F17">
        <v>107</v>
      </c>
      <c r="G17" t="s">
        <v>1022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1039</v>
      </c>
      <c r="C18">
        <v>2</v>
      </c>
      <c r="D18" t="s">
        <v>1040</v>
      </c>
      <c r="E18">
        <v>5</v>
      </c>
      <c r="F18">
        <v>203</v>
      </c>
      <c r="G18" t="s">
        <v>1022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1053</v>
      </c>
      <c r="C19">
        <v>2</v>
      </c>
      <c r="D19" t="s">
        <v>1040</v>
      </c>
      <c r="E19">
        <v>5</v>
      </c>
      <c r="F19">
        <v>214</v>
      </c>
      <c r="G19" t="s">
        <v>1022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1037</v>
      </c>
      <c r="C20">
        <v>2</v>
      </c>
      <c r="D20" t="s">
        <v>1024</v>
      </c>
      <c r="E20">
        <v>5</v>
      </c>
      <c r="F20">
        <v>201</v>
      </c>
      <c r="G20" t="s">
        <v>1022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1038</v>
      </c>
      <c r="C21">
        <v>2</v>
      </c>
      <c r="D21" t="s">
        <v>1024</v>
      </c>
      <c r="E21">
        <v>5</v>
      </c>
      <c r="F21">
        <v>202</v>
      </c>
      <c r="G21" t="s">
        <v>1022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1051</v>
      </c>
      <c r="C22">
        <v>2</v>
      </c>
      <c r="D22" t="s">
        <v>1024</v>
      </c>
      <c r="E22">
        <v>5</v>
      </c>
      <c r="F22">
        <v>212</v>
      </c>
      <c r="G22" t="s">
        <v>1022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1046</v>
      </c>
      <c r="C23">
        <v>2</v>
      </c>
      <c r="D23" t="s">
        <v>1024</v>
      </c>
      <c r="E23">
        <v>5</v>
      </c>
      <c r="F23">
        <v>208</v>
      </c>
      <c r="G23" t="s">
        <v>1022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1045</v>
      </c>
      <c r="C24">
        <v>2</v>
      </c>
      <c r="D24" t="s">
        <v>1042</v>
      </c>
      <c r="E24">
        <v>1</v>
      </c>
      <c r="F24">
        <v>206</v>
      </c>
      <c r="G24" t="s">
        <v>1022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1041</v>
      </c>
      <c r="C25">
        <v>2</v>
      </c>
      <c r="D25" t="s">
        <v>1042</v>
      </c>
      <c r="E25">
        <v>5</v>
      </c>
      <c r="F25">
        <v>204</v>
      </c>
      <c r="G25" t="s">
        <v>1022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1049</v>
      </c>
      <c r="C26">
        <v>2</v>
      </c>
      <c r="D26" t="s">
        <v>1050</v>
      </c>
      <c r="E26">
        <v>5</v>
      </c>
      <c r="F26">
        <v>211</v>
      </c>
      <c r="G26" t="s">
        <v>1022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1047</v>
      </c>
      <c r="C27">
        <v>2</v>
      </c>
      <c r="D27" t="s">
        <v>1021</v>
      </c>
      <c r="E27">
        <v>5</v>
      </c>
      <c r="F27">
        <v>209</v>
      </c>
      <c r="G27" t="s">
        <v>1022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1052</v>
      </c>
      <c r="C28">
        <v>2</v>
      </c>
      <c r="D28" t="s">
        <v>1021</v>
      </c>
      <c r="E28">
        <v>5</v>
      </c>
      <c r="F28">
        <v>213</v>
      </c>
      <c r="G28" t="s">
        <v>1022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1043</v>
      </c>
      <c r="C29">
        <v>2</v>
      </c>
      <c r="D29" t="s">
        <v>1044</v>
      </c>
      <c r="E29">
        <v>5</v>
      </c>
      <c r="F29">
        <v>205</v>
      </c>
      <c r="G29" t="s">
        <v>1022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1048</v>
      </c>
      <c r="C30">
        <v>2</v>
      </c>
      <c r="D30" t="s">
        <v>1021</v>
      </c>
      <c r="E30">
        <v>5</v>
      </c>
      <c r="F30">
        <v>210</v>
      </c>
      <c r="G30" t="s">
        <v>1022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1059</v>
      </c>
      <c r="C31">
        <v>3</v>
      </c>
      <c r="D31" t="s">
        <v>1050</v>
      </c>
      <c r="E31">
        <v>5</v>
      </c>
      <c r="F31">
        <v>306</v>
      </c>
      <c r="G31" t="s">
        <v>1022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1064</v>
      </c>
      <c r="C32">
        <v>3</v>
      </c>
      <c r="D32" t="s">
        <v>1042</v>
      </c>
      <c r="E32">
        <v>1</v>
      </c>
      <c r="F32">
        <v>310</v>
      </c>
      <c r="G32" t="s">
        <v>1022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1056</v>
      </c>
      <c r="C33">
        <v>3</v>
      </c>
      <c r="D33" t="s">
        <v>1024</v>
      </c>
      <c r="E33">
        <v>5</v>
      </c>
      <c r="F33">
        <v>303</v>
      </c>
      <c r="G33" t="s">
        <v>1022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1057</v>
      </c>
      <c r="C34">
        <v>3</v>
      </c>
      <c r="D34" t="s">
        <v>1021</v>
      </c>
      <c r="E34">
        <v>5</v>
      </c>
      <c r="F34">
        <v>304</v>
      </c>
      <c r="G34" t="s">
        <v>1022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1062</v>
      </c>
      <c r="C35">
        <v>3</v>
      </c>
      <c r="D35" t="s">
        <v>1063</v>
      </c>
      <c r="E35">
        <v>5</v>
      </c>
      <c r="F35">
        <v>309</v>
      </c>
      <c r="G35" t="s">
        <v>1022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1061</v>
      </c>
      <c r="C36">
        <v>3</v>
      </c>
      <c r="D36" t="s">
        <v>1050</v>
      </c>
      <c r="E36">
        <v>5</v>
      </c>
      <c r="F36">
        <v>308</v>
      </c>
      <c r="G36" t="s">
        <v>1022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1054</v>
      </c>
      <c r="C37">
        <v>3</v>
      </c>
      <c r="D37" t="s">
        <v>1021</v>
      </c>
      <c r="E37">
        <v>5</v>
      </c>
      <c r="F37">
        <v>301</v>
      </c>
      <c r="G37" t="s">
        <v>1022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1060</v>
      </c>
      <c r="C38">
        <v>3</v>
      </c>
      <c r="D38" t="s">
        <v>1050</v>
      </c>
      <c r="E38">
        <v>5</v>
      </c>
      <c r="F38">
        <v>307</v>
      </c>
      <c r="G38" t="s">
        <v>1022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1058</v>
      </c>
      <c r="C39">
        <v>3</v>
      </c>
      <c r="D39" t="s">
        <v>1021</v>
      </c>
      <c r="E39">
        <v>5</v>
      </c>
      <c r="F39">
        <v>305</v>
      </c>
      <c r="G39" t="s">
        <v>1022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1055</v>
      </c>
      <c r="C40">
        <v>3</v>
      </c>
      <c r="D40" t="s">
        <v>1021</v>
      </c>
      <c r="E40">
        <v>5</v>
      </c>
      <c r="F40">
        <v>302</v>
      </c>
      <c r="G40" t="s">
        <v>1022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1132</v>
      </c>
    </row>
    <row r="2" spans="1:3" x14ac:dyDescent="0.25">
      <c r="A2" s="1">
        <v>1001</v>
      </c>
      <c r="B2" t="s">
        <v>1135</v>
      </c>
      <c r="C2" t="s">
        <v>1133</v>
      </c>
    </row>
    <row r="3" spans="1:3" x14ac:dyDescent="0.25">
      <c r="A3" s="1">
        <v>1002</v>
      </c>
      <c r="B3" t="s">
        <v>1130</v>
      </c>
      <c r="C3" t="s">
        <v>1134</v>
      </c>
    </row>
    <row r="4" spans="1:3" x14ac:dyDescent="0.25">
      <c r="A4" s="1">
        <v>1003</v>
      </c>
      <c r="B4" t="s">
        <v>1131</v>
      </c>
      <c r="C4" t="s">
        <v>1142</v>
      </c>
    </row>
    <row r="5" spans="1:3" x14ac:dyDescent="0.25">
      <c r="A5" s="1">
        <v>1004</v>
      </c>
      <c r="B5" t="s">
        <v>1066</v>
      </c>
      <c r="C5" t="s">
        <v>1143</v>
      </c>
    </row>
    <row r="6" spans="1:3" x14ac:dyDescent="0.25">
      <c r="A6" s="1">
        <v>1005</v>
      </c>
      <c r="B6" t="s">
        <v>1067</v>
      </c>
      <c r="C6" t="s">
        <v>1144</v>
      </c>
    </row>
    <row r="8" spans="1:3" x14ac:dyDescent="0.25">
      <c r="A8" s="1">
        <v>2003</v>
      </c>
      <c r="B8" t="s">
        <v>1136</v>
      </c>
      <c r="C8" t="s">
        <v>1145</v>
      </c>
    </row>
    <row r="9" spans="1:3" x14ac:dyDescent="0.25">
      <c r="A9" s="1">
        <v>2004</v>
      </c>
      <c r="B9" t="s">
        <v>1137</v>
      </c>
      <c r="C9" t="s">
        <v>1146</v>
      </c>
    </row>
    <row r="11" spans="1:3" x14ac:dyDescent="0.25">
      <c r="A11" s="1">
        <v>3001</v>
      </c>
      <c r="B11" t="s">
        <v>1138</v>
      </c>
      <c r="C11" t="s">
        <v>1147</v>
      </c>
    </row>
    <row r="12" spans="1:3" x14ac:dyDescent="0.25">
      <c r="A12" s="1">
        <v>3002</v>
      </c>
      <c r="B12" t="s">
        <v>1140</v>
      </c>
      <c r="C12" t="s">
        <v>1148</v>
      </c>
    </row>
    <row r="13" spans="1:3" x14ac:dyDescent="0.25">
      <c r="A13" s="1">
        <v>3003</v>
      </c>
      <c r="B13" t="s">
        <v>1141</v>
      </c>
      <c r="C13" t="s">
        <v>1149</v>
      </c>
    </row>
    <row r="14" spans="1:3" x14ac:dyDescent="0.25">
      <c r="A14" s="1">
        <v>3004</v>
      </c>
      <c r="B14" t="s">
        <v>1139</v>
      </c>
      <c r="C14" t="s">
        <v>1150</v>
      </c>
    </row>
    <row r="15" spans="1:3" x14ac:dyDescent="0.25">
      <c r="A15" s="1">
        <v>3005</v>
      </c>
      <c r="B15" t="s">
        <v>1068</v>
      </c>
      <c r="C15" t="s">
        <v>1151</v>
      </c>
    </row>
    <row r="16" spans="1:3" x14ac:dyDescent="0.25">
      <c r="A16" s="1">
        <v>3006</v>
      </c>
      <c r="B16" t="s">
        <v>1069</v>
      </c>
      <c r="C16" t="s">
        <v>1152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1081</v>
      </c>
      <c r="C1" s="43" t="s">
        <v>1089</v>
      </c>
      <c r="D1" s="43" t="s">
        <v>1104</v>
      </c>
      <c r="E1" s="43" t="s">
        <v>1105</v>
      </c>
      <c r="F1" s="43" t="s">
        <v>1106</v>
      </c>
      <c r="G1" s="43" t="s">
        <v>1107</v>
      </c>
      <c r="H1" s="43" t="s">
        <v>1108</v>
      </c>
      <c r="I1" s="43" t="s">
        <v>1109</v>
      </c>
      <c r="J1" s="43" t="s">
        <v>1110</v>
      </c>
      <c r="K1" s="43" t="s">
        <v>1111</v>
      </c>
      <c r="L1" s="43" t="s">
        <v>1112</v>
      </c>
      <c r="M1" s="43" t="s">
        <v>1113</v>
      </c>
      <c r="N1" s="43" t="s">
        <v>1114</v>
      </c>
      <c r="O1" s="43" t="s">
        <v>1115</v>
      </c>
      <c r="P1" s="43" t="s">
        <v>1116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774</v>
      </c>
      <c r="B1" s="239"/>
      <c r="C1" s="239"/>
      <c r="E1" s="239" t="s">
        <v>775</v>
      </c>
      <c r="F1" s="239"/>
      <c r="G1" s="239"/>
      <c r="I1" s="239" t="s">
        <v>883</v>
      </c>
      <c r="J1" s="239"/>
      <c r="K1" s="239"/>
      <c r="M1" s="239" t="s">
        <v>1090</v>
      </c>
      <c r="N1" s="239"/>
      <c r="O1" s="239"/>
      <c r="Q1" s="240" t="s">
        <v>776</v>
      </c>
      <c r="R1" s="240"/>
      <c r="S1" s="240"/>
      <c r="T1" s="240"/>
      <c r="U1" s="240"/>
      <c r="V1" s="240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workbookViewId="0"/>
  </sheetViews>
  <sheetFormatPr defaultRowHeight="15" x14ac:dyDescent="0.25"/>
  <cols>
    <col min="1" max="1" width="9.140625" style="164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986</v>
      </c>
      <c r="C8" t="s">
        <v>988</v>
      </c>
      <c r="G8" s="141" t="s">
        <v>965</v>
      </c>
      <c r="H8" s="142" t="s">
        <v>966</v>
      </c>
    </row>
    <row r="9" spans="2:11" customFormat="1" x14ac:dyDescent="0.25">
      <c r="B9" t="s">
        <v>981</v>
      </c>
      <c r="C9" t="s">
        <v>971</v>
      </c>
      <c r="G9" s="143" t="str">
        <f>IFERROR(INDEX('Strat Buff Data'!B:B,MATCH(Main!$B64,'Strat Buff Data'!$A:$A,0)),"N/A")</f>
        <v>N/A</v>
      </c>
      <c r="H9" s="144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982</v>
      </c>
      <c r="C10" t="s">
        <v>972</v>
      </c>
      <c r="G10" s="143" t="str">
        <f>IFERROR(INDEX('Strat Buff Data'!B:B,MATCH(Main!$B65,'Strat Buff Data'!$A:$A,0)),"N/A")</f>
        <v>N/A</v>
      </c>
      <c r="H10" s="144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983</v>
      </c>
      <c r="C11" t="s">
        <v>973</v>
      </c>
      <c r="G11" s="145" t="str">
        <f>IFERROR(INDEX('Strat Buff Data'!B:B,MATCH(Main!$B66,'Strat Buff Data'!$A:$A,0)),"N/A")</f>
        <v>N/A</v>
      </c>
      <c r="H11" s="146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984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970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986</v>
      </c>
      <c r="C20" t="s">
        <v>987</v>
      </c>
    </row>
    <row r="21" spans="1:3" x14ac:dyDescent="0.25">
      <c r="A21"/>
      <c r="B21" t="s">
        <v>873</v>
      </c>
      <c r="C21" t="s">
        <v>874</v>
      </c>
    </row>
    <row r="22" spans="1:3" x14ac:dyDescent="0.25">
      <c r="A22"/>
      <c r="B22" t="s">
        <v>989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990</v>
      </c>
    </row>
    <row r="25" spans="1:3" x14ac:dyDescent="0.25">
      <c r="A25"/>
      <c r="B25" t="s">
        <v>986</v>
      </c>
      <c r="C25" t="s">
        <v>987</v>
      </c>
    </row>
    <row r="26" spans="1:3" x14ac:dyDescent="0.25">
      <c r="A26"/>
      <c r="B26" t="s">
        <v>873</v>
      </c>
      <c r="C26" t="s">
        <v>991</v>
      </c>
    </row>
    <row r="27" spans="1:3" x14ac:dyDescent="0.25">
      <c r="A27"/>
      <c r="B27" t="s">
        <v>989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993</v>
      </c>
      <c r="C28" t="str">
        <f>SUBSTITUTE(C27,1801,18&amp;TEXT(Main!C71,"00"))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4" customFormat="1" x14ac:dyDescent="0.25">
      <c r="B30" s="162" t="s">
        <v>872</v>
      </c>
      <c r="C30" s="163"/>
    </row>
    <row r="31" spans="1:3" s="164" customFormat="1" x14ac:dyDescent="0.25">
      <c r="B31" s="160" t="s">
        <v>780</v>
      </c>
      <c r="C31" s="161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4" customFormat="1" x14ac:dyDescent="0.25">
      <c r="B32" s="160" t="s">
        <v>781</v>
      </c>
      <c r="C32" s="161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4" customFormat="1" x14ac:dyDescent="0.25">
      <c r="B33" s="160" t="s">
        <v>903</v>
      </c>
      <c r="C33" s="161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4" customFormat="1" x14ac:dyDescent="0.25">
      <c r="B34" s="160" t="s">
        <v>904</v>
      </c>
      <c r="C34" s="161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4" customFormat="1" x14ac:dyDescent="0.25">
      <c r="B35" s="40" t="s">
        <v>782</v>
      </c>
      <c r="C35" s="161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4" customFormat="1" x14ac:dyDescent="0.25">
      <c r="B36" s="40" t="s">
        <v>785</v>
      </c>
      <c r="C36" s="161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C:\Users\danny\Documents\GitHub\GFLBattleSim-JSONGenerator\Preset\battle_day\mission_act_info.json</v>
      </c>
    </row>
    <row r="37" spans="2:3" s="164" customFormat="1" x14ac:dyDescent="0.25">
      <c r="B37" s="40" t="s">
        <v>1159</v>
      </c>
      <c r="C37" s="161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4" customFormat="1" x14ac:dyDescent="0.25">
      <c r="B38" s="40" t="s">
        <v>1160</v>
      </c>
      <c r="C38" s="161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4" customFormat="1" x14ac:dyDescent="0.25">
      <c r="B39" s="40" t="s">
        <v>1161</v>
      </c>
      <c r="C39" s="161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4" customFormat="1" x14ac:dyDescent="0.25">
      <c r="B40" s="40" t="s">
        <v>796</v>
      </c>
      <c r="C40" s="161" t="str">
        <f ca="1">LEFT(CELL("filename",Main!$A$1),FIND("[",CELL("filename",Main!$A$1))-1)&amp;"GFBattleSimulator.json"</f>
        <v>C:\Users\danny\Documents\GitHub\GFLBattleSim-JSONGenerator\GFBattleSimulator.json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1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938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1765</v>
      </c>
      <c r="G2" s="9" t="s">
        <v>267</v>
      </c>
      <c r="H2" s="9" t="s">
        <v>117</v>
      </c>
      <c r="I2" s="9" t="s">
        <v>760</v>
      </c>
      <c r="J2" s="9" t="s">
        <v>1780</v>
      </c>
      <c r="K2" s="9" t="s">
        <v>761</v>
      </c>
      <c r="L2" s="9" t="s">
        <v>838</v>
      </c>
      <c r="M2" s="9" t="s">
        <v>1224</v>
      </c>
      <c r="N2" s="9" t="s">
        <v>813</v>
      </c>
      <c r="O2" s="9" t="s">
        <v>1521</v>
      </c>
      <c r="P2" s="9" t="s">
        <v>176</v>
      </c>
      <c r="Q2" s="9" t="s">
        <v>1787</v>
      </c>
      <c r="R2" s="9" t="s">
        <v>1262</v>
      </c>
      <c r="S2" s="9" t="s">
        <v>138</v>
      </c>
      <c r="T2" s="9" t="s">
        <v>726</v>
      </c>
      <c r="U2" s="9" t="s">
        <v>850</v>
      </c>
      <c r="V2" s="9" t="s">
        <v>1551</v>
      </c>
      <c r="W2" s="9" t="s">
        <v>1726</v>
      </c>
      <c r="X2" s="9" t="s">
        <v>115</v>
      </c>
      <c r="Y2" s="9" t="s">
        <v>1736</v>
      </c>
      <c r="Z2" s="9" t="s">
        <v>747</v>
      </c>
      <c r="AA2" s="9" t="s">
        <v>953</v>
      </c>
      <c r="AC2" s="9" t="s">
        <v>250</v>
      </c>
      <c r="AD2" s="9" t="s">
        <v>1708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932</v>
      </c>
      <c r="AV2" t="s">
        <v>761</v>
      </c>
    </row>
    <row r="3" spans="1:50" x14ac:dyDescent="0.25">
      <c r="A3" s="9">
        <v>3</v>
      </c>
      <c r="B3" t="s">
        <v>7</v>
      </c>
      <c r="C3" s="9" t="s">
        <v>1252</v>
      </c>
      <c r="D3" s="9" t="s">
        <v>72</v>
      </c>
      <c r="E3" s="9" t="s">
        <v>828</v>
      </c>
      <c r="F3" s="9" t="s">
        <v>197</v>
      </c>
      <c r="G3" s="9" t="s">
        <v>847</v>
      </c>
      <c r="H3" s="9" t="s">
        <v>77</v>
      </c>
      <c r="I3" s="9" t="s">
        <v>1793</v>
      </c>
      <c r="J3" s="9" t="s">
        <v>806</v>
      </c>
      <c r="K3" s="9" t="s">
        <v>1794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1238</v>
      </c>
      <c r="S3" s="9" t="s">
        <v>1720</v>
      </c>
      <c r="T3" s="9" t="s">
        <v>1752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931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1791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1721</v>
      </c>
      <c r="M4" s="9" t="s">
        <v>90</v>
      </c>
      <c r="N4" s="9" t="s">
        <v>175</v>
      </c>
      <c r="O4" s="9" t="s">
        <v>193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930</v>
      </c>
      <c r="AV4" t="s">
        <v>1712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194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1716</v>
      </c>
      <c r="N5" s="9" t="s">
        <v>821</v>
      </c>
      <c r="O5" s="9" t="s">
        <v>201</v>
      </c>
      <c r="P5" s="9" t="s">
        <v>173</v>
      </c>
      <c r="R5" s="9" t="s">
        <v>103</v>
      </c>
      <c r="S5" s="9" t="s">
        <v>1730</v>
      </c>
      <c r="T5" s="9" t="s">
        <v>1815</v>
      </c>
      <c r="U5" s="9" t="s">
        <v>1795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1764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929</v>
      </c>
      <c r="AV5" t="s">
        <v>733</v>
      </c>
    </row>
    <row r="6" spans="1:50" x14ac:dyDescent="0.25">
      <c r="A6" s="9">
        <v>6</v>
      </c>
      <c r="B6" t="s">
        <v>4</v>
      </c>
      <c r="C6" s="9" t="s">
        <v>1723</v>
      </c>
      <c r="D6" s="9" t="s">
        <v>1750</v>
      </c>
      <c r="E6" s="9" t="s">
        <v>180</v>
      </c>
      <c r="F6" s="9" t="s">
        <v>1792</v>
      </c>
      <c r="H6" s="9" t="s">
        <v>80</v>
      </c>
      <c r="I6" s="9" t="s">
        <v>1713</v>
      </c>
      <c r="J6" s="9" t="s">
        <v>1826</v>
      </c>
      <c r="K6" s="9" t="s">
        <v>1747</v>
      </c>
      <c r="M6" s="9" t="s">
        <v>97</v>
      </c>
      <c r="N6" s="9" t="s">
        <v>86</v>
      </c>
      <c r="O6" s="9" t="s">
        <v>259</v>
      </c>
      <c r="P6" s="9" t="s">
        <v>913</v>
      </c>
      <c r="R6" s="9" t="s">
        <v>754</v>
      </c>
      <c r="S6" s="9" t="s">
        <v>1742</v>
      </c>
      <c r="T6" s="9" t="s">
        <v>101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928</v>
      </c>
      <c r="AV6" t="s">
        <v>943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797</v>
      </c>
      <c r="F7" s="9" t="s">
        <v>198</v>
      </c>
      <c r="H7" s="9" t="s">
        <v>1204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800</v>
      </c>
      <c r="P7" s="9" t="s">
        <v>1743</v>
      </c>
      <c r="R7" s="9" t="s">
        <v>136</v>
      </c>
      <c r="S7" s="9" t="s">
        <v>1725</v>
      </c>
      <c r="T7" s="9" t="s">
        <v>1767</v>
      </c>
      <c r="U7" s="9" t="s">
        <v>1769</v>
      </c>
      <c r="X7" s="9" t="s">
        <v>1249</v>
      </c>
      <c r="Y7" s="9" t="s">
        <v>849</v>
      </c>
      <c r="Z7" s="9" t="s">
        <v>264</v>
      </c>
      <c r="AC7" s="9" t="s">
        <v>1738</v>
      </c>
      <c r="AD7" s="9" t="s">
        <v>147</v>
      </c>
      <c r="AE7" s="9" t="s">
        <v>1741</v>
      </c>
      <c r="AP7" t="s">
        <v>574</v>
      </c>
      <c r="AQ7" t="s">
        <v>556</v>
      </c>
      <c r="AU7" t="s">
        <v>937</v>
      </c>
      <c r="AV7" t="s">
        <v>942</v>
      </c>
    </row>
    <row r="8" spans="1:50" x14ac:dyDescent="0.25">
      <c r="A8" s="9"/>
      <c r="C8" s="9" t="s">
        <v>70</v>
      </c>
      <c r="D8" s="9" t="s">
        <v>63</v>
      </c>
      <c r="E8" s="9" t="s">
        <v>257</v>
      </c>
      <c r="F8" s="9" t="s">
        <v>1733</v>
      </c>
      <c r="G8" s="9"/>
      <c r="H8" s="9" t="s">
        <v>926</v>
      </c>
      <c r="I8" s="9" t="s">
        <v>167</v>
      </c>
      <c r="J8" s="9" t="s">
        <v>157</v>
      </c>
      <c r="K8" s="9" t="s">
        <v>1706</v>
      </c>
      <c r="N8" s="9" t="s">
        <v>801</v>
      </c>
      <c r="O8" s="9" t="s">
        <v>818</v>
      </c>
      <c r="P8" s="9" t="s">
        <v>238</v>
      </c>
      <c r="S8" s="9" t="s">
        <v>1242</v>
      </c>
      <c r="T8" s="9" t="s">
        <v>177</v>
      </c>
      <c r="U8" s="9" t="s">
        <v>1772</v>
      </c>
      <c r="X8" s="9" t="s">
        <v>802</v>
      </c>
      <c r="Y8" s="9" t="s">
        <v>105</v>
      </c>
      <c r="Z8" s="9" t="s">
        <v>1821</v>
      </c>
      <c r="AC8" s="9" t="s">
        <v>217</v>
      </c>
      <c r="AD8" s="9" t="s">
        <v>725</v>
      </c>
      <c r="AE8" s="9" t="s">
        <v>1285</v>
      </c>
      <c r="AP8" t="s">
        <v>575</v>
      </c>
      <c r="AQ8" t="s">
        <v>557</v>
      </c>
      <c r="AU8" t="s">
        <v>927</v>
      </c>
      <c r="AV8" t="s">
        <v>944</v>
      </c>
    </row>
    <row r="9" spans="1:50" x14ac:dyDescent="0.25">
      <c r="A9" s="9"/>
      <c r="C9" s="9" t="s">
        <v>1273</v>
      </c>
      <c r="D9" s="9" t="s">
        <v>68</v>
      </c>
      <c r="E9" s="9" t="s">
        <v>964</v>
      </c>
      <c r="F9" s="9" t="s">
        <v>120</v>
      </c>
      <c r="G9" s="9"/>
      <c r="H9" s="9" t="s">
        <v>116</v>
      </c>
      <c r="I9" s="9" t="s">
        <v>1770</v>
      </c>
      <c r="J9" s="9" t="s">
        <v>1766</v>
      </c>
      <c r="K9" s="9" t="s">
        <v>252</v>
      </c>
      <c r="N9" s="9" t="s">
        <v>89</v>
      </c>
      <c r="O9" s="9" t="s">
        <v>738</v>
      </c>
      <c r="P9" s="9" t="s">
        <v>817</v>
      </c>
      <c r="S9" s="9" t="s">
        <v>208</v>
      </c>
      <c r="T9" s="9" t="s">
        <v>1761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945</v>
      </c>
      <c r="AV9" t="s">
        <v>939</v>
      </c>
    </row>
    <row r="10" spans="1:50" x14ac:dyDescent="0.25">
      <c r="A10" s="9"/>
      <c r="C10" s="9"/>
      <c r="D10" s="9" t="s">
        <v>1749</v>
      </c>
      <c r="E10" s="9" t="s">
        <v>1257</v>
      </c>
      <c r="F10" s="9" t="s">
        <v>1771</v>
      </c>
      <c r="G10" s="9"/>
      <c r="H10" s="9" t="s">
        <v>118</v>
      </c>
      <c r="I10" s="9" t="s">
        <v>84</v>
      </c>
      <c r="J10" s="9" t="s">
        <v>723</v>
      </c>
      <c r="K10" t="s">
        <v>1797</v>
      </c>
      <c r="N10" s="9" t="s">
        <v>186</v>
      </c>
      <c r="O10" s="9" t="s">
        <v>1728</v>
      </c>
      <c r="P10" s="9" t="s">
        <v>143</v>
      </c>
      <c r="S10" s="9" t="s">
        <v>218</v>
      </c>
      <c r="T10" s="9" t="s">
        <v>719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954</v>
      </c>
      <c r="AE10" s="9" t="s">
        <v>145</v>
      </c>
      <c r="AU10" t="s">
        <v>946</v>
      </c>
      <c r="AV10" t="s">
        <v>941</v>
      </c>
    </row>
    <row r="11" spans="1:50" x14ac:dyDescent="0.25">
      <c r="A11" s="9"/>
      <c r="C11" s="9"/>
      <c r="D11" s="9" t="s">
        <v>1753</v>
      </c>
      <c r="E11" s="9" t="s">
        <v>1789</v>
      </c>
      <c r="F11" s="9" t="s">
        <v>202</v>
      </c>
      <c r="G11" s="9"/>
      <c r="I11" s="9" t="s">
        <v>210</v>
      </c>
      <c r="J11" s="9" t="s">
        <v>1763</v>
      </c>
      <c r="K11" s="9" t="s">
        <v>241</v>
      </c>
      <c r="N11" s="9" t="s">
        <v>1735</v>
      </c>
      <c r="O11" s="9" t="s">
        <v>91</v>
      </c>
      <c r="P11" s="9" t="s">
        <v>168</v>
      </c>
      <c r="S11" s="9" t="s">
        <v>205</v>
      </c>
      <c r="T11" s="9" t="s">
        <v>1823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1740</v>
      </c>
      <c r="AE11" s="9" t="s">
        <v>824</v>
      </c>
      <c r="AL11" s="40"/>
      <c r="AU11" t="s">
        <v>947</v>
      </c>
      <c r="AV11" t="s">
        <v>940</v>
      </c>
    </row>
    <row r="12" spans="1:50" x14ac:dyDescent="0.25">
      <c r="A12" s="9"/>
      <c r="C12" s="9"/>
      <c r="D12" s="9" t="s">
        <v>71</v>
      </c>
      <c r="E12" s="9" t="s">
        <v>211</v>
      </c>
      <c r="F12" s="9" t="s">
        <v>1798</v>
      </c>
      <c r="G12" s="9"/>
      <c r="I12" s="9" t="s">
        <v>1734</v>
      </c>
      <c r="J12" s="9" t="s">
        <v>258</v>
      </c>
      <c r="K12" s="9" t="s">
        <v>816</v>
      </c>
      <c r="N12" s="9" t="s">
        <v>1755</v>
      </c>
      <c r="O12" s="9" t="s">
        <v>159</v>
      </c>
      <c r="P12" s="9" t="s">
        <v>93</v>
      </c>
      <c r="S12" s="9" t="s">
        <v>184</v>
      </c>
      <c r="T12" s="9" t="s">
        <v>831</v>
      </c>
      <c r="U12" s="9" t="s">
        <v>262</v>
      </c>
      <c r="Y12" s="9" t="s">
        <v>128</v>
      </c>
      <c r="Z12" s="9" t="s">
        <v>126</v>
      </c>
      <c r="AD12" s="9" t="s">
        <v>1737</v>
      </c>
      <c r="AE12" s="9" t="s">
        <v>240</v>
      </c>
      <c r="AL12" s="40"/>
      <c r="AU12" t="s">
        <v>934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122</v>
      </c>
      <c r="F13" s="9" t="s">
        <v>832</v>
      </c>
      <c r="G13" s="9"/>
      <c r="I13" s="9" t="s">
        <v>1746</v>
      </c>
      <c r="J13" s="9" t="s">
        <v>739</v>
      </c>
      <c r="K13" s="9" t="s">
        <v>1513</v>
      </c>
      <c r="N13" s="9" t="s">
        <v>245</v>
      </c>
      <c r="O13" s="9" t="s">
        <v>189</v>
      </c>
      <c r="P13" s="9" t="s">
        <v>270</v>
      </c>
      <c r="S13" s="9" t="s">
        <v>736</v>
      </c>
      <c r="T13" s="9" t="s">
        <v>1781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9" t="s">
        <v>1504</v>
      </c>
      <c r="AL13" s="40"/>
      <c r="AU13" t="s">
        <v>933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815</v>
      </c>
      <c r="F14" s="9" t="s">
        <v>827</v>
      </c>
      <c r="G14" s="9"/>
      <c r="I14" s="9" t="s">
        <v>1714</v>
      </c>
      <c r="J14" s="9" t="s">
        <v>1732</v>
      </c>
      <c r="K14" s="9" t="s">
        <v>82</v>
      </c>
      <c r="N14" s="9" t="s">
        <v>1748</v>
      </c>
      <c r="O14" s="9" t="s">
        <v>87</v>
      </c>
      <c r="P14" s="9" t="s">
        <v>96</v>
      </c>
      <c r="S14" s="9" t="s">
        <v>102</v>
      </c>
      <c r="T14" s="9" t="s">
        <v>1239</v>
      </c>
      <c r="U14" s="9" t="s">
        <v>124</v>
      </c>
      <c r="Y14" s="9" t="s">
        <v>820</v>
      </c>
      <c r="Z14" s="9" t="s">
        <v>798</v>
      </c>
      <c r="AD14" s="9" t="s">
        <v>1745</v>
      </c>
      <c r="AE14" s="9" t="s">
        <v>165</v>
      </c>
      <c r="AL14" s="40"/>
      <c r="AM14" s="40"/>
      <c r="AU14" t="s">
        <v>936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19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247</v>
      </c>
      <c r="P15" s="9" t="s">
        <v>203</v>
      </c>
      <c r="S15" s="9" t="s">
        <v>1776</v>
      </c>
      <c r="T15" s="9" t="s">
        <v>1531</v>
      </c>
      <c r="U15" s="9" t="s">
        <v>1266</v>
      </c>
      <c r="Y15" s="9" t="s">
        <v>799</v>
      </c>
      <c r="Z15" s="9" t="s">
        <v>1768</v>
      </c>
      <c r="AD15" s="9" t="s">
        <v>1778</v>
      </c>
      <c r="AE15" s="9" t="s">
        <v>1739</v>
      </c>
      <c r="AL15" s="40"/>
      <c r="AM15" s="40"/>
      <c r="AP15" s="40"/>
      <c r="AU15" t="s">
        <v>935</v>
      </c>
      <c r="AV15" t="s">
        <v>747</v>
      </c>
    </row>
    <row r="16" spans="1:50" x14ac:dyDescent="0.25">
      <c r="A16" s="9"/>
      <c r="C16" s="9"/>
      <c r="D16" s="9" t="s">
        <v>1777</v>
      </c>
      <c r="E16" s="9" t="s">
        <v>153</v>
      </c>
      <c r="F16" s="9" t="s">
        <v>195</v>
      </c>
      <c r="G16" s="9"/>
      <c r="I16" s="9" t="s">
        <v>840</v>
      </c>
      <c r="J16" s="9" t="s">
        <v>1715</v>
      </c>
      <c r="K16" s="9" t="s">
        <v>1751</v>
      </c>
      <c r="N16" s="9" t="s">
        <v>130</v>
      </c>
      <c r="O16" s="9" t="s">
        <v>845</v>
      </c>
      <c r="P16" s="9" t="s">
        <v>187</v>
      </c>
      <c r="S16" s="9" t="s">
        <v>169</v>
      </c>
      <c r="T16" s="9" t="s">
        <v>844</v>
      </c>
      <c r="U16" s="9" t="s">
        <v>1533</v>
      </c>
      <c r="Y16" s="9" t="s">
        <v>1757</v>
      </c>
      <c r="Z16" s="9" t="s">
        <v>1783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1724</v>
      </c>
      <c r="F17" s="9" t="s">
        <v>131</v>
      </c>
      <c r="G17" s="9"/>
      <c r="I17" s="9" t="s">
        <v>1779</v>
      </c>
      <c r="J17" s="9" t="s">
        <v>1782</v>
      </c>
      <c r="K17" s="9" t="s">
        <v>1758</v>
      </c>
      <c r="N17" s="9" t="s">
        <v>1717</v>
      </c>
      <c r="O17" s="9" t="s">
        <v>1786</v>
      </c>
      <c r="P17" s="9" t="s">
        <v>132</v>
      </c>
      <c r="S17" s="9" t="s">
        <v>242</v>
      </c>
      <c r="T17" s="9" t="s">
        <v>98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1756</v>
      </c>
      <c r="E18" s="9" t="s">
        <v>67</v>
      </c>
      <c r="F18" s="9" t="s">
        <v>199</v>
      </c>
      <c r="G18" s="9"/>
      <c r="I18" s="9" t="s">
        <v>183</v>
      </c>
      <c r="J18" s="9" t="s">
        <v>811</v>
      </c>
      <c r="K18" s="9" t="s">
        <v>1790</v>
      </c>
      <c r="N18" s="9" t="s">
        <v>1762</v>
      </c>
      <c r="O18" s="9" t="s">
        <v>92</v>
      </c>
      <c r="P18" s="9" t="s">
        <v>833</v>
      </c>
      <c r="S18" s="9" t="s">
        <v>809</v>
      </c>
      <c r="T18" s="9" t="s">
        <v>99</v>
      </c>
      <c r="U18" s="9" t="s">
        <v>836</v>
      </c>
      <c r="Z18" t="s">
        <v>1796</v>
      </c>
      <c r="AE18" s="230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235</v>
      </c>
      <c r="F19" s="9" t="s">
        <v>1759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1744</v>
      </c>
      <c r="P19" s="9" t="s">
        <v>1785</v>
      </c>
      <c r="T19" s="9" t="s">
        <v>22</v>
      </c>
      <c r="U19" s="9" t="s">
        <v>225</v>
      </c>
      <c r="Z19" s="9" t="s">
        <v>1773</v>
      </c>
      <c r="AV19" t="s">
        <v>74</v>
      </c>
    </row>
    <row r="20" spans="1:48" x14ac:dyDescent="0.25">
      <c r="A20" s="9"/>
      <c r="C20" s="9"/>
      <c r="D20" s="9" t="s">
        <v>227</v>
      </c>
      <c r="E20" s="9"/>
      <c r="F20" s="9" t="s">
        <v>188</v>
      </c>
      <c r="G20" s="9"/>
      <c r="I20" s="9" t="s">
        <v>1727</v>
      </c>
      <c r="J20" s="9" t="s">
        <v>841</v>
      </c>
      <c r="K20" s="9" t="s">
        <v>1809</v>
      </c>
      <c r="N20" s="9" t="s">
        <v>1707</v>
      </c>
      <c r="O20" s="9" t="s">
        <v>812</v>
      </c>
      <c r="P20" s="9" t="s">
        <v>1718</v>
      </c>
      <c r="T20" s="9" t="s">
        <v>808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750</v>
      </c>
      <c r="K21" s="9" t="s">
        <v>1731</v>
      </c>
      <c r="N21" s="9" t="s">
        <v>119</v>
      </c>
      <c r="O21" s="9" t="s">
        <v>246</v>
      </c>
      <c r="P21" t="s">
        <v>1497</v>
      </c>
      <c r="T21" s="9" t="s">
        <v>231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127</v>
      </c>
      <c r="N22" s="9" t="s">
        <v>161</v>
      </c>
      <c r="O22" s="9" t="s">
        <v>842</v>
      </c>
      <c r="P22" s="9" t="s">
        <v>1760</v>
      </c>
      <c r="T22" s="9" t="s">
        <v>1754</v>
      </c>
      <c r="U22" s="9" t="s">
        <v>1812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76</v>
      </c>
      <c r="N23" s="9" t="s">
        <v>220</v>
      </c>
      <c r="O23" s="9" t="s">
        <v>851</v>
      </c>
      <c r="P23" s="9" t="s">
        <v>209</v>
      </c>
      <c r="T23" s="9" t="s">
        <v>1719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226</v>
      </c>
      <c r="O24" s="9" t="s">
        <v>174</v>
      </c>
      <c r="P24" s="9" t="s">
        <v>253</v>
      </c>
      <c r="T24" s="9" t="s">
        <v>843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269</v>
      </c>
      <c r="P25" s="9" t="s">
        <v>830</v>
      </c>
      <c r="T25" s="9" t="s">
        <v>748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268</v>
      </c>
      <c r="P26" s="9" t="s">
        <v>807</v>
      </c>
      <c r="T26" s="9" t="s">
        <v>1722</v>
      </c>
      <c r="U26" t="s">
        <v>1500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79</v>
      </c>
      <c r="P27" s="9" t="s">
        <v>746</v>
      </c>
      <c r="T27" s="9" t="s">
        <v>182</v>
      </c>
      <c r="U27" s="9" t="s">
        <v>1729</v>
      </c>
      <c r="AQ27" s="9"/>
      <c r="AV27" t="s">
        <v>1708</v>
      </c>
    </row>
    <row r="28" spans="1:48" x14ac:dyDescent="0.25">
      <c r="A28" s="9"/>
      <c r="B28" s="9"/>
      <c r="C28" s="9"/>
      <c r="D28" s="9"/>
      <c r="E28" s="9"/>
      <c r="F28" s="9"/>
      <c r="K28" s="9" t="s">
        <v>829</v>
      </c>
      <c r="P28" s="9" t="s">
        <v>826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200</v>
      </c>
      <c r="P29" s="9" t="s">
        <v>1321</v>
      </c>
      <c r="U29" s="9" t="s">
        <v>232</v>
      </c>
      <c r="AV29" t="s">
        <v>839</v>
      </c>
    </row>
    <row r="30" spans="1:48" x14ac:dyDescent="0.25">
      <c r="A30" s="9"/>
      <c r="C30" s="9"/>
      <c r="D30" s="9"/>
      <c r="E30" s="9"/>
      <c r="P30" s="9" t="s">
        <v>1774</v>
      </c>
      <c r="U30" s="9" t="s">
        <v>1775</v>
      </c>
      <c r="AV30" t="s">
        <v>1262</v>
      </c>
    </row>
    <row r="31" spans="1:48" x14ac:dyDescent="0.25">
      <c r="A31" s="9"/>
      <c r="C31" s="9"/>
      <c r="D31" s="9"/>
      <c r="E31" s="9"/>
      <c r="P31" s="9" t="s">
        <v>95</v>
      </c>
      <c r="U31" s="9" t="s">
        <v>912</v>
      </c>
      <c r="AV31" t="s">
        <v>728</v>
      </c>
    </row>
    <row r="32" spans="1:48" x14ac:dyDescent="0.25">
      <c r="A32" s="9"/>
      <c r="C32" s="9"/>
      <c r="D32" s="9"/>
      <c r="E32" s="9"/>
      <c r="P32" s="9" t="s">
        <v>955</v>
      </c>
      <c r="U32" s="9" t="s">
        <v>249</v>
      </c>
      <c r="AV32" t="s">
        <v>719</v>
      </c>
    </row>
    <row r="33" spans="1:48" x14ac:dyDescent="0.25">
      <c r="A33" s="9"/>
      <c r="C33" s="9"/>
      <c r="D33" s="9"/>
      <c r="E33" s="9"/>
      <c r="U33" s="9" t="s">
        <v>1788</v>
      </c>
      <c r="AV33" t="s">
        <v>125</v>
      </c>
    </row>
    <row r="34" spans="1:48" x14ac:dyDescent="0.25">
      <c r="A34" s="9"/>
      <c r="C34" s="9"/>
      <c r="D34" s="9"/>
      <c r="E34" s="9"/>
      <c r="U34" s="9" t="s">
        <v>160</v>
      </c>
      <c r="AV34" t="s">
        <v>1521</v>
      </c>
    </row>
    <row r="35" spans="1:48" x14ac:dyDescent="0.25">
      <c r="A35" s="9"/>
      <c r="C35" s="9"/>
      <c r="D35" s="9"/>
      <c r="E35" s="9"/>
      <c r="U35" t="s">
        <v>1784</v>
      </c>
      <c r="AV35" t="s">
        <v>1551</v>
      </c>
    </row>
    <row r="36" spans="1:48" x14ac:dyDescent="0.25">
      <c r="A36" s="9"/>
      <c r="C36" s="9"/>
      <c r="D36" s="9"/>
      <c r="E36" s="9"/>
      <c r="U36" s="9" t="s">
        <v>804</v>
      </c>
      <c r="AV36" t="s">
        <v>75</v>
      </c>
    </row>
    <row r="37" spans="1:48" x14ac:dyDescent="0.25">
      <c r="A37" s="9"/>
      <c r="C37" s="9"/>
      <c r="D37" s="9"/>
      <c r="E37" s="9"/>
      <c r="U37" s="9" t="s">
        <v>133</v>
      </c>
      <c r="AV37" t="s">
        <v>1533</v>
      </c>
    </row>
    <row r="38" spans="1:48" x14ac:dyDescent="0.25">
      <c r="A38" s="9"/>
      <c r="C38" s="9"/>
      <c r="D38" s="9"/>
      <c r="E38" s="9"/>
      <c r="U38" s="9" t="s">
        <v>134</v>
      </c>
      <c r="AV38" t="s">
        <v>1531</v>
      </c>
    </row>
    <row r="39" spans="1:48" x14ac:dyDescent="0.25">
      <c r="A39" s="9"/>
      <c r="C39" s="9"/>
      <c r="D39" s="9"/>
      <c r="E39" s="9"/>
      <c r="U39" s="9" t="s">
        <v>819</v>
      </c>
      <c r="AV39" t="s">
        <v>744</v>
      </c>
    </row>
    <row r="40" spans="1:48" x14ac:dyDescent="0.25">
      <c r="A40" s="9"/>
      <c r="C40" s="9"/>
      <c r="D40" s="9"/>
      <c r="E40" s="9"/>
      <c r="U40" s="9" t="s">
        <v>171</v>
      </c>
      <c r="AV40" t="s">
        <v>844</v>
      </c>
    </row>
    <row r="41" spans="1:48" x14ac:dyDescent="0.25">
      <c r="A41" s="9"/>
      <c r="C41" s="9"/>
      <c r="D41" s="9"/>
      <c r="E41" s="9"/>
      <c r="AV41" t="s">
        <v>120</v>
      </c>
    </row>
    <row r="42" spans="1:48" x14ac:dyDescent="0.25">
      <c r="A42" s="9"/>
      <c r="C42" s="9"/>
      <c r="D42" s="9"/>
      <c r="AV42" t="s">
        <v>1791</v>
      </c>
    </row>
    <row r="43" spans="1:48" x14ac:dyDescent="0.25">
      <c r="A43" s="9"/>
      <c r="C43" s="9"/>
      <c r="D43" s="9"/>
      <c r="AV43" t="s">
        <v>252</v>
      </c>
    </row>
    <row r="44" spans="1:48" x14ac:dyDescent="0.25">
      <c r="A44" s="9"/>
      <c r="C44" s="9"/>
      <c r="D44" s="9"/>
      <c r="AV44" t="s">
        <v>225</v>
      </c>
    </row>
    <row r="45" spans="1:48" x14ac:dyDescent="0.25">
      <c r="A45" s="9"/>
      <c r="C45" s="9"/>
      <c r="D45" s="9"/>
      <c r="AV45" t="s">
        <v>263</v>
      </c>
    </row>
    <row r="46" spans="1:48" x14ac:dyDescent="0.25">
      <c r="A46" s="9"/>
      <c r="C46" s="9"/>
      <c r="D46" s="9"/>
      <c r="AV46" t="s">
        <v>1826</v>
      </c>
    </row>
    <row r="47" spans="1:48" x14ac:dyDescent="0.25">
      <c r="A47" s="9"/>
      <c r="C47" s="9"/>
      <c r="D47" s="9"/>
      <c r="AV47" t="s">
        <v>266</v>
      </c>
    </row>
    <row r="48" spans="1:48" x14ac:dyDescent="0.25">
      <c r="A48" s="9"/>
      <c r="C48" s="9"/>
      <c r="D48" s="9"/>
      <c r="AV48" t="s">
        <v>78</v>
      </c>
    </row>
    <row r="49" spans="1:48" x14ac:dyDescent="0.25">
      <c r="A49" s="9"/>
      <c r="C49" s="9"/>
      <c r="D49" s="9"/>
      <c r="AV49" t="s">
        <v>1797</v>
      </c>
    </row>
    <row r="50" spans="1:48" x14ac:dyDescent="0.25">
      <c r="A50" s="9"/>
      <c r="C50" s="9"/>
      <c r="D50" s="9"/>
      <c r="AV50" t="s">
        <v>194</v>
      </c>
    </row>
    <row r="51" spans="1:48" x14ac:dyDescent="0.25">
      <c r="A51" s="9"/>
      <c r="C51" s="9"/>
      <c r="D51" s="9"/>
      <c r="AV51" t="s">
        <v>765</v>
      </c>
    </row>
    <row r="52" spans="1:48" x14ac:dyDescent="0.25">
      <c r="A52" s="9"/>
      <c r="C52" s="9"/>
      <c r="D52" s="9"/>
      <c r="AV52" t="s">
        <v>768</v>
      </c>
    </row>
    <row r="53" spans="1:48" x14ac:dyDescent="0.25">
      <c r="A53" s="9"/>
      <c r="C53" s="9"/>
      <c r="D53" s="9"/>
      <c r="AV53" t="s">
        <v>769</v>
      </c>
    </row>
    <row r="54" spans="1:48" x14ac:dyDescent="0.25">
      <c r="A54" s="9"/>
      <c r="C54" s="9"/>
      <c r="D54" s="9"/>
      <c r="AV54" t="s">
        <v>766</v>
      </c>
    </row>
    <row r="55" spans="1:48" x14ac:dyDescent="0.25">
      <c r="A55" s="9"/>
      <c r="C55" s="9"/>
      <c r="D55" s="9"/>
      <c r="AV55" t="s">
        <v>764</v>
      </c>
    </row>
    <row r="56" spans="1:48" x14ac:dyDescent="0.25">
      <c r="A56" s="9"/>
      <c r="C56" s="9"/>
      <c r="D56" s="9"/>
      <c r="AV56" t="s">
        <v>767</v>
      </c>
    </row>
    <row r="57" spans="1:48" x14ac:dyDescent="0.25">
      <c r="A57" s="9"/>
      <c r="C57" s="9"/>
      <c r="D57" s="9"/>
      <c r="AV57" t="s">
        <v>770</v>
      </c>
    </row>
    <row r="58" spans="1:48" x14ac:dyDescent="0.25">
      <c r="A58" s="9"/>
      <c r="C58" s="9"/>
      <c r="D58" s="9"/>
      <c r="AV58" t="s">
        <v>854</v>
      </c>
    </row>
    <row r="59" spans="1:48" x14ac:dyDescent="0.25">
      <c r="A59" s="9"/>
      <c r="C59" s="9"/>
      <c r="D59" s="9"/>
      <c r="AV59" t="s">
        <v>93</v>
      </c>
    </row>
    <row r="60" spans="1:48" x14ac:dyDescent="0.25">
      <c r="A60" s="9"/>
      <c r="C60" s="9"/>
      <c r="D60" s="9"/>
      <c r="AV60" t="s">
        <v>732</v>
      </c>
    </row>
    <row r="61" spans="1:48" x14ac:dyDescent="0.25">
      <c r="A61" s="9"/>
      <c r="C61" s="9"/>
      <c r="D61" s="9"/>
      <c r="AV61" t="s">
        <v>270</v>
      </c>
    </row>
    <row r="62" spans="1:48" x14ac:dyDescent="0.25">
      <c r="A62" s="9"/>
      <c r="C62" s="9"/>
      <c r="D62" s="9"/>
      <c r="AV62" t="s">
        <v>96</v>
      </c>
    </row>
    <row r="63" spans="1:48" x14ac:dyDescent="0.25">
      <c r="A63" s="9"/>
      <c r="C63" s="9"/>
      <c r="D63" s="9"/>
      <c r="AV63" t="s">
        <v>265</v>
      </c>
    </row>
    <row r="64" spans="1:48" x14ac:dyDescent="0.25">
      <c r="C64" s="9"/>
      <c r="D64" s="9"/>
      <c r="AV64" t="s">
        <v>259</v>
      </c>
    </row>
    <row r="65" spans="3:48" x14ac:dyDescent="0.25">
      <c r="C65" s="9"/>
      <c r="D65" s="9"/>
      <c r="AV65" t="s">
        <v>98</v>
      </c>
    </row>
    <row r="66" spans="3:48" x14ac:dyDescent="0.25">
      <c r="C66" s="9"/>
      <c r="D66" s="9"/>
      <c r="AV66" t="s">
        <v>797</v>
      </c>
    </row>
    <row r="67" spans="3:48" x14ac:dyDescent="0.25">
      <c r="C67" s="9"/>
      <c r="D67" s="9"/>
      <c r="AV67" t="s">
        <v>734</v>
      </c>
    </row>
    <row r="68" spans="3:48" x14ac:dyDescent="0.25">
      <c r="D68" s="9"/>
      <c r="AV68" t="s">
        <v>257</v>
      </c>
    </row>
    <row r="69" spans="3:48" x14ac:dyDescent="0.25">
      <c r="D69" s="9"/>
      <c r="AV69" t="s">
        <v>105</v>
      </c>
    </row>
    <row r="70" spans="3:48" x14ac:dyDescent="0.25">
      <c r="D70" s="9"/>
      <c r="AV70" t="s">
        <v>264</v>
      </c>
    </row>
    <row r="71" spans="3:48" x14ac:dyDescent="0.25">
      <c r="AV71" t="s">
        <v>107</v>
      </c>
    </row>
    <row r="72" spans="3:48" x14ac:dyDescent="0.25">
      <c r="AV72" t="s">
        <v>89</v>
      </c>
    </row>
    <row r="73" spans="3:48" x14ac:dyDescent="0.25">
      <c r="AV73" t="s">
        <v>77</v>
      </c>
    </row>
    <row r="74" spans="3:48" x14ac:dyDescent="0.25">
      <c r="AV74" t="s">
        <v>723</v>
      </c>
    </row>
    <row r="75" spans="3:48" x14ac:dyDescent="0.25">
      <c r="AV75" t="s">
        <v>261</v>
      </c>
    </row>
    <row r="76" spans="3:48" x14ac:dyDescent="0.25">
      <c r="AV76" t="s">
        <v>260</v>
      </c>
    </row>
    <row r="77" spans="3:48" x14ac:dyDescent="0.25">
      <c r="AV77" t="s">
        <v>725</v>
      </c>
    </row>
    <row r="78" spans="3:48" x14ac:dyDescent="0.25">
      <c r="AV78" t="s">
        <v>63</v>
      </c>
    </row>
    <row r="79" spans="3:48" x14ac:dyDescent="0.25">
      <c r="AV79" t="s">
        <v>267</v>
      </c>
    </row>
    <row r="80" spans="3:48" x14ac:dyDescent="0.25">
      <c r="AV80" t="s">
        <v>68</v>
      </c>
    </row>
    <row r="81" spans="48:48" x14ac:dyDescent="0.25">
      <c r="AV81" t="s">
        <v>964</v>
      </c>
    </row>
    <row r="82" spans="48:48" x14ac:dyDescent="0.25">
      <c r="AV82" t="s">
        <v>181</v>
      </c>
    </row>
    <row r="83" spans="48:48" x14ac:dyDescent="0.25">
      <c r="AV83" t="s">
        <v>1500</v>
      </c>
    </row>
    <row r="84" spans="48:48" x14ac:dyDescent="0.25">
      <c r="AV84" t="s">
        <v>114</v>
      </c>
    </row>
    <row r="85" spans="48:48" x14ac:dyDescent="0.25">
      <c r="AV85" t="s">
        <v>304</v>
      </c>
    </row>
    <row r="86" spans="48:48" x14ac:dyDescent="0.25">
      <c r="AV86" t="s">
        <v>953</v>
      </c>
    </row>
    <row r="87" spans="48:48" x14ac:dyDescent="0.25">
      <c r="AV87" t="s">
        <v>258</v>
      </c>
    </row>
    <row r="88" spans="48:48" x14ac:dyDescent="0.25">
      <c r="AV88" t="s">
        <v>1504</v>
      </c>
    </row>
    <row r="89" spans="48:48" x14ac:dyDescent="0.25">
      <c r="AV89" t="s">
        <v>738</v>
      </c>
    </row>
    <row r="90" spans="48:48" x14ac:dyDescent="0.25">
      <c r="AV90" t="s">
        <v>1785</v>
      </c>
    </row>
    <row r="91" spans="48:48" x14ac:dyDescent="0.25">
      <c r="AV91" t="s">
        <v>1789</v>
      </c>
    </row>
    <row r="92" spans="48:48" x14ac:dyDescent="0.25">
      <c r="AV92" t="s">
        <v>739</v>
      </c>
    </row>
    <row r="93" spans="48:48" x14ac:dyDescent="0.25">
      <c r="AV93" t="s">
        <v>1513</v>
      </c>
    </row>
    <row r="94" spans="48:48" x14ac:dyDescent="0.25">
      <c r="AV94" t="s">
        <v>1787</v>
      </c>
    </row>
    <row r="95" spans="48:48" x14ac:dyDescent="0.25">
      <c r="AV95" t="s">
        <v>131</v>
      </c>
    </row>
    <row r="96" spans="48:48" x14ac:dyDescent="0.25">
      <c r="AV96" t="s">
        <v>1799</v>
      </c>
    </row>
    <row r="97" spans="48:48" x14ac:dyDescent="0.25">
      <c r="AV97" t="s">
        <v>1800</v>
      </c>
    </row>
    <row r="98" spans="48:48" x14ac:dyDescent="0.25">
      <c r="AV98" t="s">
        <v>1497</v>
      </c>
    </row>
    <row r="99" spans="48:48" x14ac:dyDescent="0.25">
      <c r="AV99" t="s">
        <v>1790</v>
      </c>
    </row>
    <row r="100" spans="48:48" x14ac:dyDescent="0.25">
      <c r="AV100" t="s">
        <v>1204</v>
      </c>
    </row>
    <row r="101" spans="48:48" x14ac:dyDescent="0.25">
      <c r="AV101" t="s">
        <v>70</v>
      </c>
    </row>
    <row r="102" spans="48:48" x14ac:dyDescent="0.25">
      <c r="AV102" t="s">
        <v>926</v>
      </c>
    </row>
    <row r="103" spans="48:48" x14ac:dyDescent="0.25">
      <c r="AV103" t="s">
        <v>91</v>
      </c>
    </row>
    <row r="104" spans="48:48" x14ac:dyDescent="0.25">
      <c r="AV104" t="s">
        <v>232</v>
      </c>
    </row>
    <row r="105" spans="48:48" x14ac:dyDescent="0.25">
      <c r="AV105" t="s">
        <v>253</v>
      </c>
    </row>
    <row r="106" spans="48:48" x14ac:dyDescent="0.25">
      <c r="AV106" t="s">
        <v>954</v>
      </c>
    </row>
    <row r="107" spans="48:48" x14ac:dyDescent="0.25">
      <c r="AV107" t="s">
        <v>838</v>
      </c>
    </row>
    <row r="108" spans="48:48" x14ac:dyDescent="0.25">
      <c r="AV108" t="s">
        <v>110</v>
      </c>
    </row>
    <row r="109" spans="48:48" x14ac:dyDescent="0.25">
      <c r="AV109" t="s">
        <v>271</v>
      </c>
    </row>
    <row r="110" spans="48:48" x14ac:dyDescent="0.25">
      <c r="AV110" t="s">
        <v>760</v>
      </c>
    </row>
    <row r="111" spans="48:48" x14ac:dyDescent="0.25">
      <c r="AV111" t="s">
        <v>741</v>
      </c>
    </row>
    <row r="112" spans="48:48" x14ac:dyDescent="0.25">
      <c r="AV112" t="s">
        <v>759</v>
      </c>
    </row>
    <row r="113" spans="48:48" x14ac:dyDescent="0.25">
      <c r="AV113" t="s">
        <v>754</v>
      </c>
    </row>
    <row r="114" spans="48:48" x14ac:dyDescent="0.25">
      <c r="AV114" t="s">
        <v>81</v>
      </c>
    </row>
    <row r="115" spans="48:48" x14ac:dyDescent="0.25">
      <c r="AV115" t="s">
        <v>116</v>
      </c>
    </row>
    <row r="116" spans="48:48" x14ac:dyDescent="0.25">
      <c r="AV116" t="s">
        <v>87</v>
      </c>
    </row>
    <row r="117" spans="48:48" x14ac:dyDescent="0.25">
      <c r="AV117" t="s">
        <v>1731</v>
      </c>
    </row>
    <row r="118" spans="48:48" x14ac:dyDescent="0.25">
      <c r="AV118" t="s">
        <v>100</v>
      </c>
    </row>
    <row r="119" spans="48:48" x14ac:dyDescent="0.25">
      <c r="AV119" t="s">
        <v>1788</v>
      </c>
    </row>
    <row r="120" spans="48:48" x14ac:dyDescent="0.25">
      <c r="AV120" t="s">
        <v>67</v>
      </c>
    </row>
    <row r="121" spans="48:48" x14ac:dyDescent="0.25">
      <c r="AV121" t="s">
        <v>749</v>
      </c>
    </row>
    <row r="122" spans="48:48" x14ac:dyDescent="0.25">
      <c r="AV122" t="s">
        <v>746</v>
      </c>
    </row>
    <row r="123" spans="48:48" x14ac:dyDescent="0.25">
      <c r="AV123" t="s">
        <v>841</v>
      </c>
    </row>
    <row r="124" spans="48:48" x14ac:dyDescent="0.25">
      <c r="AV124" t="s">
        <v>735</v>
      </c>
    </row>
    <row r="125" spans="48:48" x14ac:dyDescent="0.25">
      <c r="AV125" t="s">
        <v>127</v>
      </c>
    </row>
    <row r="126" spans="48:48" x14ac:dyDescent="0.25">
      <c r="AV126" t="s">
        <v>845</v>
      </c>
    </row>
    <row r="127" spans="48:48" x14ac:dyDescent="0.25">
      <c r="AV127" t="s">
        <v>1786</v>
      </c>
    </row>
    <row r="128" spans="48:48" x14ac:dyDescent="0.25">
      <c r="AV128" t="s">
        <v>92</v>
      </c>
    </row>
    <row r="129" spans="48:48" x14ac:dyDescent="0.25">
      <c r="AV129" t="s">
        <v>1321</v>
      </c>
    </row>
    <row r="130" spans="48:48" x14ac:dyDescent="0.25">
      <c r="AV130" t="s">
        <v>748</v>
      </c>
    </row>
    <row r="131" spans="48:48" x14ac:dyDescent="0.25">
      <c r="AV131" t="s">
        <v>76</v>
      </c>
    </row>
    <row r="132" spans="48:48" x14ac:dyDescent="0.25">
      <c r="AV132" t="s">
        <v>254</v>
      </c>
    </row>
    <row r="133" spans="48:48" x14ac:dyDescent="0.25">
      <c r="AV133" t="s">
        <v>246</v>
      </c>
    </row>
    <row r="134" spans="48:48" x14ac:dyDescent="0.25">
      <c r="AV134" t="s">
        <v>842</v>
      </c>
    </row>
    <row r="135" spans="48:48" x14ac:dyDescent="0.25">
      <c r="AV135" t="s">
        <v>226</v>
      </c>
    </row>
    <row r="136" spans="48:48" x14ac:dyDescent="0.25">
      <c r="AV136" t="s">
        <v>136</v>
      </c>
    </row>
    <row r="137" spans="48:48" x14ac:dyDescent="0.25">
      <c r="AV137" t="s">
        <v>118</v>
      </c>
    </row>
    <row r="138" spans="48:48" x14ac:dyDescent="0.25">
      <c r="AV138" t="s">
        <v>750</v>
      </c>
    </row>
    <row r="139" spans="48:48" x14ac:dyDescent="0.25">
      <c r="AV139" t="s">
        <v>846</v>
      </c>
    </row>
    <row r="140" spans="48:48" x14ac:dyDescent="0.25">
      <c r="AV140" t="s">
        <v>119</v>
      </c>
    </row>
    <row r="141" spans="48:48" x14ac:dyDescent="0.25">
      <c r="AV141" t="s">
        <v>851</v>
      </c>
    </row>
    <row r="142" spans="48:48" x14ac:dyDescent="0.25">
      <c r="AV142" t="s">
        <v>720</v>
      </c>
    </row>
    <row r="143" spans="48:48" x14ac:dyDescent="0.25">
      <c r="AV143" t="s">
        <v>743</v>
      </c>
    </row>
    <row r="144" spans="48:48" x14ac:dyDescent="0.25">
      <c r="AV144" t="s">
        <v>740</v>
      </c>
    </row>
    <row r="145" spans="48:48" x14ac:dyDescent="0.25">
      <c r="AV145" t="s">
        <v>269</v>
      </c>
    </row>
    <row r="146" spans="48:48" x14ac:dyDescent="0.25">
      <c r="AV146" t="s">
        <v>268</v>
      </c>
    </row>
    <row r="147" spans="48:48" x14ac:dyDescent="0.25">
      <c r="AV147" t="s">
        <v>97</v>
      </c>
    </row>
    <row r="148" spans="48:48" x14ac:dyDescent="0.25">
      <c r="AV148" t="s">
        <v>95</v>
      </c>
    </row>
    <row r="149" spans="48:48" x14ac:dyDescent="0.25">
      <c r="AV149" t="s">
        <v>847</v>
      </c>
    </row>
    <row r="150" spans="48:48" x14ac:dyDescent="0.25">
      <c r="AV150" t="s">
        <v>955</v>
      </c>
    </row>
    <row r="151" spans="48:48" x14ac:dyDescent="0.25">
      <c r="AV151" t="s">
        <v>1796</v>
      </c>
    </row>
  </sheetData>
  <sortState ref="AV2:AV151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A8C9FB-7389-4116-A4EF-BCE804D07B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2021-09-11T18:14:14Z</dcterms:modified>
</cp:coreProperties>
</file>