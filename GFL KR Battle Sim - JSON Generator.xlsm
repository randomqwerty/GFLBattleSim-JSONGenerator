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D99AF0BA-5609-4102-9BE4-17389389DFB0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3" l="1"/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<sst xmlns="http://schemas.openxmlformats.org/spreadsheetml/2006/main" count="18343" uniqueCount="5871">
  <si>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</si>
  <si>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</si>
  <si>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</si>
  <si>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</si>
  <si>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</si>
  <si>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</si>
  <si>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</si>
  <si>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</si>
  <si>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</si>
  <si>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</si>
  <si>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</si>
  <si>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</si>
  <si>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</si>
  <si>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</si>
  <si>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</si>
  <si>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</si>
  <si>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</si>
  <si>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</si>
  <si>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</si>
  <si>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</si>
  <si>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</si>
  <si>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</si>
  <si>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</si>
  <si>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</si>
  <si>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</si>
  <si>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</si>
  <si>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</si>
  <si>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</si>
  <si>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</si>
  <si>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</si>
  <si>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</si>
  <si>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</si>
  <si>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</si>
  <si>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</si>
  <si>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</si>
  <si>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</si>
  <si>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</si>
  <si>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</si>
  <si>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</si>
  <si>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</si>
  <si>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</si>
  <si>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</si>
  <si>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</si>
  <si>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</si>
  <si>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</si>
  <si>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</si>
  <si>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</si>
  <si>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</si>
  <si>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</si>
  <si>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</si>
  <si>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</si>
  <si>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</si>
  <si>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</si>
  <si>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</si>
  <si>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</si>
  <si>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</si>
  <si>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</si>
  <si>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</si>
  <si>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</si>
  <si>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</si>
  <si>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</si>
  <si>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</si>
  <si>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</si>
  <si>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</si>
  <si>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</si>
  <si>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</si>
  <si>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</si>
  <si>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</si>
  <si>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</si>
  <si>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</si>
  <si>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</si>
  <si>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</si>
  <si>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</si>
  <si>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</si>
  <si>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</si>
  <si>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</si>
  <si>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</si>
  <si>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</si>
  <si>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</si>
  <si>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</si>
  <si>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</si>
  <si>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</si>
  <si>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</si>
  <si>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</si>
  <si>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</si>
  <si>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</si>
  <si>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</si>
  <si>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</si>
  <si>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</si>
  <si>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</si>
  <si>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</si>
  <si>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</si>
  <si>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</si>
  <si>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</si>
  <si>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</si>
  <si>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</si>
  <si>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</si>
  <si>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</si>
  <si>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</si>
  <si>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</si>
  <si>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</si>
  <si>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</si>
  <si>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</si>
  <si>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</si>
  <si>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</si>
  <si>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</si>
  <si>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</si>
  <si>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</si>
  <si>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</si>
  <si>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</si>
  <si>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</si>
  <si>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</si>
  <si>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</si>
  <si>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</si>
  <si>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</si>
  <si>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</si>
  <si>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</si>
  <si>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</si>
  <si>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</si>
  <si>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</si>
  <si>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</si>
  <si>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</si>
  <si>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</si>
  <si>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</si>
  <si>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</si>
  <si>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</si>
  <si>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</si>
  <si>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</si>
  <si>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</si>
  <si>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</si>
  <si>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</si>
  <si>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</si>
  <si>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</si>
  <si>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</si>
  <si>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</si>
  <si>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</si>
  <si>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</si>
  <si>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</si>
  <si>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</si>
  <si>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</si>
  <si>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</si>
  <si>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</si>
  <si>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</si>
  <si>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</si>
  <si>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</si>
  <si>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</si>
  <si>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</si>
  <si>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</si>
  <si>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</si>
  <si>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</si>
  <si>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</si>
  <si>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</si>
  <si>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</si>
  <si>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</si>
  <si>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</si>
  <si>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</si>
  <si>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</si>
  <si>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</si>
  <si>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</si>
  <si>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</si>
  <si>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</si>
  <si>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</si>
  <si>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</si>
  <si>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</si>
  <si>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</si>
  <si>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</si>
  <si>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</si>
  <si>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</si>
  <si>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</si>
  <si>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</si>
  <si>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</si>
  <si>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</si>
  <si>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</si>
  <si>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</si>
  <si>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</si>
  <si>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</si>
  <si>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</si>
  <si>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</si>
  <si>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</si>
  <si>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</si>
  <si>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</si>
  <si>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</si>
  <si>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</si>
  <si>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</si>
  <si>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</si>
  <si>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</si>
  <si>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</si>
  <si>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</si>
  <si>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</si>
  <si>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</si>
  <si>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</si>
  <si>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</si>
  <si>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</si>
  <si>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</si>
  <si>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</si>
  <si>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</si>
  <si>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</si>
  <si>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</si>
  <si>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</si>
  <si>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</si>
  <si>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</si>
  <si>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</si>
  <si>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</si>
  <si>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</si>
  <si>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</si>
  <si>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</si>
  <si>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</si>
  <si>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</si>
  <si>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</si>
  <si>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</si>
  <si>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</si>
  <si>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</si>
  <si>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</si>
  <si>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</si>
  <si>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</si>
  <si>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</si>
  <si>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</si>
  <si>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</si>
  <si>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</si>
  <si>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</si>
  <si>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</si>
  <si>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</si>
  <si>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</si>
  <si>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</si>
  <si>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</si>
  <si>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</si>
  <si>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</si>
  <si>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</si>
  <si>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</si>
  <si>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</si>
  <si>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</si>
  <si>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</si>
  <si>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</si>
  <si>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</si>
  <si>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</si>
  <si>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</si>
  <si>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</si>
  <si>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</si>
  <si>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</si>
  <si>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</si>
  <si>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</si>
  <si>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</si>
  <si>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</si>
  <si>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</si>
  <si>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</si>
  <si>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</si>
  <si>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</si>
  <si>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</si>
  <si>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</si>
  <si>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</si>
  <si>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</si>
  <si>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</si>
  <si>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</si>
  <si>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</si>
  <si>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</si>
  <si>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</si>
  <si>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</si>
  <si>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</si>
  <si>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</si>
  <si>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</si>
  <si>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</si>
  <si>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</si>
  <si>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</si>
  <si>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</si>
  <si>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</si>
  <si>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</si>
  <si>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</si>
  <si>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</si>
  <si>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</si>
  <si>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</si>
  <si>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</si>
  <si>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</si>
  <si>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</si>
  <si>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</si>
  <si>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</si>
  <si>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</si>
  <si>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</si>
  <si>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</si>
  <si>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</si>
  <si>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</si>
  <si>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</si>
  <si>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</si>
  <si>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</si>
  <si>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</si>
  <si>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</si>
  <si>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</si>
  <si>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</si>
  <si>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</si>
  <si>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</si>
  <si>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</si>
  <si>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</si>
  <si>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</si>
  <si>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</si>
  <si>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</si>
  <si>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</si>
  <si>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</si>
  <si>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</si>
  <si>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</si>
  <si>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</si>
  <si>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</si>
  <si>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</si>
  <si>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</si>
  <si>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</si>
  <si>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</si>
  <si>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</si>
  <si>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</si>
  <si>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</si>
  <si>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</si>
  <si>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</si>
  <si>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</si>
  <si>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</si>
  <si>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</si>
  <si>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</si>
  <si>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</si>
  <si>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</si>
  <si>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</si>
  <si>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</si>
  <si>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</si>
  <si>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</si>
  <si>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</si>
  <si>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</si>
  <si>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</si>
  <si>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</si>
  <si>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</si>
  <si>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</si>
  <si>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</si>
  <si>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</si>
  <si>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</si>
  <si>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</si>
  <si>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</si>
  <si>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</si>
  <si>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</si>
  <si>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</si>
  <si>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</si>
  <si>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</si>
  <si>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</si>
  <si>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</si>
  <si>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</si>
  <si>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</si>
  <si>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</si>
  <si>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</si>
  <si>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</si>
  <si>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</si>
  <si>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</si>
  <si>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</si>
  <si>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</si>
  <si>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</si>
  <si>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</si>
  <si>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</si>
  <si>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</si>
  <si>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</si>
  <si>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</si>
  <si>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</si>
  <si>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</si>
  <si>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</si>
  <si>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</si>
  <si>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</si>
  <si>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</si>
  <si>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</si>
  <si>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</si>
  <si>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</si>
  <si>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</si>
  <si>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</si>
  <si>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</si>
  <si>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</si>
  <si>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</si>
  <si>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</si>
  <si>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</si>
  <si>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</si>
  <si>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</si>
  <si>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</si>
  <si>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</si>
  <si>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</si>
  <si>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</si>
  <si>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</si>
  <si>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</si>
  <si>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</si>
  <si>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</si>
  <si>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</si>
  <si>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</si>
  <si>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</si>
  <si>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</si>
  <si>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</si>
  <si>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</si>
  <si>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</si>
  <si>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</si>
  <si>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</si>
  <si>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</si>
  <si>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</si>
  <si>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</si>
  <si>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</si>
  <si>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</si>
  <si>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</si>
  <si>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</si>
  <si>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</si>
  <si>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</si>
  <si>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</si>
  <si>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</si>
  <si>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</si>
  <si>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</si>
  <si>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</si>
  <si>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</si>
  <si>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</si>
  <si>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</si>
  <si>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</si>
  <si>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</si>
  <si>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</si>
  <si>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</si>
  <si>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</si>
  <si>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</si>
  <si>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</si>
  <si>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</si>
  <si>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</si>
  <si>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</si>
  <si>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</si>
  <si>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</si>
  <si>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</si>
  <si>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</si>
  <si>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</si>
  <si>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</si>
  <si>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</si>
  <si>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</si>
  <si>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</si>
  <si>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</si>
  <si>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</si>
  <si>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</si>
  <si>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</si>
  <si>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</si>
  <si>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</si>
  <si>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</si>
  <si>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</si>
  <si>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</si>
  <si>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</si>
  <si>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</si>
  <si>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</si>
  <si>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</si>
  <si>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</si>
  <si>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</si>
  <si>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</si>
  <si>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</si>
  <si>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</si>
  <si>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</si>
  <si>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</si>
  <si>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</si>
  <si>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</si>
  <si>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</si>
  <si>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</si>
  <si>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</si>
  <si>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</si>
  <si>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</si>
  <si>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</si>
  <si>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</si>
  <si>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</si>
  <si>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</si>
  <si>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</si>
  <si>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</si>
  <si>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</si>
  <si>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</si>
  <si>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</si>
  <si>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</si>
  <si>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</si>
  <si>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</si>
  <si>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</si>
  <si>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</si>
  <si>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</si>
  <si>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</si>
  <si>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</si>
  <si>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</si>
  <si>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</si>
  <si>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</si>
  <si>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</si>
  <si>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</si>
  <si>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</si>
  <si>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</si>
  <si>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</si>
  <si>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</si>
  <si>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</si>
  <si>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</si>
  <si>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</si>
  <si>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</si>
  <si>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</si>
  <si>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</si>
  <si>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</si>
  <si>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</si>
  <si>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</si>
  <si>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</si>
  <si>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</si>
  <si>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</si>
  <si>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</si>
  <si>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</si>
  <si>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</si>
  <si>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</si>
  <si>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</si>
  <si>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</si>
  <si>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</si>
  <si>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</si>
  <si>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</si>
  <si>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</si>
  <si>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</si>
  <si>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</si>
  <si>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</si>
  <si>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</si>
  <si>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</si>
  <si>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</si>
  <si>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</si>
  <si>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</si>
  <si>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</si>
  <si>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</si>
  <si>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</si>
  <si>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</si>
  <si>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</si>
  <si>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</si>
  <si>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</si>
  <si>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</si>
  <si>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</si>
  <si>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</si>
  <si>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</si>
  <si>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</si>
  <si>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</si>
  <si>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</si>
  <si>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</si>
  <si>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</si>
  <si>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</si>
  <si>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</si>
  <si>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</si>
  <si>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</si>
  <si>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</si>
  <si>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</si>
  <si>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</si>
  <si>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</si>
  <si>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</si>
  <si>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</si>
  <si>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</si>
  <si>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</si>
  <si>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</si>
  <si>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</si>
  <si>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</si>
  <si>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</si>
  <si>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</si>
  <si>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</si>
  <si>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</si>
  <si>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</si>
  <si>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</si>
  <si>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</si>
  <si>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</si>
  <si>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</si>
  <si>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</si>
  <si>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</si>
  <si>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</si>
  <si>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</si>
  <si>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</si>
  <si>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</si>
  <si>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</si>
  <si>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</si>
  <si>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</si>
  <si>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</si>
  <si>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</si>
  <si>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</si>
  <si>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</si>
  <si>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</si>
  <si>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</si>
  <si>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</si>
  <si>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</si>
  <si>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</si>
  <si>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</si>
  <si>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</si>
  <si>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</si>
  <si>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</si>
  <si>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</si>
  <si>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</si>
  <si>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</si>
  <si>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</si>
  <si>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</si>
  <si>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</si>
  <si>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</si>
  <si>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</si>
  <si>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</si>
  <si>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</si>
  <si>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</si>
  <si>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</si>
  <si>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</si>
  <si>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</si>
  <si>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</si>
  <si>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</si>
  <si>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</si>
  <si>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</si>
  <si>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</si>
  <si>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</si>
  <si>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</si>
  <si>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</si>
  <si>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</si>
  <si>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</si>
  <si>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</si>
  <si>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</si>
  <si>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</si>
  <si>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</si>
  <si>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</si>
  <si>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</si>
  <si>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</si>
  <si>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</si>
  <si>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</si>
  <si>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</si>
  <si>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</si>
  <si>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</si>
  <si>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</si>
  <si>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</si>
  <si>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</si>
  <si>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</si>
  <si>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</si>
  <si>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</si>
  <si>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</si>
  <si>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</si>
  <si>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</si>
  <si>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</si>
  <si>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</si>
  <si>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</si>
  <si>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</si>
  <si>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</si>
  <si>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</si>
  <si>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</si>
  <si>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</si>
  <si>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</si>
  <si>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</si>
  <si>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</si>
  <si>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</si>
  <si>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</si>
  <si>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</si>
  <si>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</si>
  <si>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</si>
  <si>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</si>
  <si>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</si>
  <si>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</si>
  <si>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</si>
  <si>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</si>
  <si>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</si>
  <si>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</si>
  <si>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</si>
  <si>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</si>
  <si>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</si>
  <si>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</si>
  <si>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</si>
  <si>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</si>
  <si>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</si>
  <si>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</si>
  <si>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</si>
  <si>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</si>
  <si>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</si>
  <si>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</si>
  <si>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</si>
  <si>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</si>
  <si>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</si>
  <si>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</si>
  <si>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</si>
  <si>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</si>
  <si>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</si>
  <si>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</si>
  <si>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</si>
  <si>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</si>
  <si>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</si>
  <si>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</si>
  <si>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</si>
  <si>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</si>
  <si>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</si>
  <si>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</si>
  <si>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</si>
  <si>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</si>
  <si>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</si>
  <si>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</si>
  <si>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</si>
  <si>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</si>
  <si>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</si>
  <si>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</si>
  <si>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</si>
  <si>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</si>
  <si>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</si>
  <si>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</si>
  <si>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</si>
  <si>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</si>
  <si>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</si>
  <si>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</si>
  <si>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</si>
  <si>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</si>
  <si>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</si>
  <si>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</si>
  <si>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</si>
  <si>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</si>
  <si>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</si>
  <si>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</si>
  <si>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</si>
  <si>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</si>
  <si>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</si>
  <si>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</si>
  <si>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</si>
  <si>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</si>
  <si>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</si>
  <si>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</si>
  <si>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</si>
  <si>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</si>
  <si>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</si>
  <si>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</si>
  <si>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</si>
  <si>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</si>
  <si>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</si>
  <si>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</si>
  <si>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</si>
  <si>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</si>
  <si>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</si>
  <si>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</si>
  <si>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</si>
  <si>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</si>
  <si>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</si>
  <si>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</si>
  <si>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</si>
  <si>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</si>
  <si>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</si>
  <si>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</si>
  <si>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</si>
  <si>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</si>
  <si>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</si>
  <si>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</si>
  <si>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</si>
  <si>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</si>
  <si>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</si>
  <si>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</si>
  <si>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</si>
  <si>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</si>
  <si>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</si>
  <si>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</si>
  <si>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</si>
  <si>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</si>
  <si>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</si>
  <si>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</si>
  <si>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</si>
  <si>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</si>
  <si>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</si>
  <si>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</si>
  <si>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</si>
  <si>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</si>
  <si>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</si>
  <si>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</si>
  <si>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</si>
  <si>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</si>
  <si>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</si>
  <si>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</si>
  <si>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</si>
  <si>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</si>
  <si>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</si>
  <si>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</si>
  <si>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</si>
  <si>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</si>
  <si>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</si>
  <si>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</si>
  <si>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</si>
  <si>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</si>
  <si>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</si>
  <si>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</si>
  <si>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</si>
  <si>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</si>
  <si>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</si>
  <si>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</si>
  <si>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</si>
  <si>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</si>
  <si>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</si>
  <si>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</si>
  <si>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</si>
  <si>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</si>
  <si>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</si>
  <si>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</si>
  <si>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</si>
  <si>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</si>
  <si>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</si>
  <si>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</si>
  <si>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</si>
  <si>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</si>
  <si>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</si>
  <si>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</si>
  <si>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</si>
  <si>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</si>
  <si>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</si>
  <si>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</si>
  <si>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</si>
  <si>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</si>
  <si>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</si>
  <si>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</si>
  <si>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</si>
  <si>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</si>
  <si>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</si>
  <si>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</si>
  <si>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</si>
  <si>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</si>
  <si>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</si>
  <si>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</si>
  <si>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</si>
  <si>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</si>
  <si>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</si>
  <si>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</si>
  <si>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</si>
  <si>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</si>
  <si>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</si>
  <si>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</si>
  <si>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</si>
  <si>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</si>
  <si>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</si>
  <si>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</si>
  <si>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</si>
  <si>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</si>
  <si>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</si>
  <si>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</si>
  <si>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</si>
  <si>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</si>
  <si>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</si>
  <si>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</si>
  <si>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</si>
  <si>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</si>
  <si>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</si>
  <si>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</si>
  <si>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</si>
  <si>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</si>
  <si>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</si>
  <si>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</si>
  <si>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</si>
  <si>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</si>
  <si>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</si>
  <si>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</si>
  <si>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</si>
  <si>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</si>
  <si>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</si>
  <si>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</si>
  <si>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</si>
  <si>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</si>
  <si>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</si>
  <si>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</si>
  <si>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</si>
  <si>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</si>
  <si>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</si>
  <si>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</si>
  <si>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</si>
  <si>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</si>
  <si>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</si>
  <si>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</si>
  <si>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</si>
  <si>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</si>
  <si>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</si>
  <si>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</si>
  <si>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</si>
  <si>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</si>
  <si>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</si>
  <si>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</si>
  <si>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</si>
  <si>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</si>
  <si>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</si>
  <si>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</si>
  <si>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</si>
  <si>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</si>
  <si>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</si>
  <si>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</si>
  <si>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</si>
  <si>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</si>
  <si>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</si>
  <si>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</si>
  <si>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</si>
  <si>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</si>
  <si>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</si>
  <si>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</si>
  <si>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</si>
  <si>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</si>
  <si>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</si>
  <si>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</si>
  <si>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</si>
  <si>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</si>
  <si>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</si>
  <si>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</si>
  <si>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</si>
  <si>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</si>
  <si>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</si>
  <si>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</si>
  <si>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</si>
  <si>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</si>
  <si>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</si>
  <si>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</si>
  <si>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</si>
  <si>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</si>
  <si>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</si>
  <si>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</si>
  <si>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</si>
  <si>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</si>
  <si>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</si>
  <si>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</si>
  <si>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</si>
  <si>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</si>
  <si>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</si>
  <si>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</si>
  <si>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</si>
  <si>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</si>
  <si>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</si>
  <si>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</si>
  <si>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</si>
  <si>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</si>
  <si>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</si>
  <si>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</si>
  <si>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</si>
  <si>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</si>
  <si>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</si>
  <si>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</si>
  <si>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</si>
  <si>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</si>
  <si>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</si>
  <si>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</si>
  <si>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</si>
  <si>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</si>
  <si>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</si>
  <si>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</si>
  <si>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</si>
  <si>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</si>
  <si>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</si>
  <si>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</si>
  <si>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</si>
  <si>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</si>
  <si>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</si>
  <si>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</si>
  <si>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</si>
  <si>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</si>
  <si>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</si>
  <si>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</si>
  <si>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</si>
  <si>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</si>
  <si>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</si>
  <si>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</si>
  <si>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</si>
  <si>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</si>
  <si>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</si>
  <si>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</si>
  <si>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</si>
  <si>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</si>
  <si>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</si>
  <si>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</si>
  <si>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</si>
  <si>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</si>
  <si>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</si>
  <si>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</si>
  <si>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</si>
  <si>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</si>
  <si>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</si>
  <si>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</si>
  <si>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</si>
  <si>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</si>
  <si>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</si>
  <si>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</si>
  <si>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</si>
  <si>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</si>
  <si>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</si>
  <si>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</si>
  <si>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</si>
  <si>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</si>
  <si>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</si>
  <si>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</si>
  <si>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</si>
  <si>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</si>
  <si>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</si>
  <si>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</si>
  <si>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</si>
  <si>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</si>
  <si>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</si>
  <si>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</si>
  <si>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</si>
  <si>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</si>
  <si>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</si>
  <si>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</si>
  <si>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</si>
  <si>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</si>
  <si>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</si>
  <si>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</si>
  <si>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</si>
  <si>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</si>
  <si>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</si>
  <si>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</si>
  <si>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</si>
  <si>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</si>
  <si>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</si>
  <si>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</si>
  <si>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</si>
  <si>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</si>
  <si>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</si>
  <si>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</si>
  <si>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</si>
  <si>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</si>
  <si>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</si>
  <si>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</si>
  <si>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</si>
  <si>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</si>
  <si>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</si>
  <si>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</si>
  <si>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</si>
  <si>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</si>
  <si>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</si>
  <si>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</si>
  <si>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</si>
  <si>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</si>
  <si>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</si>
  <si>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</si>
  <si>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</si>
  <si>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</si>
  <si>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</si>
  <si>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</si>
  <si>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</si>
  <si>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</si>
  <si>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</si>
  <si>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</si>
  <si>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</si>
  <si>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</si>
  <si>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</si>
  <si>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</si>
  <si>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</si>
  <si>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</si>
  <si>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</si>
  <si>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</si>
  <si>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</si>
  <si>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</si>
  <si>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</si>
  <si>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</si>
  <si>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</si>
  <si>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</si>
  <si>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</si>
  <si>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</si>
  <si>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</si>
  <si>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</si>
  <si>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</si>
  <si>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</si>
  <si>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</si>
  <si>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</si>
  <si>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</si>
  <si>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</si>
  <si>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</si>
  <si>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</si>
  <si>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</si>
  <si>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</si>
  <si>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</si>
  <si>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</si>
  <si>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</si>
  <si>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</si>
  <si>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</si>
  <si>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</si>
  <si>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</si>
  <si>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</si>
  <si>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</si>
  <si>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</si>
  <si>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</si>
  <si>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</si>
  <si>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</si>
  <si>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</si>
  <si>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</si>
  <si>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</si>
  <si>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</si>
  <si>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</si>
  <si>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</si>
  <si>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</si>
  <si>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</si>
  <si>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</si>
  <si>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</si>
  <si>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</si>
  <si>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</si>
  <si>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</si>
  <si>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</si>
  <si>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</si>
  <si>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</si>
  <si>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</si>
  <si>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</si>
  <si>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</si>
  <si>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</si>
  <si>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</si>
  <si>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</si>
  <si>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</si>
  <si>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</si>
  <si>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</si>
  <si>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</si>
  <si>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</si>
  <si>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</si>
  <si>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</si>
  <si>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</si>
  <si>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</si>
  <si>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</si>
  <si>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</si>
  <si>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</si>
  <si>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</si>
  <si>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</si>
  <si>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</si>
  <si>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</si>
  <si>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</si>
  <si>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</si>
  <si>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</si>
  <si>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</si>
  <si>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</si>
  <si>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</si>
  <si>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</si>
  <si>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</si>
  <si>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</si>
  <si>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</si>
  <si>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</si>
  <si>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</si>
  <si>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</si>
  <si>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</si>
  <si>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</si>
  <si>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</si>
  <si>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</si>
  <si>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</si>
  <si>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</si>
  <si>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</si>
  <si>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</si>
  <si>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</si>
  <si>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</si>
  <si>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</si>
  <si>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</si>
  <si>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</si>
  <si>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</si>
  <si>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</si>
  <si>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</si>
  <si>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</si>
  <si>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</si>
  <si>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</si>
  <si>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</si>
  <si>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</si>
  <si>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</si>
  <si>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</si>
  <si>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</si>
  <si>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</si>
  <si>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</si>
  <si>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</si>
  <si>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</si>
  <si>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</si>
  <si>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</si>
  <si>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</si>
  <si>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</si>
  <si>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</si>
  <si>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</si>
  <si>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</si>
  <si>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</si>
  <si>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</si>
  <si>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</si>
  <si>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</si>
  <si>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</si>
  <si>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</si>
  <si>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</si>
  <si>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</si>
  <si>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</si>
  <si>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</si>
  <si>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</si>
  <si>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</si>
  <si>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</si>
  <si>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</si>
  <si>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</si>
  <si>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</si>
  <si>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</si>
  <si>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</si>
  <si>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</si>
  <si>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</si>
  <si>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</si>
  <si>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</si>
  <si>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</si>
  <si>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</si>
  <si>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</si>
  <si>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</si>
  <si>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</si>
  <si>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</si>
  <si>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</si>
  <si>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</si>
  <si>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</si>
  <si>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</si>
  <si>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</si>
  <si>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</si>
  <si>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</si>
  <si>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</si>
  <si>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</si>
  <si>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</si>
  <si>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</si>
  <si>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</si>
  <si>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</si>
  <si>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</si>
  <si>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</si>
  <si>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</si>
  <si>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</si>
  <si>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</si>
  <si>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</si>
  <si>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</si>
  <si>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</si>
  <si>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</si>
  <si>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</si>
  <si>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</si>
  <si>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</si>
  <si>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</si>
  <si>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</si>
  <si>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</si>
  <si>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</si>
  <si>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</si>
  <si>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</si>
  <si>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</si>
  <si>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</si>
  <si>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</si>
  <si>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</si>
  <si>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</si>
  <si>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</si>
  <si>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</si>
  <si>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</si>
  <si>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</si>
  <si>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</si>
  <si>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</si>
  <si>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</si>
  <si>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</si>
  <si>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</si>
  <si>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</si>
  <si>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</si>
  <si>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</si>
  <si>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</si>
  <si>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</si>
  <si>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</si>
  <si>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</si>
  <si>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</si>
  <si>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</si>
  <si>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</si>
  <si>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</si>
  <si>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</si>
  <si>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</si>
  <si>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</si>
  <si>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</si>
  <si>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</si>
  <si>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</si>
  <si>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</si>
  <si>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</si>
  <si>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</si>
  <si>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</si>
  <si>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</si>
  <si>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</si>
  <si>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</si>
  <si>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</si>
  <si>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</si>
  <si>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</si>
  <si>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</si>
  <si>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</si>
  <si>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</si>
  <si>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</si>
  <si>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</si>
  <si>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</si>
  <si>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</si>
  <si>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</si>
  <si>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</si>
  <si>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</si>
  <si>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</si>
  <si>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</si>
  <si>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</si>
  <si>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</si>
  <si>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</si>
  <si>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</si>
  <si>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</si>
  <si>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</si>
  <si>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</si>
  <si>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</si>
  <si>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</si>
  <si>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</si>
  <si>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</si>
  <si>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</si>
  <si>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</si>
  <si>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</si>
  <si>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</si>
  <si>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</si>
  <si>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</si>
  <si>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</si>
  <si>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</si>
  <si>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</si>
  <si>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</si>
  <si>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</si>
  <si>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</si>
  <si>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</si>
  <si>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</si>
  <si>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</si>
  <si>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</si>
  <si>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</si>
  <si>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</si>
  <si>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</si>
  <si>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</si>
  <si>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</si>
  <si>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</si>
  <si>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</si>
  <si>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</si>
  <si>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</si>
  <si>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</si>
  <si>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</si>
  <si>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</si>
  <si>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</si>
  <si>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</si>
  <si>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</si>
  <si>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</si>
  <si>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</si>
  <si>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</si>
  <si>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</si>
  <si>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</si>
  <si>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</si>
  <si>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</si>
  <si>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</si>
  <si>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</si>
  <si>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</si>
  <si>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</si>
  <si>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</si>
  <si>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</si>
  <si>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</si>
  <si>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</si>
  <si>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</si>
  <si>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</si>
  <si>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</si>
  <si>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</si>
  <si>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</si>
  <si>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</si>
  <si>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</si>
  <si>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</si>
  <si>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</si>
  <si>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</si>
  <si>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</si>
  <si>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</si>
  <si>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</si>
  <si>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</si>
  <si>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</si>
  <si>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</si>
  <si>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</si>
  <si>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</si>
  <si>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</si>
  <si>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</si>
  <si>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</si>
  <si>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</si>
  <si>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</si>
  <si>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</si>
  <si>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</si>
  <si>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</si>
  <si>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</si>
  <si>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</si>
  <si>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</si>
  <si>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</si>
  <si>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</si>
  <si>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</si>
  <si>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</si>
  <si>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</si>
  <si>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</si>
  <si>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</si>
  <si>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</si>
  <si>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</si>
  <si>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</si>
  <si>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</si>
  <si>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</si>
  <si>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</si>
  <si>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</si>
  <si>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</si>
  <si>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</si>
  <si>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</si>
  <si>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</si>
  <si>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</si>
  <si>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</si>
  <si>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</si>
  <si>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</si>
  <si>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</si>
  <si>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</si>
  <si>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</si>
  <si>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</si>
  <si>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</si>
  <si>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</si>
  <si>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</si>
  <si>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</si>
  <si>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</si>
  <si>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</si>
  <si>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</si>
  <si>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</si>
  <si>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</si>
  <si>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</si>
  <si>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</si>
  <si>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</si>
  <si>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</si>
  <si>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</si>
  <si>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</si>
  <si>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</si>
  <si>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</si>
  <si>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</si>
  <si>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</si>
  <si>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</si>
  <si>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</si>
  <si>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</si>
  <si>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</si>
  <si>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</si>
  <si>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</si>
  <si>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</si>
  <si>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</si>
  <si>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</si>
  <si>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</si>
  <si>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</si>
  <si>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</si>
  <si>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</si>
  <si>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</si>
  <si>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</si>
  <si>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</si>
  <si>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</si>
  <si>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</si>
  <si>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</si>
  <si>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</si>
  <si>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</si>
  <si>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</si>
  <si>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</si>
  <si>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</si>
  <si>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</si>
  <si>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</si>
  <si>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</si>
  <si>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</si>
  <si>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</si>
  <si>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</si>
  <si>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</si>
  <si>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</si>
  <si>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</si>
  <si>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</si>
  <si>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</si>
  <si>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</si>
  <si>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</si>
  <si>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</si>
  <si>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</si>
  <si>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</si>
  <si>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</si>
  <si>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</si>
  <si>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</si>
  <si>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</si>
  <si>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</si>
  <si>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</si>
  <si>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</si>
  <si>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</si>
  <si>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</si>
  <si>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</si>
  <si>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</si>
  <si>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</si>
  <si>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</si>
  <si>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</si>
  <si>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</si>
  <si>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</si>
  <si>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</si>
  <si>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</si>
  <si>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</si>
  <si>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</si>
  <si>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</si>
  <si>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</si>
  <si>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</si>
  <si>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</si>
  <si>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</si>
  <si>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</si>
  <si>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</si>
  <si>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</si>
  <si>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</si>
  <si>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</si>
  <si>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</si>
  <si>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</si>
  <si>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</si>
  <si>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</si>
  <si>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</si>
  <si>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</si>
  <si>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</si>
  <si>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</si>
  <si>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</si>
  <si>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</si>
  <si>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</si>
  <si>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</si>
  <si>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</si>
  <si>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</si>
  <si>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</si>
  <si>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</si>
  <si>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</si>
  <si>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</si>
  <si>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</si>
  <si>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</si>
  <si>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</si>
  <si>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</si>
  <si>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</si>
  <si>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</si>
  <si>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</si>
  <si>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</si>
  <si>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</si>
  <si>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</si>
  <si>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</si>
  <si>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</si>
  <si>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</si>
  <si>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</si>
  <si>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</si>
  <si>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</si>
  <si>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</si>
  <si>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</si>
  <si>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</si>
  <si>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</si>
  <si>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</si>
  <si>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</si>
  <si>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</si>
  <si>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</si>
  <si>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</si>
  <si>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</si>
  <si>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</si>
  <si>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</si>
  <si>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</si>
  <si>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</si>
  <si>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</si>
  <si>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</si>
  <si>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</si>
  <si>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</si>
  <si>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</si>
  <si>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</si>
  <si>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</si>
  <si>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</si>
  <si>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</si>
  <si>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</si>
  <si>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</si>
  <si>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</si>
  <si>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</si>
  <si>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</si>
  <si>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</si>
  <si>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</si>
  <si>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</si>
  <si>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</si>
  <si>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</si>
  <si>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</si>
  <si>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</si>
  <si>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</si>
  <si>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</si>
  <si>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</si>
  <si>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</si>
  <si>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</si>
  <si>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</si>
  <si>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</si>
  <si>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</si>
  <si>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</si>
  <si>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</si>
  <si>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</si>
  <si>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</si>
  <si>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</si>
  <si>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</si>
  <si>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</si>
  <si>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</si>
  <si>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</si>
  <si>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</si>
  <si>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</si>
  <si>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</si>
  <si>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</si>
  <si>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</si>
  <si>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</si>
  <si>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</si>
  <si>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</si>
  <si>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</si>
  <si>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</si>
  <si>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</si>
  <si>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</si>
  <si>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</si>
  <si>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</si>
  <si>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</si>
  <si>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</si>
  <si>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</si>
  <si>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</si>
  <si>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</si>
  <si>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</si>
  <si>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</si>
  <si>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</si>
  <si>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</si>
  <si>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</si>
  <si>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</si>
  <si>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</si>
  <si>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</si>
  <si>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</si>
  <si>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</si>
  <si>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</si>
  <si>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</si>
  <si>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</si>
  <si>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</si>
  <si>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</si>
  <si>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</si>
  <si>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</si>
  <si>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</si>
  <si>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</si>
  <si>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</si>
  <si>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</si>
  <si>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</si>
  <si>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</si>
  <si>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</si>
  <si>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</si>
  <si>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</si>
  <si>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</si>
  <si>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</si>
  <si>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</si>
  <si>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</si>
  <si>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</si>
  <si>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</si>
  <si>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</si>
  <si>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</si>
  <si>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</si>
  <si>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</si>
  <si>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</si>
  <si>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</si>
  <si>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</si>
  <si>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</si>
  <si>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</si>
  <si>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</si>
  <si>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</si>
  <si>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</si>
  <si>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</si>
  <si>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</si>
  <si>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</si>
  <si>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</si>
  <si>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</si>
  <si>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</si>
  <si>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</si>
  <si>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</si>
  <si>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</si>
  <si>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</si>
  <si>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</si>
  <si>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</si>
  <si>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</si>
  <si>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</si>
  <si>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</si>
  <si>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</si>
  <si>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</si>
  <si>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</si>
  <si>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</si>
  <si>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</si>
  <si>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</si>
  <si>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</si>
  <si>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</si>
  <si>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</si>
  <si>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</si>
  <si>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</si>
  <si>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</si>
  <si>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</si>
  <si>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</si>
  <si>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</si>
  <si>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</si>
  <si>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</si>
  <si>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</si>
  <si>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</si>
  <si>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</si>
  <si>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</si>
  <si>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</si>
  <si>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</si>
  <si>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</si>
  <si>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</si>
  <si>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</si>
  <si>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</si>
  <si>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</si>
  <si>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</si>
  <si>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</si>
  <si>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</si>
  <si>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</si>
  <si>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</si>
  <si>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</si>
  <si>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</si>
  <si>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</si>
  <si>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</si>
  <si>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</si>
  <si>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</si>
  <si>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</si>
  <si>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</si>
  <si>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</si>
  <si>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</si>
  <si>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</si>
  <si>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</si>
  <si>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</si>
  <si>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</si>
  <si>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</si>
  <si>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</si>
  <si>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</si>
  <si>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</si>
  <si>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</si>
  <si>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</si>
  <si>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</si>
  <si>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</si>
  <si>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</si>
  <si>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</si>
  <si>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</si>
  <si>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</si>
  <si>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</si>
  <si>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</si>
  <si>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</si>
  <si>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</si>
  <si>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</si>
  <si>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</si>
  <si>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</si>
  <si>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</si>
  <si>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</si>
  <si>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</si>
  <si>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</si>
  <si>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</si>
  <si>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</si>
  <si>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</si>
  <si>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</si>
  <si>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</si>
  <si>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</si>
  <si>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</si>
  <si>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</si>
  <si>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</si>
  <si>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</si>
  <si>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</si>
  <si>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</si>
  <si>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</si>
  <si>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</si>
  <si>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</si>
  <si>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</si>
  <si>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</si>
  <si>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</si>
  <si>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</si>
  <si>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</si>
  <si>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</si>
  <si>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</si>
  <si>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</si>
  <si>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</si>
  <si>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</si>
  <si>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</si>
  <si>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</si>
  <si>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</si>
  <si>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</si>
  <si>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</si>
  <si>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</si>
  <si>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</si>
  <si>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</si>
  <si>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</si>
  <si>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</si>
  <si>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</si>
  <si>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</si>
  <si>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</si>
  <si>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</si>
  <si>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</si>
  <si>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</si>
  <si>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</si>
  <si>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</si>
  <si>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</si>
  <si>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</si>
  <si>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</si>
  <si>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</si>
  <si>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</si>
  <si>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</si>
  <si>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</si>
  <si>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</si>
  <si>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</si>
  <si>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</si>
  <si>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</si>
  <si>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</si>
  <si>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</si>
  <si>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</si>
  <si>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</si>
  <si>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</si>
  <si>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</si>
  <si>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</si>
  <si>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</si>
  <si>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</si>
  <si>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</si>
  <si>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</si>
  <si>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</si>
  <si>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</si>
  <si>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</si>
  <si>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</si>
  <si>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</si>
  <si>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</si>
  <si>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</si>
  <si>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</si>
  <si>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</si>
  <si>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</si>
  <si>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</si>
  <si>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</si>
  <si>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</si>
  <si>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</si>
  <si>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</si>
  <si>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</si>
  <si>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</si>
  <si>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</si>
  <si>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</si>
  <si>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</si>
  <si>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</si>
  <si>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</si>
  <si>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</si>
  <si>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</si>
  <si>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</si>
  <si>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</si>
  <si>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</si>
  <si>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</si>
  <si>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</si>
  <si>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</si>
  <si>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</si>
  <si>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</si>
  <si>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</si>
  <si>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</si>
  <si>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</si>
  <si>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</si>
  <si>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</si>
  <si>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</si>
  <si>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</si>
  <si>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</si>
  <si>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</si>
  <si>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</si>
  <si>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</si>
  <si>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</si>
  <si>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</si>
  <si>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</si>
  <si>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</si>
  <si>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</si>
  <si>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</si>
  <si>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</si>
  <si>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</si>
  <si>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</si>
  <si>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</si>
  <si>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</si>
  <si>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</si>
  <si>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</si>
  <si>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</si>
  <si>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</si>
  <si>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</si>
  <si>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</si>
  <si>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</si>
  <si>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</si>
  <si>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</si>
  <si>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</si>
  <si>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</si>
  <si>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</si>
  <si>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</si>
  <si>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</si>
  <si>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</si>
  <si>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</si>
  <si>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</si>
  <si>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</si>
  <si>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</si>
  <si>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</si>
  <si>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</si>
  <si>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</si>
  <si>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</si>
  <si>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</si>
  <si>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</si>
  <si>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</si>
  <si>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</si>
  <si>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</si>
  <si>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</si>
  <si>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</si>
  <si>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</si>
  <si>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</si>
  <si>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</si>
  <si>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</si>
  <si>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</si>
  <si>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</si>
  <si>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</si>
  <si>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</si>
  <si>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</si>
  <si>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</si>
  <si>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</si>
  <si>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</si>
  <si>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</si>
  <si>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</si>
  <si>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</si>
  <si>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</si>
  <si>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</si>
  <si>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</si>
  <si>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</si>
  <si>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</si>
  <si>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</si>
  <si>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</si>
  <si>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</si>
  <si>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</si>
  <si>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</si>
  <si>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</si>
  <si>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</si>
  <si>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</si>
  <si>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</si>
  <si>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</si>
  <si>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</si>
  <si>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</si>
  <si>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</si>
  <si>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</si>
  <si>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</si>
  <si>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</si>
  <si>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</si>
  <si>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</si>
  <si>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</si>
  <si>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</si>
  <si>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</si>
  <si>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</si>
  <si>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</si>
  <si>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</si>
  <si>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</si>
  <si>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</si>
  <si>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</si>
  <si>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</si>
  <si>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</si>
  <si>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</si>
  <si>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</si>
  <si>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</si>
  <si>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</si>
  <si>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</si>
  <si>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</si>
  <si>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</si>
  <si>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</si>
  <si>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</si>
  <si>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</si>
  <si>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</si>
  <si>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</si>
  <si>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</si>
  <si>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</si>
  <si>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</si>
  <si>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</si>
  <si>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</si>
  <si>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</si>
  <si>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</si>
  <si>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</si>
  <si>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</si>
  <si>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</si>
  <si>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</si>
  <si>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</si>
  <si>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</si>
  <si>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</si>
  <si>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</si>
  <si>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</si>
  <si>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</si>
  <si>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</si>
  <si>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</si>
  <si>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</si>
  <si>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</si>
  <si>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</si>
  <si>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</si>
  <si>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</si>
  <si>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</si>
  <si>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</si>
  <si>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</si>
  <si>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</si>
  <si>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</si>
  <si>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</si>
  <si>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</si>
  <si>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</si>
  <si>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</si>
  <si>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</si>
  <si>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</si>
  <si>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</si>
  <si>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</si>
  <si>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</si>
  <si>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</si>
  <si>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</si>
  <si>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</si>
  <si>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</si>
  <si>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</si>
  <si>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</si>
  <si>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</si>
  <si>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</si>
  <si>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</si>
  <si>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</si>
  <si>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</si>
  <si>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</si>
  <si>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</si>
  <si>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</si>
  <si>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</si>
  <si>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</si>
  <si>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</si>
  <si>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</si>
  <si>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</si>
  <si>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</si>
  <si>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</si>
  <si>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</si>
  <si>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</si>
  <si>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</si>
  <si>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</si>
  <si>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</si>
  <si>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</si>
  <si>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</si>
  <si>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</si>
  <si>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</si>
  <si>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</si>
  <si>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</si>
  <si>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</si>
  <si>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</si>
  <si>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</si>
  <si>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</si>
  <si>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</si>
  <si>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</si>
  <si>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</si>
  <si>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</si>
  <si>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</si>
  <si>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</si>
  <si>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</si>
  <si>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</si>
  <si>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</si>
  <si>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</si>
  <si>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</si>
  <si>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</si>
  <si>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</si>
  <si>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</si>
  <si>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</si>
  <si>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</si>
  <si>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</si>
  <si>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</si>
  <si>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</si>
  <si>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</si>
  <si>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</si>
  <si>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</si>
  <si>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</si>
  <si>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</si>
  <si>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</si>
  <si>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</si>
  <si>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</si>
  <si>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</si>
  <si>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</si>
  <si>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</si>
  <si>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</si>
  <si>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</si>
  <si>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</si>
  <si>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</si>
  <si>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</si>
  <si>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</si>
  <si>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</si>
  <si>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</si>
  <si>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</si>
  <si>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</si>
  <si>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</si>
  <si>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</si>
  <si>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</si>
  <si>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</si>
  <si>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</si>
  <si>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</si>
  <si>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</si>
  <si>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</si>
  <si>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</si>
  <si>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</si>
  <si>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</si>
  <si>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</si>
  <si>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</si>
  <si>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</si>
  <si>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</si>
  <si>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</si>
  <si>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</si>
  <si>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</si>
  <si>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</si>
  <si>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</si>
  <si>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</si>
  <si>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</si>
  <si>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</si>
  <si>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</si>
  <si>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</si>
  <si>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</si>
  <si>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</si>
  <si>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</si>
  <si>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</si>
  <si>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</si>
  <si>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</si>
  <si>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</si>
  <si>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</si>
  <si>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</si>
  <si>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</si>
  <si>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</si>
  <si>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</si>
  <si>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</si>
  <si>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</si>
  <si>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</si>
  <si>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</si>
  <si>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</si>
  <si>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</si>
  <si>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</si>
  <si>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</si>
  <si>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</si>
  <si>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</si>
  <si>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</si>
  <si>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</si>
  <si>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</si>
  <si>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</si>
  <si>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</si>
  <si>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</si>
  <si>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</si>
  <si>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</si>
  <si>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</si>
  <si>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</si>
  <si>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</si>
  <si>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</si>
  <si>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</si>
  <si>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</si>
  <si>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</si>
  <si>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</si>
  <si>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</si>
  <si>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</si>
  <si>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</si>
  <si>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</si>
  <si>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</si>
  <si>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</si>
  <si>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</si>
  <si>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</si>
  <si>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</si>
  <si>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</si>
  <si>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</si>
  <si>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</si>
  <si>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</si>
  <si>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</si>
  <si>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</si>
  <si>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</si>
  <si>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</si>
  <si>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</si>
  <si>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</si>
  <si>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</si>
  <si>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</si>
  <si>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</si>
  <si>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</si>
  <si>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</si>
  <si>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</si>
  <si>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</si>
  <si>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</si>
  <si>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</si>
  <si>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</si>
  <si>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</si>
  <si>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</si>
  <si>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</si>
  <si>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</si>
  <si>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</si>
  <si>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</si>
  <si>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</si>
  <si>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</si>
  <si>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</si>
  <si>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</si>
  <si>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</si>
  <si>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</si>
  <si>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</si>
  <si>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</si>
  <si>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</si>
  <si>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</si>
  <si>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</si>
  <si>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</si>
  <si>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</si>
  <si>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</si>
  <si>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</si>
  <si>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</si>
  <si>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</si>
  <si>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</si>
  <si>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</si>
  <si>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</si>
  <si>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</si>
  <si>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</si>
  <si>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</si>
  <si>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</si>
  <si>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</si>
  <si>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</si>
  <si>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</si>
  <si>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</si>
  <si>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</si>
  <si>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</si>
  <si>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</si>
  <si>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</si>
  <si>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</si>
  <si>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</si>
  <si>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</si>
  <si>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</si>
  <si>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</si>
  <si>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</si>
  <si>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</si>
  <si>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</si>
  <si>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</si>
  <si>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</si>
  <si>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</si>
  <si>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</si>
  <si>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</si>
  <si>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</si>
  <si>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</si>
  <si>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</si>
  <si>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</si>
  <si>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</si>
  <si>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</si>
  <si>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</si>
  <si>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</si>
  <si>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</si>
  <si>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</si>
  <si>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</si>
  <si>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</si>
  <si>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</si>
  <si>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</si>
  <si>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</si>
  <si>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</si>
  <si>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</si>
  <si>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</si>
  <si>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</si>
  <si>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</si>
  <si>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</si>
  <si>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</si>
  <si>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</si>
  <si>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</si>
  <si>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</si>
  <si>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</si>
  <si>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</si>
  <si>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</si>
  <si>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</si>
  <si>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</si>
  <si>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</si>
  <si>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</si>
  <si>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</si>
  <si>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</si>
  <si>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</si>
  <si>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</si>
  <si>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</si>
  <si>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</si>
  <si>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</si>
  <si>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</si>
  <si>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</si>
  <si>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</si>
  <si>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</si>
  <si>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</si>
  <si>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</si>
  <si>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</si>
  <si>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</si>
  <si>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</si>
  <si>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</si>
  <si>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</si>
  <si>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</si>
  <si>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</si>
  <si>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</si>
  <si>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</si>
  <si>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</si>
  <si>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</si>
  <si>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</si>
  <si>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</si>
  <si>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</si>
  <si>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</si>
  <si>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</si>
  <si>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</si>
  <si>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</si>
  <si>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</si>
  <si>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</si>
  <si>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</si>
  <si>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</si>
  <si>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</si>
  <si>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</si>
  <si>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</si>
  <si>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</si>
  <si>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</si>
  <si>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</si>
  <si>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</si>
  <si>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</si>
  <si>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</si>
  <si>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</si>
  <si>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</si>
  <si>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</si>
  <si>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</si>
  <si>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</si>
  <si>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</si>
  <si>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</si>
  <si>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</si>
  <si>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</si>
  <si>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</si>
  <si>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</si>
  <si>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</si>
  <si>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</si>
  <si>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</si>
  <si>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</si>
  <si>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</si>
  <si>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</si>
  <si>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</si>
  <si>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</si>
  <si>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</si>
  <si>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</si>
  <si>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</si>
  <si>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</si>
  <si>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</si>
  <si>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</si>
  <si>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</si>
  <si>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</si>
  <si>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</si>
  <si>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</si>
  <si>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</si>
  <si>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</si>
  <si>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</si>
  <si>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</si>
  <si>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</si>
  <si>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</si>
  <si>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</si>
  <si>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</si>
  <si>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</si>
  <si>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</si>
  <si>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</si>
  <si>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</si>
  <si>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</si>
  <si>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</si>
  <si>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</si>
  <si>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</si>
  <si>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</si>
  <si>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</si>
  <si>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</si>
  <si>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</si>
  <si>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</si>
  <si>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</si>
  <si>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</si>
  <si>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</si>
  <si>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</si>
  <si>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</si>
  <si>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</si>
  <si>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</si>
  <si>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</si>
  <si>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</si>
  <si>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</si>
  <si>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</si>
  <si>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</si>
  <si>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</si>
  <si>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</si>
  <si>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</si>
  <si>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</si>
  <si>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</si>
  <si>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</si>
  <si>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</si>
  <si>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</si>
  <si>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</si>
  <si>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</si>
  <si>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</si>
  <si>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</si>
  <si>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</si>
  <si>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</si>
  <si>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</si>
  <si>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</si>
  <si>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</si>
  <si>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</si>
  <si>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</si>
  <si>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</si>
  <si>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</si>
  <si>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</si>
  <si>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</si>
  <si>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</si>
  <si>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</si>
  <si>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</si>
  <si>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</si>
  <si>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</si>
  <si>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</si>
  <si>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</si>
  <si>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</si>
  <si>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</si>
  <si>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</si>
  <si>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</si>
  <si>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</si>
  <si>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</si>
  <si>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</si>
  <si>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</si>
  <si>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</si>
  <si>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</si>
  <si>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</si>
  <si>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</si>
  <si>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</si>
  <si>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</si>
  <si>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</si>
  <si>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</si>
  <si>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</si>
  <si>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</si>
  <si>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</si>
  <si>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</si>
  <si>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</si>
  <si>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</si>
  <si>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</si>
  <si>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</si>
  <si>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</si>
  <si>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</si>
  <si>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</si>
  <si>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</si>
  <si>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</si>
  <si>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</si>
  <si>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</si>
  <si>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</si>
  <si>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</si>
  <si>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</si>
  <si>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</si>
  <si>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</si>
  <si>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</si>
  <si>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</si>
  <si>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</si>
  <si>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</si>
  <si>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</si>
  <si>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</si>
  <si>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</si>
  <si>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</si>
  <si>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</si>
  <si>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</si>
  <si>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</si>
  <si>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</si>
  <si>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</si>
  <si>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</si>
  <si>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</si>
  <si>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</si>
  <si>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</si>
  <si>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</si>
  <si>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</si>
  <si>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</si>
  <si>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</si>
  <si>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</si>
  <si>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</si>
  <si>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</si>
  <si>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</si>
  <si>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</si>
  <si>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</si>
  <si>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</si>
  <si>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</si>
  <si>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</si>
  <si>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</si>
  <si>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</si>
  <si>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</si>
  <si>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</si>
  <si>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</si>
  <si>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</si>
  <si>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</si>
  <si>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</si>
  <si>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</si>
  <si>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</si>
  <si>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</si>
  <si>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</si>
  <si>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</si>
  <si>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</si>
  <si>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</si>
  <si>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</si>
  <si>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</si>
  <si>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</si>
  <si>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</si>
  <si>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</si>
  <si>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</si>
  <si>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</si>
  <si>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</si>
  <si>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</si>
  <si>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</si>
  <si>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</si>
  <si>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</si>
  <si>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</si>
  <si>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</si>
  <si>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</si>
  <si>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</si>
  <si>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</si>
  <si>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</si>
  <si>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</si>
  <si>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</si>
  <si>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</si>
  <si>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</si>
  <si>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</si>
  <si>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</si>
  <si>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</si>
  <si>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</si>
  <si>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</si>
  <si>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</si>
  <si>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</si>
  <si>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</si>
  <si>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</si>
  <si>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</si>
  <si>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</si>
  <si>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</si>
  <si>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</si>
  <si>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</si>
  <si>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</si>
  <si>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</si>
  <si>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</si>
  <si>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</si>
  <si>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</si>
  <si>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</si>
  <si>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</si>
  <si>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</si>
  <si>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</si>
  <si>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</si>
  <si>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</si>
  <si>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</si>
  <si>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</si>
  <si>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</si>
  <si>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</si>
  <si>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</si>
  <si>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</si>
  <si>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</si>
  <si>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</si>
  <si>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</si>
  <si>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</si>
  <si>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</si>
  <si>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</si>
  <si>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</si>
  <si>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</si>
  <si>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</si>
  <si>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</si>
  <si>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</si>
  <si>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</si>
  <si>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</si>
  <si>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</si>
  <si>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</si>
  <si>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</si>
  <si>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</si>
  <si>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</si>
  <si>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</si>
  <si>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</si>
  <si>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</si>
  <si>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</si>
  <si>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</si>
  <si>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</si>
  <si>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</si>
  <si>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</si>
  <si>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</si>
  <si>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</si>
  <si>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</si>
  <si>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</si>
  <si>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</si>
  <si>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</si>
  <si>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</si>
  <si>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</si>
  <si>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</si>
  <si>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</si>
  <si>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</si>
  <si>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</si>
  <si>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</si>
  <si>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</si>
  <si>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</si>
  <si>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</si>
  <si>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</si>
  <si>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</si>
  <si>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</si>
  <si>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</si>
  <si>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</si>
  <si>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</si>
  <si>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</si>
  <si>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</si>
  <si>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</si>
  <si>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</si>
  <si>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</si>
  <si>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</si>
  <si>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</si>
  <si>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</si>
  <si>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</si>
  <si>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</si>
  <si>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</si>
  <si>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</si>
  <si>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</si>
  <si>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</si>
  <si>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</si>
  <si>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</si>
  <si>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</si>
  <si>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</si>
  <si>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</si>
  <si>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</si>
  <si>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</si>
  <si>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</si>
  <si>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</si>
  <si>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</si>
  <si>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</si>
  <si>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</si>
  <si>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</si>
  <si>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</si>
  <si>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</si>
  <si>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</si>
  <si>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</si>
  <si>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</si>
  <si>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</si>
  <si>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</si>
  <si>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</si>
  <si>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</si>
  <si>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</si>
  <si>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</si>
  <si>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</si>
  <si>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</si>
  <si>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</si>
  <si>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</si>
  <si>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</si>
  <si>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</si>
  <si>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</si>
  <si>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</si>
  <si>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</si>
  <si>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</si>
  <si>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</si>
  <si>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</si>
  <si>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</si>
  <si>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</si>
  <si>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</si>
  <si>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</si>
  <si>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</si>
  <si>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</si>
  <si>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</si>
  <si>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</si>
  <si>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</si>
  <si>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</si>
  <si>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</si>
  <si>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</si>
  <si>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</si>
  <si>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</si>
  <si>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</si>
  <si>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</si>
  <si>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</si>
  <si>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</si>
  <si>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</si>
  <si>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</si>
  <si>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</si>
  <si>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</si>
  <si>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</si>
  <si>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</si>
  <si>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</si>
  <si>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</si>
  <si>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</si>
  <si>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</si>
  <si>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</si>
  <si>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</si>
  <si>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</si>
  <si>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</si>
  <si>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</si>
  <si>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</si>
  <si>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</si>
  <si>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</si>
  <si>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</si>
  <si>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</si>
  <si>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</si>
  <si>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</si>
  <si>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</si>
  <si>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</si>
  <si>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</si>
  <si>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</si>
  <si>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</si>
  <si>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</si>
  <si>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</si>
  <si>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</si>
  <si>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</si>
  <si>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</si>
  <si>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</si>
  <si>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</si>
  <si>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</si>
  <si>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</si>
  <si>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</si>
  <si>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</si>
  <si>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</si>
  <si>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</si>
  <si>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</si>
  <si>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</si>
  <si>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</si>
  <si>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</si>
  <si>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</si>
  <si>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</si>
  <si>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</si>
  <si>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</si>
  <si>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</si>
  <si>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</si>
  <si>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</si>
  <si>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</si>
  <si>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</si>
  <si>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</si>
  <si>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</si>
  <si>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</si>
  <si>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</si>
  <si>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</si>
  <si>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</si>
  <si>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</si>
  <si>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</si>
  <si>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</si>
  <si>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</si>
  <si>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</si>
  <si>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</si>
  <si>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</si>
  <si>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</si>
  <si>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</si>
  <si>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</si>
  <si>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</si>
  <si>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</si>
  <si>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</si>
  <si>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</si>
  <si>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</si>
  <si>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</si>
  <si>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</si>
  <si>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</si>
  <si>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</si>
  <si>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</si>
  <si>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</si>
  <si>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</si>
  <si>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</si>
  <si>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</si>
  <si>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</si>
  <si>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</si>
  <si>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</si>
  <si>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</si>
  <si>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</si>
  <si>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</si>
  <si>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</si>
  <si>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</si>
  <si>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</si>
  <si>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</si>
  <si>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</si>
  <si>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</si>
  <si>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</si>
  <si>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</si>
  <si>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</si>
  <si>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</si>
  <si>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</si>
  <si>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</si>
  <si>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</si>
  <si>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</si>
  <si>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</si>
  <si>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</si>
  <si>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</si>
  <si>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</si>
  <si>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</si>
  <si>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</si>
  <si>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</si>
  <si>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</si>
  <si>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</si>
  <si>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</si>
  <si>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</si>
  <si>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</si>
  <si>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</si>
  <si>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</si>
  <si>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</si>
  <si>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</si>
  <si>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</si>
  <si>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</si>
  <si>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</si>
  <si>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</si>
  <si>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</si>
  <si>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</si>
  <si>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</si>
  <si>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</si>
  <si>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</si>
  <si>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</si>
  <si>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</si>
  <si>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</si>
  <si>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</si>
  <si>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</si>
  <si>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</si>
  <si>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</si>
  <si>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</si>
  <si>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</si>
  <si>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</si>
  <si>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</si>
  <si>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</si>
  <si>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</si>
  <si>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</si>
  <si>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</si>
  <si>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</si>
  <si>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</si>
  <si>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</si>
  <si>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</si>
  <si>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</si>
  <si>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</si>
  <si>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</si>
  <si>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</si>
  <si>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</si>
  <si>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</si>
  <si>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</si>
  <si>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</si>
  <si>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</si>
  <si>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</si>
  <si>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</si>
  <si>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</si>
  <si>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</si>
  <si>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</si>
  <si>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</si>
  <si>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</si>
  <si>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</si>
  <si>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</si>
  <si>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</si>
  <si>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</si>
  <si>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</si>
  <si>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</si>
  <si>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</si>
  <si>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</si>
  <si>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</si>
  <si>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</si>
  <si>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</si>
  <si>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</si>
  <si>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</si>
  <si>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</si>
  <si>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</si>
  <si>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</si>
  <si>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</si>
  <si>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</si>
  <si>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</si>
  <si>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</si>
  <si>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</si>
  <si>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</si>
  <si>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</si>
  <si>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</si>
  <si>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</si>
  <si>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</si>
  <si>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</si>
  <si>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</si>
  <si>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</si>
  <si>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</si>
  <si>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</si>
  <si>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</si>
  <si>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</si>
  <si>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</si>
  <si>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</si>
  <si>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</si>
  <si>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</si>
  <si>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</si>
  <si>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</si>
  <si>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</si>
  <si>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</si>
  <si>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</si>
  <si>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</si>
  <si>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</si>
  <si>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</si>
  <si>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</si>
  <si>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</si>
  <si>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</si>
  <si>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</si>
  <si>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</si>
  <si>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</si>
  <si>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</si>
  <si>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</si>
  <si>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</si>
  <si>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</si>
  <si>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</si>
  <si>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</si>
  <si>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</si>
  <si>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</si>
  <si>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</si>
  <si>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</si>
  <si>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</si>
  <si>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</si>
  <si>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</si>
  <si>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</si>
  <si>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</si>
  <si>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</si>
  <si>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</si>
  <si>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</si>
  <si>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</si>
  <si>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</si>
  <si>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</si>
  <si>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</si>
  <si>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</si>
  <si>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</si>
  <si>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</si>
  <si>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</si>
  <si>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</si>
  <si>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</si>
  <si>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</si>
  <si>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</si>
  <si>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</si>
  <si>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</si>
  <si>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</si>
  <si>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</si>
  <si>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</si>
  <si>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</si>
  <si>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</si>
  <si>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</si>
  <si>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</si>
  <si>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</si>
  <si>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</si>
  <si>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</si>
  <si>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</si>
  <si>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</si>
  <si>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</si>
  <si>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</si>
  <si>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</si>
  <si>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</si>
  <si>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</si>
  <si>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</si>
  <si>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</si>
  <si>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</si>
  <si>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</si>
  <si>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</si>
  <si>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</si>
  <si>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</si>
  <si>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</si>
  <si>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</si>
  <si>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</si>
  <si>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</si>
  <si>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</si>
  <si>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</si>
  <si>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</si>
  <si>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</si>
  <si>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</si>
  <si>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</si>
  <si>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</si>
  <si>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</si>
  <si>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</si>
  <si>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</si>
  <si>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</si>
  <si>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</si>
  <si>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</si>
  <si>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</si>
  <si>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</si>
  <si>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</si>
  <si>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</si>
  <si>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</si>
  <si>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</si>
  <si>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</si>
  <si>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</si>
  <si>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</si>
  <si>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</si>
  <si>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</si>
  <si>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</si>
  <si>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</si>
  <si>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</si>
  <si>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</si>
  <si>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</si>
  <si>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</si>
  <si>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</si>
  <si>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</si>
  <si>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</si>
  <si>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</si>
  <si>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</si>
  <si>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</si>
  <si>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</si>
  <si>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</si>
  <si>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</si>
  <si>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</si>
  <si>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</si>
  <si>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</si>
  <si>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</si>
  <si>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</si>
  <si>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</si>
  <si>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</si>
  <si>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</si>
  <si>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</si>
  <si>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</si>
  <si>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</si>
  <si>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</si>
  <si>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</si>
  <si>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</si>
  <si>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</si>
  <si>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</si>
  <si>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</si>
  <si>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</si>
  <si>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</si>
  <si>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</si>
  <si>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</si>
  <si>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</si>
  <si>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</si>
  <si>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</si>
  <si>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</si>
  <si>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</si>
  <si>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</si>
  <si>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</si>
  <si>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</si>
  <si>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</si>
  <si>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</si>
  <si>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</si>
  <si>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</si>
  <si>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</si>
  <si>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</si>
  <si>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</si>
  <si>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</si>
  <si>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</si>
  <si>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</si>
  <si>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</si>
  <si>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</si>
  <si>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</si>
  <si>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</si>
  <si>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</si>
  <si>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</si>
  <si>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</si>
  <si>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</si>
  <si>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</si>
  <si>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</si>
  <si>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</si>
  <si>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</si>
  <si>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</si>
  <si>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</si>
  <si>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</si>
  <si>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</si>
  <si>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</si>
  <si>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</si>
  <si>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</si>
  <si>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</si>
  <si>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</si>
  <si>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</si>
  <si>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</si>
  <si>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</si>
  <si>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</si>
  <si>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</si>
  <si>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</si>
  <si>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</si>
  <si>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</si>
  <si>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</si>
  <si>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</si>
  <si>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</si>
  <si>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</si>
  <si>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</si>
  <si>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</si>
  <si>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</si>
  <si>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</si>
  <si>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</si>
  <si>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</si>
  <si>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</si>
  <si>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</si>
  <si>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</si>
  <si>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</si>
  <si>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</si>
  <si>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</si>
  <si>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</si>
  <si>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</si>
  <si>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</si>
  <si>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</si>
  <si>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</si>
  <si>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</si>
  <si>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</si>
  <si>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</si>
  <si>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</si>
  <si>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</si>
  <si>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</si>
  <si>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</si>
  <si>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</si>
  <si>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</si>
  <si>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</si>
  <si>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</si>
  <si>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</si>
  <si>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</si>
  <si>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</si>
  <si>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</si>
  <si>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</si>
  <si>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</si>
  <si>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</si>
  <si>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</si>
  <si>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</si>
  <si>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</si>
  <si>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</si>
  <si>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</si>
  <si>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</si>
  <si>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</si>
  <si>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</si>
  <si>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</si>
  <si>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</si>
  <si>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</si>
  <si>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</si>
  <si>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</si>
  <si>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</si>
  <si>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</si>
  <si>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</si>
  <si>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</si>
  <si>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</si>
  <si>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</si>
  <si>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</si>
  <si>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</si>
  <si>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</si>
  <si>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</si>
  <si>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</si>
  <si>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</si>
  <si>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</si>
  <si>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</si>
  <si>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</si>
  <si>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</si>
  <si>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</si>
  <si>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</si>
  <si>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</si>
  <si>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</si>
  <si>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</si>
  <si>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</si>
  <si>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</si>
  <si>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</si>
  <si>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</si>
  <si>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</si>
  <si>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</si>
  <si>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</si>
  <si>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</si>
  <si>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</si>
  <si>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</si>
  <si>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</si>
  <si>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</si>
  <si>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</si>
  <si>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</si>
  <si>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</si>
  <si>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</si>
  <si>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</si>
  <si>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</si>
  <si>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</si>
  <si>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</si>
  <si>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</si>
  <si>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</si>
  <si>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</si>
  <si>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</si>
  <si>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</si>
  <si>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</si>
  <si>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</si>
  <si>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</si>
  <si>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</si>
  <si>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</si>
  <si>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</si>
  <si>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</si>
  <si>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</si>
  <si>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</si>
  <si>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</si>
  <si>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</si>
  <si>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</si>
  <si>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</si>
  <si>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</si>
  <si>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</si>
  <si>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</si>
  <si>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</si>
  <si>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</si>
  <si>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</si>
  <si>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</si>
  <si>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</si>
  <si>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</si>
  <si>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</si>
  <si>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</si>
  <si>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</si>
  <si>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</si>
  <si>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</si>
  <si>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</si>
  <si>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</si>
  <si>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</si>
  <si>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</si>
  <si>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</si>
  <si>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</si>
  <si>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</si>
  <si>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</si>
  <si>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</si>
  <si>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</si>
  <si>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</si>
  <si>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</si>
  <si>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</si>
  <si>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</si>
  <si>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</si>
  <si>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</si>
  <si>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</si>
  <si>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</si>
  <si>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</si>
  <si>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</si>
  <si>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</si>
  <si>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</si>
  <si>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</si>
  <si>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</si>
  <si>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</si>
  <si>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</si>
  <si>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</si>
  <si>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</si>
  <si>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</si>
  <si>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</si>
  <si>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</si>
  <si>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</si>
  <si>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</si>
  <si>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</si>
  <si>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</si>
  <si>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</si>
  <si>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</si>
  <si>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</si>
  <si>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</si>
  <si>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</si>
  <si>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</si>
  <si>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</si>
  <si>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</si>
  <si>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</si>
  <si>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</si>
  <si>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</si>
  <si>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</si>
  <si>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</si>
  <si>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</si>
  <si>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</si>
  <si>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</si>
  <si>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</si>
  <si>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</si>
  <si>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</si>
  <si>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</si>
  <si>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</si>
  <si>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</si>
  <si>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</si>
  <si>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</si>
  <si>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</si>
  <si>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</si>
  <si>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</si>
  <si>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</si>
  <si>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</si>
  <si>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</si>
  <si>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</si>
  <si>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</si>
  <si>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</si>
  <si>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</si>
  <si>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</si>
  <si>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</si>
  <si>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</si>
  <si>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</si>
  <si>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</si>
  <si>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</si>
  <si>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</si>
  <si>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</si>
  <si>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</si>
  <si>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</si>
  <si>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</si>
  <si>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</si>
  <si>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</si>
  <si>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</si>
  <si>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</si>
  <si>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</si>
  <si>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</si>
  <si>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</si>
  <si>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</si>
  <si>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</si>
  <si>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</si>
  <si>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</si>
  <si>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</si>
  <si>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</si>
  <si>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</si>
  <si>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</si>
  <si>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</si>
  <si>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</si>
  <si>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</si>
  <si>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</si>
  <si>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</si>
  <si>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</si>
  <si>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</si>
  <si>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</si>
  <si>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</si>
  <si>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</si>
  <si>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</si>
  <si>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</si>
  <si>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</si>
  <si>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</si>
  <si>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</si>
  <si>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</si>
  <si>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</si>
  <si>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</si>
  <si>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</si>
  <si>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</si>
  <si>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</si>
  <si>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</si>
  <si>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</si>
  <si>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</si>
  <si>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</si>
  <si>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</si>
  <si>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</si>
  <si>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</si>
  <si>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</si>
  <si>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</si>
  <si>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</si>
  <si>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</si>
  <si>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</si>
  <si>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</si>
  <si>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</si>
  <si>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</si>
  <si>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</si>
  <si>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</si>
  <si>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</si>
  <si>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</si>
  <si>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</si>
  <si>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</si>
  <si>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</si>
  <si>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</si>
  <si>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</si>
  <si>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</si>
  <si>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</si>
  <si>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</si>
  <si>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</si>
  <si>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</si>
  <si>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</si>
  <si>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</si>
  <si>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</si>
  <si>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</si>
  <si>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</si>
  <si>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</si>
  <si>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</si>
  <si>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</si>
  <si>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</si>
  <si>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</si>
  <si>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</si>
  <si>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</si>
  <si>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</si>
  <si>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</si>
  <si>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</si>
  <si>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</si>
  <si>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</si>
  <si>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</si>
  <si>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</si>
  <si>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</si>
  <si>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</si>
  <si>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</si>
  <si>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</si>
  <si>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</si>
  <si>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</si>
  <si>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</si>
  <si>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</si>
  <si>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</si>
  <si>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</si>
  <si>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</si>
  <si>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</si>
  <si>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</si>
  <si>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</si>
  <si>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</si>
  <si>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</si>
  <si>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</si>
  <si>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</si>
  <si>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</si>
  <si>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</si>
  <si>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</si>
  <si>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</si>
  <si>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</si>
  <si>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</si>
  <si>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</si>
  <si>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</si>
  <si>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</si>
  <si>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</si>
  <si>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</si>
  <si>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</si>
  <si>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</si>
  <si>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</si>
  <si>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</si>
  <si>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</si>
  <si>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</si>
  <si>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</si>
  <si>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</si>
  <si>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</si>
  <si>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</si>
  <si>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</si>
  <si>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</si>
  <si>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</si>
  <si>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</si>
  <si>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</si>
  <si>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</si>
  <si>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</si>
  <si>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</si>
  <si>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</si>
  <si>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</si>
  <si>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</si>
  <si>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</si>
  <si>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</si>
  <si>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</si>
  <si>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</si>
  <si>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</si>
  <si>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</si>
  <si>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</si>
  <si>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</si>
  <si>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</si>
  <si>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</si>
  <si>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</si>
  <si>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</si>
  <si>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</si>
  <si>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</si>
  <si>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</si>
  <si>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</si>
  <si>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</si>
  <si>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</si>
  <si>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</si>
  <si>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</si>
  <si>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</si>
  <si>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</si>
  <si>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</si>
  <si>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</si>
  <si>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</si>
  <si>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</si>
  <si>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</si>
  <si>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</si>
  <si>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</si>
  <si>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</si>
  <si>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</si>
  <si>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</si>
  <si>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</si>
  <si>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</si>
  <si>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</si>
  <si>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</si>
  <si>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</si>
  <si>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</si>
  <si>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</si>
  <si>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</si>
  <si>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</si>
  <si>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</si>
  <si>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</si>
  <si>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</si>
  <si>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</si>
  <si>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</si>
  <si>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</si>
  <si>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</si>
  <si>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</si>
  <si>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</si>
  <si>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</si>
  <si>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</si>
  <si>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</si>
  <si>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</si>
  <si>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</si>
  <si>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</si>
  <si>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</si>
  <si>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</si>
  <si>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</si>
  <si>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</si>
  <si>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</si>
  <si>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</si>
  <si>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</si>
  <si>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</si>
  <si>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</si>
  <si>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</si>
  <si>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</si>
  <si>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</si>
  <si>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</si>
  <si>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</si>
  <si>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</si>
  <si>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</si>
  <si>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</si>
  <si>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</si>
  <si>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</si>
  <si>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</si>
  <si>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</si>
  <si>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</si>
  <si>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</si>
  <si>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</si>
  <si>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</si>
  <si>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</si>
  <si>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</si>
  <si>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</si>
  <si>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</si>
  <si>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</si>
  <si>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</si>
  <si>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</si>
  <si>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</si>
  <si>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</si>
  <si>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</si>
  <si>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</si>
  <si>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</si>
  <si>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</si>
  <si>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</si>
  <si>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</si>
  <si>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</si>
  <si>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</si>
  <si>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</si>
  <si>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</si>
  <si>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</si>
  <si>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</si>
  <si>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</si>
  <si>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</si>
  <si>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</si>
  <si>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</si>
  <si>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</si>
  <si>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</si>
  <si>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</si>
  <si>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</si>
  <si>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</si>
  <si>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</si>
  <si>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</si>
  <si>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</si>
  <si>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</si>
  <si>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</si>
  <si>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</si>
  <si>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</si>
  <si>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</si>
  <si>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</si>
  <si>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</si>
  <si>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</si>
  <si>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</si>
  <si>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</si>
  <si>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</si>
  <si>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</si>
  <si>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</si>
  <si>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</si>
  <si>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</si>
  <si>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</si>
  <si>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</si>
  <si>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</si>
  <si>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</si>
  <si>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</si>
  <si>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</si>
  <si>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</si>
  <si>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</si>
  <si>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</si>
  <si>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</si>
  <si>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</si>
  <si>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</si>
  <si>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</si>
  <si>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</si>
  <si>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</si>
  <si>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</si>
  <si>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</si>
  <si>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</si>
  <si>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</si>
  <si>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</si>
  <si>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</si>
  <si>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</si>
  <si>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</si>
  <si>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</si>
  <si>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</si>
  <si>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</si>
  <si>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</si>
  <si>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</si>
  <si>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</si>
  <si>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</si>
  <si>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</si>
  <si>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</si>
  <si>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</si>
  <si>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</si>
  <si>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</si>
  <si>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</si>
  <si>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</si>
  <si>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</si>
  <si>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</si>
  <si>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</si>
  <si>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</si>
  <si>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</si>
  <si>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</si>
  <si>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</si>
  <si>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</si>
  <si>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</si>
  <si>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</si>
  <si>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</si>
  <si>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</si>
  <si>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</si>
  <si>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</si>
  <si>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</si>
  <si>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</si>
  <si>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</si>
  <si>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</si>
  <si>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</si>
  <si>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</si>
  <si>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</si>
  <si>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</si>
  <si>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</si>
  <si>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</si>
  <si>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</si>
  <si>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</si>
  <si>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</si>
  <si>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</si>
  <si>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</si>
  <si>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</si>
  <si>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</si>
  <si>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</si>
  <si>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</si>
  <si>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</si>
  <si>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</si>
  <si>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</si>
  <si>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</si>
  <si>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</si>
  <si>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</si>
  <si>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</si>
  <si>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</si>
  <si>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</si>
  <si>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</si>
  <si>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</si>
  <si>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</si>
  <si>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</si>
  <si>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</si>
  <si>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</si>
  <si>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</si>
  <si>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</si>
  <si>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</si>
  <si>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</si>
  <si>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</si>
  <si>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</si>
  <si>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</si>
  <si>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</si>
  <si>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</si>
  <si>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</si>
  <si>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</si>
  <si>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</si>
  <si>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</si>
  <si>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</si>
  <si>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</si>
  <si>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</si>
  <si>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</si>
  <si>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</si>
  <si>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</si>
  <si>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</si>
  <si>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</si>
  <si>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</si>
  <si>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</si>
  <si>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</si>
  <si>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</si>
  <si>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</si>
  <si>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</si>
  <si>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</si>
  <si>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</si>
  <si>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</si>
  <si>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</si>
  <si>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</si>
  <si>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</si>
  <si>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</si>
  <si>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</si>
  <si>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</si>
  <si>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</si>
  <si>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</si>
  <si>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</si>
  <si>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</si>
  <si>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</si>
  <si>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</si>
  <si>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</si>
  <si>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</si>
  <si>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</si>
  <si>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</si>
  <si>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</si>
  <si>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</si>
  <si>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</si>
  <si>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</si>
  <si>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</si>
  <si>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</si>
  <si>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</si>
  <si>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</si>
  <si>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</si>
  <si>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</si>
  <si>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</si>
  <si>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</si>
  <si>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</si>
  <si>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</si>
  <si>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</si>
  <si>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</si>
  <si>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</si>
  <si>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</si>
  <si>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</si>
  <si>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</si>
  <si>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</si>
  <si>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</si>
  <si>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</si>
  <si>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</si>
  <si>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</si>
  <si>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</si>
  <si>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</si>
  <si>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</si>
  <si>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</si>
  <si>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</si>
  <si>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</si>
  <si>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</si>
  <si>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</si>
  <si>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</si>
  <si>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</si>
  <si>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</si>
  <si>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</si>
  <si>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</si>
  <si>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</si>
  <si>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</si>
  <si>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</si>
  <si>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</si>
  <si>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</si>
  <si>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</si>
  <si>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</si>
  <si>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</si>
  <si>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</si>
  <si>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</si>
  <si>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</si>
  <si>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</si>
  <si>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</si>
  <si>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</si>
  <si>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</si>
  <si>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</si>
  <si>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</si>
  <si>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</si>
  <si>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</si>
  <si>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</si>
  <si>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</si>
  <si>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</si>
  <si>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</si>
  <si>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</si>
  <si>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</si>
  <si>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</si>
  <si>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</si>
  <si>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</si>
  <si>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</si>
  <si>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</si>
  <si>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</si>
  <si>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</si>
  <si>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</si>
  <si>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</si>
  <si>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</si>
  <si>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</si>
  <si>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</si>
  <si>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</si>
  <si>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</si>
  <si>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</si>
  <si>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</si>
  <si>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</si>
  <si>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</si>
  <si>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</si>
  <si>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</si>
  <si>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</si>
  <si>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</si>
  <si>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</si>
  <si>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</si>
  <si>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</si>
  <si>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</si>
  <si>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</si>
  <si>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</si>
  <si>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</si>
  <si>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</si>
  <si>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</si>
  <si>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</si>
  <si>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</si>
  <si>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</si>
  <si>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</si>
  <si>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</si>
  <si>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</si>
  <si>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</si>
  <si>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</si>
  <si>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</si>
  <si>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</si>
  <si>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</si>
  <si>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</si>
  <si>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</si>
  <si>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</si>
  <si>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</si>
  <si>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</si>
  <si>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</si>
  <si>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</si>
  <si>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</si>
  <si>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</si>
  <si>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</si>
  <si>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</si>
  <si>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</si>
  <si>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</si>
  <si>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</si>
  <si>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</si>
  <si>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</si>
  <si>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</si>
  <si>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</si>
  <si>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</si>
  <si>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</si>
  <si>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</si>
  <si>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</si>
  <si>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</si>
  <si>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</si>
  <si>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</si>
  <si>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</si>
  <si>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</si>
  <si>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</si>
  <si>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</si>
  <si>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</si>
  <si>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</si>
  <si>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</si>
  <si>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</si>
  <si>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</si>
  <si>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</si>
  <si>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</si>
  <si>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</si>
  <si>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</si>
  <si>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</si>
  <si>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</si>
  <si>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</si>
  <si>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</si>
  <si>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</si>
  <si>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</si>
  <si>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</si>
  <si>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</si>
  <si>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</si>
  <si>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</si>
  <si>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</si>
  <si>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</si>
  <si>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</si>
  <si>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</si>
  <si>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</si>
  <si>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</si>
  <si>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</si>
  <si>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</si>
  <si>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</si>
  <si>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</si>
  <si>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</si>
  <si>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</si>
  <si>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</si>
  <si>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</si>
  <si>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</si>
  <si>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</si>
  <si>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</si>
  <si>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</si>
  <si>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</si>
  <si>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</si>
  <si>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</si>
  <si>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</si>
  <si>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</si>
  <si>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</si>
  <si>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</si>
  <si>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</si>
  <si>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</si>
  <si>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</si>
  <si>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</si>
  <si>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</si>
  <si>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</si>
  <si>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</si>
  <si>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</si>
  <si>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</si>
  <si>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</si>
  <si>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</si>
  <si>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</si>
  <si>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</si>
  <si>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</si>
  <si>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</si>
  <si>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</si>
  <si>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</si>
  <si>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</si>
  <si>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</si>
  <si>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</si>
  <si>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</si>
  <si>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</si>
  <si>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</si>
  <si>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</si>
  <si>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</si>
  <si>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</si>
  <si>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</si>
  <si>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</si>
  <si>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</si>
  <si>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</si>
  <si>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</si>
  <si>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</si>
  <si>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</si>
  <si>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</si>
  <si>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</si>
  <si>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</si>
  <si>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</si>
  <si>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</si>
  <si>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</si>
  <si>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</si>
  <si>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</si>
  <si>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</si>
  <si>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</si>
  <si>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</si>
  <si>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</si>
  <si>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</si>
  <si>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</si>
  <si>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</si>
  <si>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</si>
  <si>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</si>
  <si>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</si>
  <si>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</si>
  <si>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</si>
  <si>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</si>
  <si>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</si>
  <si>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</si>
  <si>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</si>
  <si>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</si>
  <si>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</si>
  <si>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</si>
  <si>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</si>
  <si>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</si>
  <si>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</si>
  <si>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</si>
  <si>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</si>
  <si>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</si>
  <si>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</si>
  <si>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</si>
  <si>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</si>
  <si>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</si>
  <si>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</si>
  <si>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</si>
  <si>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</si>
  <si>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</si>
  <si>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</si>
  <si>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</si>
  <si>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</si>
  <si>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</si>
  <si>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</si>
  <si>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</si>
  <si>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</si>
  <si>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</si>
  <si>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</si>
  <si>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</si>
  <si>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</si>
  <si>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</si>
  <si>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</si>
  <si>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</si>
  <si>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</si>
  <si>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</si>
  <si>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</si>
  <si>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</si>
  <si>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</si>
  <si>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</si>
  <si>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</si>
  <si>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</si>
  <si>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</si>
  <si>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</si>
  <si>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</si>
  <si>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</si>
  <si>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</si>
  <si>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</si>
  <si>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</si>
  <si>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</si>
  <si>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</si>
  <si>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</si>
  <si>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</si>
  <si>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</si>
  <si>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</si>
  <si>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</si>
  <si>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</si>
  <si>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</si>
  <si>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</si>
  <si>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</si>
  <si>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</si>
  <si>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</si>
  <si>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</si>
  <si>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</si>
  <si>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</si>
  <si>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</si>
  <si>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</si>
  <si>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</si>
  <si>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</si>
  <si>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</si>
  <si>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</si>
  <si>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</si>
  <si>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</si>
  <si>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</si>
  <si>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</si>
  <si>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</si>
  <si>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</si>
  <si>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</si>
  <si>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</si>
  <si>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</si>
  <si>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</si>
  <si>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</si>
  <si>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</si>
  <si>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</si>
  <si>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</si>
  <si>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</si>
  <si>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</si>
  <si>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</si>
  <si>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</si>
  <si>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</si>
  <si>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</si>
  <si>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</si>
  <si>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</si>
  <si>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</si>
  <si>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</si>
  <si>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</si>
  <si>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</si>
  <si>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</si>
  <si>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</si>
  <si>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</si>
  <si>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</si>
  <si>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</si>
  <si>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</si>
  <si>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</si>
  <si>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</si>
  <si>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</si>
  <si>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</si>
  <si>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</si>
  <si>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</si>
  <si>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</si>
  <si>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</si>
  <si>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</si>
  <si>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</si>
  <si>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</si>
  <si>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</si>
  <si>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</si>
  <si>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</si>
  <si>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</si>
  <si>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</si>
  <si>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</si>
  <si>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</si>
  <si>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</si>
  <si>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</si>
  <si>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</si>
  <si>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</si>
  <si>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</si>
  <si>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</si>
  <si>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</si>
  <si>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</si>
  <si>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</si>
  <si>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</si>
  <si>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</si>
  <si>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</si>
  <si>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</si>
  <si>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</si>
  <si>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</si>
  <si>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</si>
  <si>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</si>
  <si>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</si>
  <si>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</si>
  <si>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</si>
  <si>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</si>
  <si>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</si>
  <si>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</si>
  <si>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</si>
  <si>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</si>
  <si>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</si>
  <si>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</si>
  <si>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</si>
  <si>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</si>
  <si>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</si>
  <si>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</si>
  <si>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</si>
  <si>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</si>
  <si>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</si>
  <si>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</si>
  <si>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</si>
  <si>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</si>
  <si>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</si>
  <si>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</si>
  <si>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</si>
  <si>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</si>
  <si>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</si>
  <si>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</si>
  <si>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</si>
  <si>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</si>
  <si>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</si>
  <si>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</si>
  <si>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</si>
  <si>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</si>
  <si>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</si>
  <si>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</si>
  <si>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</si>
  <si>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</si>
  <si>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</si>
  <si>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</si>
  <si>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</si>
  <si>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</si>
  <si>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</si>
  <si>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</si>
  <si>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</si>
  <si>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</si>
  <si>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</si>
  <si>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</si>
  <si>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</si>
  <si>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</si>
  <si>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</si>
  <si>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</si>
  <si>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</si>
  <si>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</si>
  <si>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</si>
  <si>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</si>
  <si>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</si>
  <si>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</si>
  <si>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</si>
  <si>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</si>
  <si>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</si>
  <si>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</si>
  <si>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</si>
  <si>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</si>
  <si>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</si>
  <si>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</si>
  <si>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</si>
  <si>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</si>
  <si>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</si>
  <si>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</si>
  <si>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</si>
  <si>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</si>
  <si>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</si>
  <si>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</si>
  <si>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</si>
  <si>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</si>
  <si>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</si>
  <si>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</si>
  <si>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</si>
  <si>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</si>
  <si>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</si>
  <si>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</si>
  <si>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</si>
  <si>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</si>
  <si>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</si>
  <si>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</si>
  <si>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</si>
  <si>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</si>
  <si>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</si>
  <si>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</si>
  <si>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</si>
  <si>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</si>
  <si>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</si>
  <si>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</si>
  <si>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</si>
  <si>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</si>
  <si>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</si>
  <si>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</si>
  <si>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</si>
  <si>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</si>
  <si>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</si>
  <si>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</si>
  <si>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</si>
  <si>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</si>
  <si>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</si>
  <si>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</si>
  <si>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</si>
  <si>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</si>
  <si>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</si>
  <si>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</si>
  <si>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</si>
  <si>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</si>
  <si>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</si>
  <si>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</si>
  <si>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</si>
  <si>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</si>
  <si>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</si>
  <si>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</si>
  <si>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</si>
  <si>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</si>
  <si>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</si>
  <si>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</si>
  <si>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</si>
  <si>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</si>
  <si>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</si>
  <si>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</si>
  <si>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</si>
  <si>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</si>
  <si>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</si>
  <si>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</si>
  <si>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</si>
  <si>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</si>
  <si>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</si>
  <si>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</si>
  <si>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</si>
  <si>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</si>
  <si>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</si>
  <si>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</si>
  <si>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</si>
  <si>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</si>
  <si>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</si>
  <si>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</si>
  <si>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</si>
  <si>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</si>
  <si>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</si>
  <si>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</si>
  <si>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</si>
  <si>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</si>
  <si>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</si>
  <si>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</si>
  <si>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</si>
  <si>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</si>
  <si>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</si>
  <si>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</si>
  <si>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</si>
  <si>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</si>
  <si>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</si>
  <si>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</si>
  <si>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</si>
  <si>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</si>
  <si>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</si>
  <si>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</si>
  <si>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</si>
  <si>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</si>
  <si>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</si>
  <si>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</si>
  <si>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</si>
  <si>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</si>
  <si>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</si>
  <si>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</si>
  <si>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</si>
  <si>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</si>
  <si>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</si>
  <si>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</si>
  <si>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</si>
  <si>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</si>
  <si>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</si>
  <si>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</si>
  <si>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</si>
  <si>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</si>
  <si>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</si>
  <si>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</si>
  <si>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</si>
  <si>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</si>
  <si>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</si>
  <si>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</si>
  <si>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</si>
  <si>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</si>
  <si>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</si>
  <si>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</si>
  <si>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</si>
  <si>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</si>
  <si>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</si>
  <si>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</si>
  <si>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</si>
  <si>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</si>
  <si>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</si>
  <si>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</si>
  <si>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</si>
  <si>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</si>
  <si>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</si>
  <si>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</si>
  <si>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</si>
  <si>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</si>
  <si>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</si>
  <si>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</si>
  <si>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</si>
  <si>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</si>
  <si>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</si>
  <si>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</si>
  <si>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</si>
  <si>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</si>
  <si>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</si>
  <si>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</si>
  <si>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</si>
  <si>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</si>
  <si>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</si>
  <si>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</si>
  <si>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</si>
  <si>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</si>
  <si>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</si>
  <si>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</si>
  <si>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</si>
  <si>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</si>
  <si>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</si>
  <si>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</si>
  <si>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</si>
  <si>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</si>
  <si>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</si>
  <si>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</si>
  <si>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</si>
  <si>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</si>
  <si>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</si>
  <si>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</si>
  <si>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</si>
  <si>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</si>
  <si>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</si>
  <si>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</si>
  <si>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</si>
  <si>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</si>
  <si>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</si>
  <si>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</si>
  <si>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</si>
  <si>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</si>
  <si>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</si>
  <si>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</si>
  <si>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</si>
  <si>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</si>
  <si>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</si>
  <si>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</si>
  <si>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</si>
  <si>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</si>
  <si>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</si>
  <si>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</si>
  <si>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</si>
  <si>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</si>
  <si>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</si>
  <si>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</si>
  <si>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</si>
  <si>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</si>
  <si>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</si>
  <si>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</si>
  <si>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</si>
  <si>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</si>
  <si>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</si>
  <si>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</si>
  <si>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</si>
  <si>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</si>
  <si>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</si>
  <si>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</si>
  <si>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</si>
  <si>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</si>
  <si>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</si>
  <si>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</si>
  <si>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</si>
  <si>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</si>
  <si>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</si>
  <si>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</si>
  <si>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</si>
  <si>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</si>
  <si>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</si>
  <si>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</si>
  <si>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</si>
  <si>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</si>
  <si>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</si>
  <si>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</si>
  <si>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</si>
  <si>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</si>
  <si>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</si>
  <si>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</si>
  <si>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</si>
  <si>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</si>
  <si>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</si>
  <si>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</si>
  <si>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</si>
  <si>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</si>
  <si>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</si>
  <si>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</si>
  <si>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</si>
  <si>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</si>
  <si>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</si>
  <si>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</si>
  <si>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</si>
  <si>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</si>
  <si>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</si>
  <si>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</si>
  <si>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</si>
  <si>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</si>
  <si>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</si>
  <si>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</si>
  <si>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</si>
  <si>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</si>
  <si>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</si>
  <si>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</si>
  <si>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</si>
  <si>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</si>
  <si>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</si>
  <si>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</si>
  <si>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</si>
  <si>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</si>
  <si>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</si>
  <si>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</si>
  <si>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</si>
  <si>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</si>
  <si>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</si>
  <si>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</si>
  <si>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</si>
  <si>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</si>
  <si>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</si>
  <si>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</si>
  <si>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</si>
  <si>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</si>
  <si>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</si>
  <si>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</si>
  <si>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</si>
  <si>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</si>
  <si>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</si>
  <si>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</si>
  <si>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</si>
  <si>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</si>
  <si>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</si>
  <si>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</si>
  <si>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</si>
  <si>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</si>
  <si>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</si>
  <si>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</si>
  <si>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</si>
  <si>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</si>
  <si>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</si>
  <si>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</si>
  <si>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</si>
  <si>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</si>
  <si>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</si>
  <si>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</si>
  <si>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</si>
  <si>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</si>
  <si>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</si>
  <si>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</si>
  <si>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</si>
  <si>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</si>
  <si>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</si>
  <si>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</si>
  <si>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</si>
  <si>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</si>
  <si>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</si>
  <si>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</si>
  <si>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</si>
  <si>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</si>
  <si>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</si>
  <si>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</si>
  <si>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</si>
  <si>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</si>
  <si>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</si>
  <si>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</si>
  <si>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</si>
  <si>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</si>
  <si>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</si>
  <si>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</si>
  <si>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</si>
  <si>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</si>
  <si>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</si>
  <si>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</si>
  <si>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</si>
  <si>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</si>
  <si>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</si>
  <si>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</si>
  <si>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</si>
  <si>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</si>
  <si>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</si>
  <si>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</si>
  <si>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</si>
  <si>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</si>
  <si>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</si>
  <si>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</si>
  <si>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</si>
  <si>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</si>
  <si>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</si>
  <si>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</si>
  <si>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</si>
  <si>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</si>
  <si>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</si>
  <si>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</si>
  <si>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</si>
  <si>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</si>
  <si>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</si>
  <si>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</si>
  <si>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</si>
  <si>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</si>
  <si>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</si>
  <si>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</si>
  <si>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</si>
  <si>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</si>
  <si>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</si>
  <si>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</si>
  <si>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</si>
  <si>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</si>
  <si>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</si>
  <si>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</si>
  <si>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</si>
  <si>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</si>
  <si>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</si>
  <si>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</si>
  <si>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</si>
  <si>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</si>
  <si>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</si>
  <si>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</si>
  <si>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</si>
  <si>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</si>
  <si>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</si>
  <si>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</si>
  <si>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</si>
  <si>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</si>
  <si>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</si>
  <si>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</si>
  <si>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</si>
  <si>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</si>
  <si>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</si>
  <si>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</si>
  <si>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</si>
  <si>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</si>
  <si>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</si>
  <si>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</si>
  <si>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</si>
  <si>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</si>
  <si>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</si>
  <si>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</si>
  <si>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</si>
  <si>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</si>
  <si>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</si>
  <si>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</si>
  <si>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</si>
  <si>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</si>
  <si>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</si>
  <si>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</si>
  <si>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</si>
  <si>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</si>
  <si>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</si>
  <si>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</si>
  <si>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</si>
  <si>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</si>
  <si>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</si>
  <si>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</si>
  <si>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</si>
  <si>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</si>
  <si>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</si>
  <si>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</si>
  <si>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</si>
  <si>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</si>
  <si>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</si>
  <si>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</si>
  <si>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</si>
  <si>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</si>
  <si>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</si>
  <si>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</si>
  <si>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</si>
  <si>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</si>
  <si>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</si>
  <si>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</si>
  <si>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</si>
  <si>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</si>
  <si>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</si>
  <si>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</si>
  <si>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</si>
  <si>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</si>
  <si>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</si>
  <si>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</si>
  <si>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</si>
  <si>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</si>
  <si>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</si>
  <si>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</si>
  <si>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</si>
  <si>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</si>
  <si>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</si>
  <si>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</si>
  <si>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</si>
  <si>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</si>
  <si>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</si>
  <si>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</si>
  <si>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</si>
  <si>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</si>
  <si>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</si>
  <si>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</si>
  <si>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</si>
  <si>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</si>
  <si>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</si>
  <si>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</si>
  <si>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</si>
  <si>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</si>
  <si>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</si>
  <si>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</si>
  <si>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</si>
  <si>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</si>
  <si>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</si>
  <si>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</si>
  <si>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</si>
  <si>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</si>
  <si>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</si>
  <si>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</si>
  <si>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</si>
  <si>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</si>
  <si>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</si>
  <si>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</si>
  <si>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</si>
  <si>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</si>
  <si>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</si>
  <si>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</si>
  <si>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</si>
  <si>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</si>
  <si>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</si>
  <si>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</si>
  <si>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</si>
  <si>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</si>
  <si>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</si>
  <si>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</si>
  <si>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</si>
  <si>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</si>
  <si>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</si>
  <si>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</si>
  <si>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</si>
  <si>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</si>
  <si>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</si>
  <si>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</si>
  <si>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</si>
  <si>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</si>
  <si>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</si>
  <si>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</si>
  <si>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</si>
  <si>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</si>
  <si>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</si>
  <si>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</si>
  <si>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</si>
  <si>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</si>
  <si>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</si>
  <si>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</si>
  <si>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</si>
  <si>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</si>
  <si>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</si>
  <si>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</si>
  <si>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</si>
  <si>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</si>
  <si>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</si>
  <si>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</si>
  <si>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</si>
  <si>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</si>
  <si>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</si>
  <si>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</si>
  <si>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</si>
  <si>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</si>
  <si>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</si>
  <si>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</si>
  <si>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</si>
  <si>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</si>
  <si>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</si>
  <si>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</si>
  <si>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</si>
  <si>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</si>
  <si>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</si>
  <si>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</si>
  <si>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</si>
  <si>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</si>
  <si>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</si>
  <si>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</si>
  <si>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</si>
  <si>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</si>
  <si>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</si>
  <si>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</si>
  <si>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</si>
  <si>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</si>
  <si>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</si>
  <si>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</si>
  <si>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</si>
  <si>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</si>
  <si>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</si>
  <si>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</si>
  <si>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</si>
  <si>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</si>
  <si>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</si>
  <si>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</si>
  <si>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</si>
  <si>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</si>
  <si>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</si>
  <si>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</si>
  <si>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</si>
  <si>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</si>
  <si>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</si>
  <si>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</si>
  <si>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</si>
  <si>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</si>
  <si>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</si>
  <si>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</si>
  <si>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</si>
  <si>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</si>
  <si>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</si>
  <si>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</si>
  <si>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</si>
  <si>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</si>
  <si>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</si>
  <si>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</si>
  <si>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</si>
  <si>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</si>
  <si>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</si>
  <si>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</si>
  <si>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</si>
  <si>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</si>
  <si>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</si>
  <si>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</si>
  <si>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</si>
  <si>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</si>
  <si>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</si>
  <si>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</si>
  <si>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</si>
  <si>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</si>
  <si>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</si>
  <si>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</si>
  <si>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</si>
  <si>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</si>
  <si>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</si>
  <si>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</si>
  <si>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</si>
  <si>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</si>
  <si>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</si>
  <si>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</si>
  <si>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</si>
  <si>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</si>
  <si>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</si>
  <si>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</si>
  <si>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</si>
  <si>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</si>
  <si>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</si>
  <si>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</si>
  <si>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</si>
  <si>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</si>
  <si>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</si>
  <si>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</si>
  <si>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</si>
  <si>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</si>
  <si>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</si>
  <si>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</si>
  <si>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</si>
  <si>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</si>
  <si>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</si>
  <si>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</si>
  <si>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</si>
  <si>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</si>
  <si>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</si>
  <si>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</si>
  <si>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</si>
  <si>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</si>
  <si>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</si>
  <si>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</si>
  <si>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</si>
  <si>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</si>
  <si>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</si>
  <si>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</si>
  <si>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</si>
  <si>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</si>
  <si>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</si>
  <si>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</si>
  <si>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</si>
  <si>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</si>
  <si>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</si>
  <si>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</si>
  <si>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</si>
  <si>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</si>
  <si>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</si>
  <si>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</si>
  <si>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</si>
  <si>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</si>
  <si>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</si>
  <si>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</si>
  <si>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</si>
  <si>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</si>
  <si>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</si>
  <si>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</si>
  <si>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</si>
  <si>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</si>
  <si>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</si>
  <si>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</si>
  <si>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</si>
  <si>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</si>
  <si>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</si>
  <si>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</si>
  <si>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</si>
  <si>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</si>
  <si>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</si>
  <si>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</si>
  <si>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</si>
  <si>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</si>
  <si>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</si>
  <si>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</si>
  <si>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</si>
  <si>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</si>
  <si>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</si>
  <si>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</si>
  <si>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</si>
  <si>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</si>
  <si>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</si>
  <si>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</si>
  <si>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</si>
  <si>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</si>
  <si>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</si>
  <si>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</si>
  <si>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</si>
  <si>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</si>
  <si>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</si>
  <si>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</si>
  <si>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</si>
  <si>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</si>
  <si>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</si>
  <si>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</si>
  <si>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</si>
  <si>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</si>
  <si>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</si>
  <si>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</si>
  <si>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</si>
  <si>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</si>
  <si>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</si>
  <si>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</si>
  <si>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</si>
  <si>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</si>
  <si>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</si>
  <si>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</si>
  <si>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</si>
  <si>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</si>
  <si>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</si>
  <si>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</si>
  <si>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</si>
  <si>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</si>
  <si>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</si>
  <si>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</si>
  <si>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</si>
  <si>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</si>
  <si>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</si>
  <si>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</si>
  <si>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</si>
  <si>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</si>
  <si>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</si>
  <si>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</si>
  <si>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</si>
  <si>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</si>
  <si>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</si>
  <si>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</si>
  <si>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</si>
  <si>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</si>
  <si>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</si>
  <si>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</si>
  <si>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</si>
  <si>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</si>
  <si>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</si>
  <si>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</si>
  <si>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</si>
  <si>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</si>
  <si>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</si>
  <si>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</si>
  <si>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</si>
  <si>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</si>
  <si>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</si>
  <si>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</si>
  <si>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</si>
  <si>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</si>
  <si>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</si>
  <si>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</si>
  <si>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</si>
  <si>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</si>
  <si>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</si>
  <si>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</si>
  <si>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</si>
  <si>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</si>
  <si>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</si>
  <si>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</si>
  <si>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</si>
  <si>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</si>
  <si>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</si>
  <si>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</si>
  <si>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</si>
  <si>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</si>
  <si>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</si>
  <si>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</si>
  <si>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</si>
  <si>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</si>
  <si>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</si>
  <si>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</si>
  <si>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</si>
  <si>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</si>
  <si>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</si>
  <si>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</si>
  <si>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</si>
  <si>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</si>
  <si>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</si>
  <si>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</si>
  <si>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</si>
  <si>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</si>
  <si>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</si>
  <si>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</si>
  <si>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</si>
  <si>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</si>
  <si>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</si>
  <si>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</si>
  <si>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</si>
  <si>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</si>
  <si>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</si>
  <si>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</si>
  <si>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</si>
  <si>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</si>
  <si>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</si>
  <si>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</si>
  <si>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</si>
  <si>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</si>
  <si>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</si>
  <si>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</si>
  <si>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</si>
  <si>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</si>
  <si>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</si>
  <si>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</si>
  <si>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</si>
  <si>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</si>
  <si>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</si>
  <si>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</si>
  <si>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</si>
  <si>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</si>
  <si>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</si>
  <si>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</si>
  <si>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</si>
  <si>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</si>
  <si>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</si>
  <si>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</si>
  <si>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</si>
  <si>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</si>
  <si>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</si>
  <si>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</si>
  <si>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</si>
  <si>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</si>
  <si>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</si>
  <si>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</si>
  <si>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</si>
  <si>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</si>
  <si>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</si>
  <si>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</si>
  <si>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</si>
  <si>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</si>
  <si>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</si>
  <si>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</si>
  <si>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</si>
  <si>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</si>
  <si>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</si>
  <si>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</si>
  <si>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</si>
  <si>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</si>
  <si>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</si>
  <si>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</si>
  <si>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</si>
  <si>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</si>
  <si>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</si>
  <si>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</si>
  <si>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</si>
  <si>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</si>
  <si>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</si>
  <si>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</si>
  <si>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</si>
  <si>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</si>
  <si>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</si>
  <si>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</si>
  <si>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</si>
  <si>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</si>
  <si>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</si>
  <si>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</si>
  <si>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</si>
  <si>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</si>
  <si>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</si>
  <si>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</si>
  <si>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</si>
  <si>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</si>
  <si>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</si>
  <si>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</si>
  <si>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</si>
  <si>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</si>
  <si>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</si>
  <si>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</si>
  <si>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</si>
  <si>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</si>
  <si>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</si>
  <si>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</si>
  <si>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</si>
  <si>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</si>
  <si>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</si>
  <si>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</si>
  <si>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</si>
  <si>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</si>
  <si>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</si>
  <si>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</si>
  <si>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</si>
  <si>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</si>
  <si>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</si>
  <si>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</si>
  <si>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</si>
  <si>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</si>
  <si>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</si>
  <si>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</si>
  <si>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</si>
  <si>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</si>
  <si>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</si>
  <si>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</si>
  <si>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</si>
  <si>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</si>
  <si>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</si>
  <si>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</si>
  <si>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</si>
  <si>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</si>
  <si>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</si>
  <si>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</si>
  <si>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</si>
  <si>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</si>
  <si>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</si>
  <si>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</si>
  <si>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</si>
  <si>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</si>
  <si>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</si>
  <si>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</si>
  <si>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</si>
  <si>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</si>
  <si>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</si>
  <si>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</si>
  <si>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</si>
  <si>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</si>
  <si>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</si>
  <si>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</si>
  <si>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</si>
  <si>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</si>
  <si>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</si>
  <si>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</si>
  <si>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</si>
  <si>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</si>
  <si>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</si>
  <si>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</si>
  <si>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</si>
  <si>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</si>
  <si>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</si>
  <si>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</si>
  <si>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</si>
  <si>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</si>
  <si>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</si>
  <si>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</si>
  <si>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</si>
  <si>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</si>
  <si>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</si>
  <si>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</si>
  <si>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</si>
  <si>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</si>
  <si>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</si>
  <si>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</si>
  <si>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</si>
  <si>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</si>
  <si>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</si>
  <si>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</si>
  <si>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</si>
  <si>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</si>
  <si>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</si>
  <si>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</si>
  <si>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</si>
  <si>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</si>
  <si>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</si>
  <si>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</si>
  <si>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</si>
  <si>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</si>
  <si>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</si>
  <si>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</si>
  <si>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</si>
  <si>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</si>
  <si>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</si>
  <si>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</si>
  <si>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</si>
  <si>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</si>
  <si>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</si>
  <si>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</si>
  <si>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</si>
  <si>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</si>
  <si>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</si>
  <si>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</si>
  <si>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</si>
  <si>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</si>
  <si>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</si>
  <si>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</si>
  <si>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</si>
  <si>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</si>
  <si>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</si>
  <si>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</si>
  <si>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</si>
  <si>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</si>
  <si>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</si>
  <si>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</si>
  <si>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</si>
  <si>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</si>
  <si>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</si>
  <si>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</si>
  <si>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</si>
  <si>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</si>
  <si>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</si>
  <si>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</si>
  <si>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</si>
  <si>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</si>
  <si>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</si>
  <si>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</si>
  <si>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</si>
  <si>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</si>
  <si>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</si>
  <si>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</si>
  <si>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</si>
  <si>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</si>
  <si>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</si>
  <si>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</si>
  <si>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</si>
  <si>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</si>
  <si>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</si>
  <si>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</si>
  <si>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</si>
  <si>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</si>
  <si>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</si>
  <si>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</si>
  <si>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</si>
  <si>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</si>
  <si>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</si>
  <si>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</si>
  <si>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</si>
  <si>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</si>
  <si>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</si>
  <si>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</si>
  <si>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</si>
  <si>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</si>
  <si>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</si>
  <si>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</si>
  <si>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</si>
  <si>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</si>
  <si>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</si>
  <si>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</si>
  <si>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</si>
  <si>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</si>
  <si>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</si>
  <si>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</si>
  <si>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</si>
  <si>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</si>
  <si>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</si>
  <si>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</si>
  <si>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</si>
  <si>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</si>
  <si>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</si>
  <si>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</si>
  <si>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</si>
  <si>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</si>
  <si>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</si>
  <si>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</si>
  <si>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</si>
  <si>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</si>
  <si>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</si>
  <si>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</si>
  <si>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</si>
  <si>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</si>
  <si>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</si>
  <si>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</si>
  <si>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</si>
  <si>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</si>
  <si>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</si>
  <si>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</si>
  <si>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</si>
  <si>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</si>
  <si>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</si>
  <si>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</si>
  <si>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</si>
  <si>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</si>
  <si>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</si>
  <si>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</si>
  <si>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</si>
  <si>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</si>
  <si>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</si>
  <si>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</si>
  <si>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</si>
  <si>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</si>
  <si>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</si>
  <si>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</si>
  <si>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</si>
  <si>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</si>
  <si>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</si>
  <si>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</si>
  <si>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</si>
  <si>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</si>
  <si>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</si>
  <si>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</si>
  <si>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</si>
  <si>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</si>
  <si>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</si>
  <si>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</si>
  <si>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</si>
  <si>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</si>
  <si>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</si>
  <si>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</si>
  <si>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</si>
  <si>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</si>
  <si>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</si>
  <si>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</si>
  <si>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</si>
  <si>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</si>
  <si>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</si>
  <si>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</si>
  <si>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</si>
  <si>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</si>
  <si>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</si>
  <si>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</si>
  <si>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</si>
  <si>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</si>
  <si>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</si>
  <si>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</si>
  <si>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</si>
  <si>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</si>
  <si>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</si>
  <si>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</si>
  <si>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</si>
  <si>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</si>
  <si>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</si>
  <si>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</si>
  <si>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</si>
  <si>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</si>
  <si>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</si>
  <si>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</si>
  <si>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</si>
  <si>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</si>
  <si>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</si>
  <si>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</si>
  <si>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</si>
  <si>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</si>
  <si>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</si>
  <si>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</si>
  <si>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</si>
  <si>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</si>
  <si>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</si>
  <si>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</si>
  <si>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</si>
  <si>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</si>
  <si>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</si>
  <si>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</si>
  <si>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</si>
  <si>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</si>
  <si>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</si>
  <si>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</si>
  <si>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</si>
  <si>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</si>
  <si>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</si>
  <si>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</si>
  <si>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</si>
  <si>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</si>
  <si>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</si>
  <si>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</si>
  <si>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</si>
  <si>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</si>
  <si>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</si>
  <si>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</si>
  <si>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</si>
  <si>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</si>
  <si>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</si>
  <si>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</si>
  <si>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</si>
  <si>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</si>
  <si>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</si>
  <si>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</si>
  <si>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</si>
  <si>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</si>
  <si>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</si>
  <si>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</si>
  <si>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</si>
  <si>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</si>
  <si>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</si>
  <si>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</si>
  <si>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</si>
  <si>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</si>
  <si>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</si>
  <si>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</si>
  <si>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</si>
  <si>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</si>
  <si>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</si>
  <si>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</si>
  <si>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</si>
  <si>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</si>
  <si>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</si>
  <si>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</si>
  <si>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</si>
  <si>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</si>
  <si>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</si>
  <si>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</si>
  <si>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</si>
  <si>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</si>
  <si>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</si>
  <si>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</si>
  <si>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</si>
  <si>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</si>
  <si>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</si>
  <si>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</si>
  <si>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</si>
  <si>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</si>
  <si>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</si>
  <si>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</si>
  <si>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</si>
  <si>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</si>
  <si>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</si>
  <si>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</si>
  <si>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</si>
  <si>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</si>
  <si>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</si>
  <si>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</si>
  <si>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</si>
  <si>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</si>
  <si>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</si>
  <si>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</si>
  <si>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</si>
  <si>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</si>
  <si>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</si>
  <si>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</si>
  <si>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</si>
  <si>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</si>
  <si>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</si>
  <si>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</si>
  <si>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</si>
  <si>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</si>
  <si>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</si>
  <si>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</si>
  <si>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</si>
  <si>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</si>
  <si>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</si>
  <si>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</si>
  <si>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</si>
  <si>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</si>
  <si>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</si>
  <si>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</si>
  <si>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</si>
  <si>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</si>
  <si>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</si>
  <si>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</si>
  <si>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</si>
  <si>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</si>
  <si>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</si>
  <si>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</si>
  <si>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</si>
  <si>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</si>
  <si>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</si>
  <si>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</si>
  <si>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</si>
  <si>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</si>
  <si>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</si>
  <si>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</si>
  <si>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</si>
  <si>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</si>
  <si>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</si>
  <si>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</si>
  <si>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</si>
  <si>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</si>
  <si>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</si>
  <si>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</si>
  <si>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</si>
  <si>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</si>
  <si>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</si>
  <si>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</si>
  <si>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</si>
  <si>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</si>
  <si>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</si>
  <si>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</si>
  <si>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</si>
  <si>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</si>
  <si>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</si>
  <si>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</si>
  <si>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</si>
  <si>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</si>
  <si>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</si>
  <si>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</si>
  <si>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</si>
  <si>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</si>
  <si>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</si>
  <si>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</si>
  <si>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</si>
  <si>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</si>
  <si>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</si>
  <si>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</si>
  <si>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</si>
  <si>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</si>
  <si>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</si>
  <si>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</si>
  <si>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</si>
  <si>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</si>
  <si>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</si>
  <si>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</si>
  <si>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</si>
  <si>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</si>
  <si>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</si>
  <si>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</si>
  <si>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</si>
  <si>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</si>
  <si>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</si>
  <si>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</si>
  <si>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</si>
  <si>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</si>
  <si>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</si>
  <si>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</si>
  <si>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</si>
  <si>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</si>
  <si>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</si>
  <si>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</si>
  <si>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</si>
  <si>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</si>
  <si>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</si>
  <si>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</si>
  <si>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</si>
  <si>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</si>
  <si>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</si>
  <si>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</si>
  <si>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</si>
  <si>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</si>
  <si>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</si>
  <si>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</si>
  <si>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</si>
  <si>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</si>
  <si>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</si>
  <si>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</si>
  <si>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</si>
  <si>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</si>
  <si>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</si>
  <si>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</si>
  <si>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</si>
  <si>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</si>
  <si>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</si>
  <si>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</si>
  <si>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</si>
  <si>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</si>
  <si>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</si>
  <si>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</si>
  <si>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</si>
  <si>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</si>
  <si>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</si>
  <si>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</si>
  <si>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</si>
  <si>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</si>
  <si>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</si>
  <si>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</si>
  <si>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</si>
  <si>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</si>
  <si>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</si>
  <si>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</si>
  <si>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</si>
  <si>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</si>
  <si>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</si>
  <si>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</si>
  <si>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</si>
  <si>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</si>
  <si>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</si>
  <si>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</si>
  <si>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</si>
  <si>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</si>
  <si>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</si>
  <si>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</si>
  <si>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</si>
  <si>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</si>
  <si>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</si>
  <si>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</si>
  <si>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</si>
  <si>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</si>
  <si>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</si>
  <si>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</si>
  <si>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</si>
  <si>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</si>
  <si>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</si>
  <si>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</si>
  <si>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</si>
  <si>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</si>
  <si>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</si>
  <si>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</si>
  <si>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</si>
  <si>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</si>
  <si>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</si>
  <si>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</si>
  <si>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</si>
  <si>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</si>
  <si>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</si>
  <si>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</si>
  <si>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</si>
  <si>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</si>
  <si>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</si>
  <si>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</si>
  <si>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</si>
  <si>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</si>
  <si>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</si>
  <si>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</si>
  <si>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</si>
  <si>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</si>
  <si>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</si>
  <si>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</si>
  <si>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</si>
  <si>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</si>
  <si>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</si>
  <si>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</si>
  <si>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</si>
  <si>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</si>
  <si>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</si>
  <si>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</si>
  <si>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</si>
  <si>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</si>
  <si>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</si>
  <si>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</si>
  <si>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</si>
  <si>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</si>
  <si>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</si>
  <si>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</si>
  <si>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</si>
  <si>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</si>
  <si>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</si>
  <si>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</si>
  <si>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</si>
  <si>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</si>
  <si>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</si>
  <si>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</si>
  <si>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</si>
  <si>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</si>
  <si>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</si>
  <si>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</si>
  <si>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</si>
  <si>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</si>
  <si>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</si>
  <si>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</si>
  <si>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</si>
  <si>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</si>
  <si>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</si>
  <si>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</si>
  <si>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</si>
  <si>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</si>
  <si>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</si>
  <si>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</si>
  <si>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</si>
  <si>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</si>
  <si>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</si>
  <si>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</si>
  <si>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</si>
  <si>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</si>
  <si>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</si>
  <si>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</si>
  <si>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</si>
  <si>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</si>
  <si>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</si>
  <si>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</si>
  <si>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</si>
  <si>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</si>
  <si>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</si>
  <si>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</si>
  <si>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</si>
  <si>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</si>
  <si>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</si>
  <si>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</si>
  <si>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</si>
  <si>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</si>
  <si>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</si>
  <si>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</si>
  <si>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</si>
  <si>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</si>
  <si>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</si>
  <si>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</si>
  <si>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</si>
  <si>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</si>
  <si>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</si>
  <si>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</si>
  <si>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</si>
  <si>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</si>
  <si>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</si>
  <si>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</si>
  <si>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</si>
  <si>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</si>
  <si>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</si>
  <si>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</si>
  <si>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</si>
  <si>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</si>
  <si>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</si>
  <si>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</si>
  <si>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</si>
  <si>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</si>
  <si>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</si>
  <si>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</si>
  <si>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</si>
  <si>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</si>
  <si>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</si>
  <si>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</si>
  <si>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</si>
  <si>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</si>
  <si>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</si>
  <si>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</si>
  <si>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</si>
  <si>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</si>
  <si>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</si>
  <si>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</si>
  <si>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</si>
  <si>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</si>
  <si>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</si>
  <si>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</si>
  <si>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</si>
  <si>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</si>
  <si>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</si>
  <si>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</si>
  <si>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</si>
  <si>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</si>
  <si>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</si>
  <si>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</si>
  <si>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</si>
  <si>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</si>
  <si>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</si>
  <si>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</si>
  <si>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</si>
  <si>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</si>
  <si>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</si>
  <si>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</si>
  <si>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</si>
  <si>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</si>
  <si>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</si>
  <si>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</si>
  <si>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</si>
  <si>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</si>
  <si>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</si>
  <si>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</si>
  <si>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</si>
  <si>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</si>
  <si>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</si>
  <si>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</si>
  <si>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</si>
  <si>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</si>
  <si>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</si>
  <si>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</si>
  <si>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</si>
  <si>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</si>
  <si>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</si>
  <si>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</si>
  <si>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</si>
  <si>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</si>
  <si>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</si>
  <si>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</si>
  <si>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</si>
  <si>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</si>
  <si>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</si>
  <si>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</si>
  <si>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</si>
  <si>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</si>
  <si>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</si>
  <si>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</si>
  <si>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</si>
  <si>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</si>
  <si>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</si>
  <si>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</si>
  <si>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</si>
  <si>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</si>
  <si>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</si>
  <si>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</si>
  <si>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</si>
  <si>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</si>
  <si>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</si>
  <si>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</si>
  <si>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</si>
  <si>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</si>
  <si>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</si>
  <si>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</si>
  <si>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</si>
  <si>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</si>
  <si>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</si>
  <si>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</si>
  <si>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</si>
  <si>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</si>
  <si>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</si>
  <si>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</si>
  <si>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</si>
  <si>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</si>
  <si>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</si>
  <si>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</si>
  <si>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</si>
  <si>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</si>
  <si>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</si>
  <si>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</si>
  <si>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</si>
  <si>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</si>
  <si>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</si>
  <si>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</si>
  <si>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</si>
  <si>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</si>
  <si>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</si>
  <si>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</si>
  <si>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</si>
  <si>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</si>
  <si>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</si>
  <si>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</si>
  <si>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</si>
  <si>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</si>
  <si>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</si>
  <si>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</si>
  <si>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</si>
  <si>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</si>
  <si>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</si>
  <si>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</si>
  <si>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</si>
  <si>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</si>
  <si>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</si>
  <si>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</si>
  <si>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</si>
  <si>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</si>
  <si>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</si>
  <si>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</si>
  <si>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</si>
  <si>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</si>
  <si>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</si>
  <si>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</si>
  <si>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</si>
  <si>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</si>
  <si>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</si>
  <si>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</si>
  <si>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</si>
  <si>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</si>
  <si>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</si>
  <si>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</si>
  <si>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</si>
  <si>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</si>
  <si>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</si>
  <si>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</si>
  <si>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</si>
  <si>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</si>
  <si>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</si>
  <si>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</si>
  <si>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</si>
  <si>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</si>
  <si>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</si>
  <si>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</si>
  <si>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</si>
  <si>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</si>
  <si>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</si>
  <si>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</si>
  <si>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</si>
  <si>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</si>
  <si>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</si>
  <si>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</si>
  <si>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</si>
  <si>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</si>
  <si>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</si>
  <si>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</si>
  <si>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</si>
  <si>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</si>
  <si>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</si>
  <si>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</si>
  <si>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</si>
  <si>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</si>
  <si>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</si>
  <si>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</si>
  <si>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</si>
  <si>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</si>
  <si>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</si>
  <si>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</si>
  <si>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</si>
  <si>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</si>
  <si>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</si>
  <si>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</si>
  <si>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</si>
  <si>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</si>
  <si>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</si>
  <si>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</si>
  <si>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</si>
  <si>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</si>
  <si>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</si>
  <si>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</si>
  <si>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</si>
  <si>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</si>
  <si>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</si>
  <si>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</si>
  <si>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</si>
  <si>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</si>
  <si>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</si>
  <si>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</si>
  <si>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</si>
  <si>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</si>
  <si>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</si>
  <si>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</si>
  <si>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</si>
  <si>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</si>
  <si>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</si>
  <si>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</si>
  <si>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</si>
  <si>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</si>
  <si>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</si>
  <si>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</si>
  <si>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</si>
  <si>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</si>
  <si>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</si>
  <si>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</si>
  <si>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</si>
  <si>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</si>
  <si>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</si>
  <si>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</si>
  <si>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</si>
  <si>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</si>
  <si>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</si>
  <si>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</si>
  <si>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</si>
  <si>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</si>
  <si>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</si>
  <si>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</si>
  <si>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</si>
  <si>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</si>
  <si>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</si>
  <si>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</si>
  <si>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</si>
  <si>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</si>
  <si>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</si>
  <si>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</si>
  <si>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</si>
  <si>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</si>
  <si>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</si>
  <si>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</si>
  <si>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</si>
  <si>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</si>
  <si>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</si>
  <si>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</si>
  <si>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</si>
  <si>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</si>
  <si>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</si>
  <si>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</si>
  <si>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</si>
  <si>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</si>
  <si>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</si>
  <si>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</si>
  <si>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</si>
  <si>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</si>
  <si>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</si>
  <si>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</si>
  <si>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</si>
  <si>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</si>
  <si>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</si>
  <si>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</si>
  <si>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</si>
  <si>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</si>
  <si>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</si>
  <si>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</si>
  <si>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</si>
  <si>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</si>
  <si>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</si>
  <si>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</si>
  <si>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</si>
  <si>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</si>
  <si>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</si>
  <si>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</si>
  <si>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</si>
  <si>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</si>
  <si>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</si>
  <si>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</si>
  <si>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</si>
  <si>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</si>
  <si>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</si>
  <si>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</si>
  <si>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</si>
  <si>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</si>
  <si>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</si>
  <si>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</si>
  <si>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</si>
  <si>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</si>
  <si>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</si>
  <si>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</si>
  <si>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</si>
  <si>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</si>
  <si>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</si>
  <si>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</si>
  <si>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</si>
  <si>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</si>
  <si>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</si>
  <si>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</si>
  <si>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</si>
  <si>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</si>
  <si>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</si>
  <si>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</si>
  <si>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</si>
  <si>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</si>
  <si>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</si>
  <si>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</si>
  <si>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</si>
  <si>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</si>
  <si>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</si>
  <si>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</si>
  <si>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</si>
  <si>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</si>
  <si>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</si>
  <si>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</si>
  <si>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</si>
  <si>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</si>
  <si>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</si>
  <si>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</si>
  <si>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</si>
  <si>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</si>
  <si>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</si>
  <si>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</si>
  <si>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</si>
  <si>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</si>
  <si>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</si>
  <si>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</si>
  <si>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</si>
  <si>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</si>
  <si>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</si>
  <si>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</si>
  <si>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</si>
  <si>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</si>
  <si>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</si>
  <si>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</si>
  <si>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</si>
  <si>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</si>
  <si>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</si>
  <si>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</si>
  <si>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</si>
  <si>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</si>
  <si>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</si>
  <si>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</si>
  <si>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</si>
  <si>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</si>
  <si>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</si>
  <si>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</si>
  <si>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</si>
  <si>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</si>
  <si>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</si>
  <si>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</si>
  <si>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</si>
  <si>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</si>
  <si>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</si>
  <si>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</si>
  <si>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</si>
  <si>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</si>
  <si>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</si>
  <si>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</si>
  <si>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</si>
  <si>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</si>
  <si>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</si>
  <si>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</si>
  <si>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</si>
  <si>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</si>
  <si>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</si>
  <si>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</si>
  <si>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</si>
  <si>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</si>
  <si>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</si>
  <si>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</si>
  <si>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</si>
  <si>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</si>
  <si>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</si>
  <si>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</si>
  <si>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</si>
  <si>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</si>
  <si>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</si>
  <si>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</si>
  <si>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</si>
  <si>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</si>
  <si>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</si>
  <si>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</si>
  <si>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</si>
  <si>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</si>
  <si>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</si>
  <si>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</si>
  <si>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TF-Q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</si>
  <si>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</si>
  <si>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</si>
  <si>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</si>
  <si>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</si>
  <si>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</si>
  <si>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</si>
  <si>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</si>
  <si>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</si>
  <si>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</si>
  <si>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QBZ-191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</si>
  <si>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</si>
  <si>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</si>
  <si>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</si>
  <si>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</si>
  <si>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</si>
  <si>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</si>
  <si>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</si>
  <si>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</si>
  <si>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</si>
  <si>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</si>
  <si>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</si>
  <si>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</si>
  <si>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</si>
  <si>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</si>
  <si>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</si>
  <si>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</si>
  <si>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</si>
  <si>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</si>
  <si>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</si>
  <si>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</si>
  <si>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</si>
  <si>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</si>
  <si>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</si>
  <si>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</si>
  <si>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</si>
  <si>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</si>
  <si>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</si>
  <si>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</si>
  <si>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</si>
  <si>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</si>
  <si>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</si>
  <si>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</si>
  <si>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</si>
  <si>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</si>
  <si>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</si>
  <si>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</si>
  <si>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</si>
  <si>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</si>
  <si>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</si>
  <si>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</si>
  <si>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</si>
  <si>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</si>
  <si>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</si>
  <si>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</si>
  <si>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</si>
  <si>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</si>
  <si>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</si>
  <si>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</si>
  <si>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</si>
  <si>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</si>
  <si>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</si>
  <si>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</si>
  <si>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</si>
  <si>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</si>
  <si>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</si>
  <si>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</si>
  <si>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</si>
  <si>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</si>
  <si>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</si>
  <si>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</si>
  <si>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</si>
  <si>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</si>
  <si>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</si>
  <si>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</si>
  <si>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</si>
  <si>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</si>
  <si>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</si>
  <si>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</si>
  <si>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</si>
  <si>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</si>
  <si>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21,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</si>
</sst>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5870</v>
      </c>
    </row>
    <row r="2" spans="1:5" x14ac:dyDescent="0.25">
      <c r="A2" s="155" t="s">
        <v>864</v>
      </c>
    </row>
    <row r="3" spans="1:5" x14ac:dyDescent="0.25">
      <c r="A3" s="155" t="s">
        <v>5719</v>
      </c>
    </row>
    <row r="4" spans="1:5" x14ac:dyDescent="0.25">
      <c r="A4" s="155" t="s">
        <v>5721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5720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5" t="s">
        <v>5592</v>
      </c>
      <c r="C16" s="236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930</v>
      </c>
      <c r="Q22" s="178" t="s">
        <v>5757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5" t="s">
        <v>5761</v>
      </c>
      <c r="C35" s="236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5756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1018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37" t="s">
        <v>1144</v>
      </c>
      <c r="T40" s="237"/>
      <c r="U40" s="237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1040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6</v>
      </c>
      <c r="Q41" s="192"/>
      <c r="S41" s="161">
        <v>3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1</v>
      </c>
      <c r="C42" s="177" t="s">
        <v>1053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/>
      <c r="K42" s="178"/>
      <c r="L42" s="180"/>
      <c r="M42" s="177"/>
      <c r="N42" s="180"/>
      <c r="O42" s="213">
        <f>IF(B42="","",INDEX('SF Data'!$O:$O,MATCH(C42,'SF Data'!$C:$C,0)))</f>
        <v>8</v>
      </c>
      <c r="Q42" s="192"/>
      <c r="S42" s="161">
        <v>4</v>
      </c>
      <c r="T42" s="161">
        <v>1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1053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8</v>
      </c>
      <c r="Q43" s="192"/>
      <c r="S43" s="161">
        <v>5</v>
      </c>
      <c r="T43" s="161">
        <v>2</v>
      </c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1051</v>
      </c>
      <c r="D44" s="178">
        <v>100</v>
      </c>
      <c r="E44" s="178">
        <v>5</v>
      </c>
      <c r="F44" s="178">
        <v>4</v>
      </c>
      <c r="G44" s="178" t="s">
        <v>1075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81:C82 E30 G21:G25 C75:C77 H55:J62" xr:uid="{FCCC2E3E-A3D6-45C2-9C3D-20E7ECC1BAF1}">
      <formula1>"1,2,3,4,5,6,7,8,9,10"</formula1>
    </dataValidation>
    <dataValidation type="whole" allowBlank="1" showInputMessage="1" showErrorMessage="1" sqref="D30 D67:D71 D40:D4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Q39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5:G62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67:F71 F40:F4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F830A6E4-1C41-4099-B360-341EC951B045}">
      <formula1>AND(OR(E40=1,E40=2,E40=3,E40=4,E40=5),E40&gt;=B40)</formula1>
    </dataValidation>
    <dataValidation type="list" allowBlank="1" showInputMessage="1" showErrorMessage="1" sqref="G40:G48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40:H48" xr:uid="{C7033BB4-D07E-425D-9CA8-5A5792F47394}">
      <formula1>IF($B40&lt;3,AND(H40&gt;=0,H40&lt;=100,H40=INT(H40)),AND(H40&gt;=0,H40&lt;=150,H40=INT(H40)))</formula1>
    </dataValidation>
    <dataValidation type="custom" allowBlank="1" showInputMessage="1" showErrorMessage="1" sqref="S41:U43" xr:uid="{9463BE42-C7ED-4694-B334-862D5CEBB7C7}">
      <formula1>AND(S41&gt;=1,S41&lt;=9,S41=INT(S41),COUNTIF($S$41:$U$43,S41)&lt;=1)</formula1>
    </dataValidation>
    <dataValidation type="custom" allowBlank="1" showInputMessage="1" showErrorMessage="1" sqref="A81:A82" xr:uid="{30DFDF33-3A04-4A62-A33F-4FBD8648EE30}">
      <formula1>AND(A81="X",COUNTA($A$81:$A$82)&lt;=1)</formula1>
    </dataValidation>
    <dataValidation type="custom" allowBlank="1" showInputMessage="1" showErrorMessage="1" sqref="A55:A62 A67:A71" xr:uid="{7D558E68-3C30-4C22-BEE9-11982761EBD0}">
      <formula1>A55="X"</formula1>
    </dataValidation>
    <dataValidation type="custom" allowBlank="1" showInputMessage="1" showErrorMessage="1" sqref="I40:J48" xr:uid="{0E5F9827-02E5-4520-993A-EA0E622B9AE3}">
      <formula1>IF($B40=3,AND(I40&gt;=1,I40&lt;=10,I40=INT(I40)),AND(I40&gt;=1,I40&lt;=5,I40=INT(I40)))</formula1>
    </dataValidation>
    <dataValidation type="custom" allowBlank="1" showInputMessage="1" showErrorMessage="1" sqref="K40:L48 J67:K71" xr:uid="{0A4AA8A9-41DD-49B2-A459-8DEBED733098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84C862A0-597F-4007-99F6-5DA080A3125B}">
      <formula1>AND(OR(E67=1,E67=2,E67=3,E67=4,E67=5),E67&gt;=3)</formula1>
    </dataValidation>
    <dataValidation type="custom" allowBlank="1" showInputMessage="1" showErrorMessage="1" sqref="G67:G71" xr:uid="{2B2F0FB9-5B2A-4849-8F08-E4EFA9F843BC}">
      <formula1>AND(G67&gt;=0,G67&lt;=150,G67=INT(G67))</formula1>
    </dataValidation>
    <dataValidation type="custom" allowBlank="1" showInputMessage="1" showErrorMessage="1" sqref="H67:I71" xr:uid="{A71A3912-1786-4B2B-8202-786CECA986FD}">
      <formula1>AND(H67&gt;=1,H67&lt;=10,H67=INT(H67))</formula1>
    </dataValidation>
    <dataValidation operator="greaterThan" allowBlank="1" showInputMessage="1" showErrorMessage="1" sqref="E9" xr:uid="{F898ED61-EBE9-4B8C-B67B-AE0F2108A7CE}"/>
    <dataValidation type="list" allowBlank="1" showInputMessage="1" showErrorMessage="1" sqref="B35:C35" xr:uid="{4A65D0CE-3163-461A-9967-3CC59A893E83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topLeftCell="A38" workbookViewId="0">
      <pane xSplit="6" topLeftCell="G1" activePane="topRight" state="frozen"/>
      <selection pane="topRight" activeCell="C59" sqref="C59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8" t="s">
        <v>578</v>
      </c>
      <c r="E2" s="239"/>
      <c r="F2" s="239"/>
      <c r="G2" s="239"/>
      <c r="H2" s="239"/>
      <c r="I2" s="239"/>
      <c r="J2" s="239"/>
      <c r="K2" s="239"/>
      <c r="L2" s="240"/>
      <c r="M2" s="54"/>
      <c r="N2" s="238" t="s">
        <v>710</v>
      </c>
      <c r="O2" s="239"/>
      <c r="P2" s="239"/>
      <c r="Q2" s="240"/>
      <c r="R2" s="238" t="s">
        <v>711</v>
      </c>
      <c r="S2" s="239"/>
      <c r="T2" s="239"/>
      <c r="U2" s="240"/>
      <c r="V2" s="238" t="s">
        <v>712</v>
      </c>
      <c r="W2" s="239"/>
      <c r="X2" s="239"/>
      <c r="Y2" s="240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1116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5757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5757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5757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988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5757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5757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5757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5757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5757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5757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5757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5757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5718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5757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5757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5757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5757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5757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S48"/>
  <sheetViews>
    <sheetView zoomScale="115" zoomScaleNormal="115" workbookViewId="0">
      <pane xSplit="2" topLeftCell="C1" activePane="topRight" state="frozen"/>
      <selection pane="topRight" activeCell="A4" sqref="A4:A48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19" x14ac:dyDescent="0.25">
      <c r="D2" s="168" t="s">
        <v>5760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19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</row>
    <row r="4" spans="1:19" x14ac:dyDescent="0.25">
      <c r="A4" t="s">
        <v>5759</v>
      </c>
      <c r="C4" t="s">
        <v>5759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61">
        <v>2</v>
      </c>
      <c r="R4" s="161">
        <v>4</v>
      </c>
      <c r="S4" s="161">
        <v>7</v>
      </c>
    </row>
    <row r="5" spans="1:19" x14ac:dyDescent="0.25">
      <c r="A5" t="s">
        <v>5754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61">
        <v>1</v>
      </c>
      <c r="R5" s="161">
        <v>5</v>
      </c>
      <c r="S5" s="161">
        <v>8</v>
      </c>
    </row>
    <row r="6" spans="1:19" x14ac:dyDescent="0.25">
      <c r="A6" t="s">
        <v>5755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61">
        <v>3</v>
      </c>
      <c r="R6" s="161">
        <v>6</v>
      </c>
      <c r="S6" s="161">
        <v>9</v>
      </c>
    </row>
    <row r="7" spans="1:19" x14ac:dyDescent="0.25">
      <c r="A7" t="s">
        <v>5761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</row>
    <row r="8" spans="1:19" x14ac:dyDescent="0.25">
      <c r="A8" t="s">
        <v>5762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</row>
    <row r="9" spans="1:19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</row>
    <row r="10" spans="1:19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</row>
    <row r="11" spans="1:19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</row>
    <row r="12" spans="1:19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</row>
    <row r="13" spans="1:19" x14ac:dyDescent="0.25">
      <c r="C13" t="s">
        <v>5754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61">
        <v>4</v>
      </c>
      <c r="R13" s="161"/>
      <c r="S13" s="161"/>
    </row>
    <row r="14" spans="1:19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61">
        <v>2</v>
      </c>
      <c r="R14" s="161">
        <v>3</v>
      </c>
      <c r="S14" s="161"/>
    </row>
    <row r="15" spans="1:19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61">
        <v>1</v>
      </c>
      <c r="R15" s="161"/>
      <c r="S15" s="161"/>
    </row>
    <row r="16" spans="1:19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</row>
    <row r="17" spans="3:19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</row>
    <row r="18" spans="3:19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</row>
    <row r="19" spans="3:19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</row>
    <row r="20" spans="3:19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</row>
    <row r="21" spans="3:19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</row>
    <row r="22" spans="3:19" x14ac:dyDescent="0.25">
      <c r="C22" t="s">
        <v>5755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61">
        <v>3</v>
      </c>
      <c r="R22" s="161">
        <v>1</v>
      </c>
      <c r="S22" s="161"/>
    </row>
    <row r="23" spans="3:19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61">
        <v>5</v>
      </c>
      <c r="R23" s="161">
        <v>2</v>
      </c>
      <c r="S23" s="161"/>
    </row>
    <row r="24" spans="3:19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61">
        <v>4</v>
      </c>
      <c r="R24" s="161"/>
      <c r="S24" s="161"/>
    </row>
    <row r="25" spans="3:19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</row>
    <row r="26" spans="3:19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</row>
    <row r="27" spans="3:19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</row>
    <row r="28" spans="3:19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</row>
    <row r="29" spans="3:19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</row>
    <row r="30" spans="3:19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</row>
    <row r="31" spans="3:19" x14ac:dyDescent="0.25">
      <c r="C31" t="s">
        <v>5761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61">
        <v>3</v>
      </c>
      <c r="R31" s="161"/>
      <c r="S31" s="161"/>
    </row>
    <row r="32" spans="3:19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61">
        <v>4</v>
      </c>
      <c r="R32" s="161">
        <v>1</v>
      </c>
      <c r="S32" s="161"/>
    </row>
    <row r="33" spans="3:19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61">
        <v>5</v>
      </c>
      <c r="R33" s="161">
        <v>2</v>
      </c>
      <c r="S33" s="161"/>
    </row>
    <row r="34" spans="3:19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</row>
    <row r="35" spans="3:19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</row>
    <row r="36" spans="3:19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</row>
    <row r="37" spans="3:19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</row>
    <row r="38" spans="3:19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</row>
    <row r="39" spans="3:19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</row>
    <row r="40" spans="3:19" x14ac:dyDescent="0.25">
      <c r="C40" t="s">
        <v>5762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61">
        <v>2</v>
      </c>
      <c r="R40" s="161"/>
      <c r="S40" s="161"/>
    </row>
    <row r="41" spans="3:19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61">
        <v>3</v>
      </c>
      <c r="R41" s="161">
        <v>1</v>
      </c>
      <c r="S41" s="161"/>
    </row>
    <row r="42" spans="3:19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61">
        <v>4</v>
      </c>
      <c r="R42" s="161"/>
      <c r="S42" s="161"/>
    </row>
    <row r="43" spans="3:19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</row>
    <row r="44" spans="3:19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</row>
    <row r="45" spans="3:19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</row>
    <row r="46" spans="3:19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</row>
    <row r="47" spans="3:19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</row>
    <row r="48" spans="3:19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O2" sqref="O2"/>
    </sheetView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1008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1205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2012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1304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3010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1476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3010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1476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3009</v>
      </c>
      <c r="D6" s="1">
        <f>VLOOKUP(E6,'Exp Tables'!$M$3:$O$102,3,FALSE)</f>
        <v>3255500</v>
      </c>
      <c r="E6" s="1">
        <f>Main!D44</f>
        <v>100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516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13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12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9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8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 t="str">
        <f>IF(SF!A6="",0,1&amp;ROW()-1)</f>
        <v>15</v>
      </c>
      <c r="K6" s="1">
        <f t="array" ref="K6">IF(J6=0,0,SUMPRODUCT((Main!$S$41:$U$43=RIGHT(J6,1)*1)*'Misc Inputs'!$B$3:$D$5))</f>
        <v>7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10804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366</v>
      </c>
      <c r="X3" s="137">
        <f t="shared" ref="X3:X11" si="0">_xlfn.CEILING.MATH(P3*Q3*R3*(J3+40-1)*S3*T3/U3/1000000,1)+V3*T3</f>
        <v>1205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21204</v>
      </c>
      <c r="P4" s="76">
        <f>IF(N4="BOSS",100,INDEX($B$8:$G$8,MATCH(N4,$B$7:$G$7,0))*INDEX('SF Data'!AN:AN,MATCH(Main!C41,'SF Data'!C:C,0))/100)</f>
        <v>104.50000000000001</v>
      </c>
      <c r="Q4" s="76">
        <f>INDEX('SF Data'!AE:AE,MATCH(Main!C41,'SF Data'!C:C,0))</f>
        <v>135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5</v>
      </c>
      <c r="U4" s="76">
        <f>INDEX('SF Data'!L:L,MATCH(Main!C41,'SF Data'!C:C,0))</f>
        <v>5</v>
      </c>
      <c r="V4" s="77">
        <f>INDEX('SF Resolution'!G:G,MATCH(O4,'SF Resolution'!A:A,0))</f>
        <v>80</v>
      </c>
      <c r="X4" s="137">
        <f t="shared" si="0"/>
        <v>1304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1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31004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160</v>
      </c>
      <c r="R5" s="76">
        <f t="shared" ref="R5:R11" si="2">INDEX($B$11:$B$15,MATCH(MAX(K5,L5),$A$11:$A$15,0))</f>
        <v>120</v>
      </c>
      <c r="S5" s="76">
        <f>INDEX($B$3:$B$5,Main!$B42)</f>
        <v>3.6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683</v>
      </c>
      <c r="X5" s="137">
        <f t="shared" si="0"/>
        <v>1476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31004</v>
      </c>
      <c r="P6" s="76">
        <f>IF(N6="BOSS",100,INDEX($B$8:$G$8,MATCH(N6,$B$7:$G$7,0))*INDEX('SF Data'!AN:AN,MATCH(Main!C43,'SF Data'!C:C,0))/100)</f>
        <v>82.500000000000014</v>
      </c>
      <c r="Q6" s="76">
        <f>INDEX('SF Data'!AE:AE,MATCH(Main!C43,'SF Data'!C:C,0))</f>
        <v>160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1</v>
      </c>
      <c r="U6" s="76">
        <f>INDEX('SF Data'!L:L,MATCH(Main!C43,'SF Data'!C:C,0))</f>
        <v>1</v>
      </c>
      <c r="V6" s="77">
        <f>INDEX('SF Resolution'!G:G,MATCH(O6,'SF Resolution'!A:A,0))</f>
        <v>683</v>
      </c>
      <c r="X6" s="137">
        <f t="shared" si="0"/>
        <v>1476</v>
      </c>
      <c r="Y6" s="140"/>
      <c r="Z6" s="140"/>
    </row>
    <row r="7" spans="1:26" x14ac:dyDescent="0.25">
      <c r="A7" s="241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100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30904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55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34</v>
      </c>
      <c r="X7" s="137">
        <f t="shared" si="0"/>
        <v>516</v>
      </c>
      <c r="Y7" s="140"/>
      <c r="Z7" s="140"/>
    </row>
    <row r="8" spans="1:26" x14ac:dyDescent="0.25">
      <c r="A8" s="24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5869</v>
      </c>
      <c r="C37" s="1">
        <v>6</v>
      </c>
      <c r="D37" t="s">
        <v>5868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663</v>
      </c>
      <c r="C38" s="1">
        <v>3</v>
      </c>
      <c r="D38" t="s">
        <v>615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652</v>
      </c>
      <c r="C39" s="1">
        <v>2</v>
      </c>
      <c r="D39" t="s">
        <v>589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1768</v>
      </c>
      <c r="C40" s="1">
        <v>6</v>
      </c>
      <c r="D40" t="s">
        <v>1769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74"/>
  <sheetViews>
    <sheetView topLeftCell="Y1" workbookViewId="0">
      <pane ySplit="1" topLeftCell="A256" activePane="bottomLeft" state="frozen"/>
      <selection pane="bottomLeft" activeCell="AG270" sqref="AG270:AG274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5596</v>
      </c>
      <c r="C22" s="1" t="s">
        <v>5597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5598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5599</v>
      </c>
      <c r="C23" s="1" t="s">
        <v>5600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5601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5602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5603</v>
      </c>
      <c r="C24" s="1" t="s">
        <v>5604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5605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5606</v>
      </c>
      <c r="C25" s="1" t="s">
        <v>5607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5608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5609</v>
      </c>
      <c r="C26" s="1" t="s">
        <v>5610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5611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5612</v>
      </c>
      <c r="C27" s="1" t="s">
        <v>5613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5614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5615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5616</v>
      </c>
      <c r="C28" s="1" t="s">
        <v>5617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5618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5619</v>
      </c>
      <c r="C29" s="1" t="s">
        <v>5620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5621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5622</v>
      </c>
      <c r="C34" s="1" t="s">
        <v>5623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5624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5625</v>
      </c>
      <c r="C35" s="1" t="s">
        <v>5626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5627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5628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5629</v>
      </c>
      <c r="C36" s="1" t="s">
        <v>5630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5631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5632</v>
      </c>
      <c r="C37" s="1" t="s">
        <v>5633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5634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5636</v>
      </c>
      <c r="C45" s="1" t="s">
        <v>5637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5638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5639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5640</v>
      </c>
      <c r="C46" s="1" t="s">
        <v>5641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5642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5643</v>
      </c>
      <c r="C47" s="1" t="s">
        <v>5644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5645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5646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5647</v>
      </c>
      <c r="C48" s="1" t="s">
        <v>5648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5649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5650</v>
      </c>
      <c r="C49" s="1" t="s">
        <v>5651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5652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5653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5654</v>
      </c>
      <c r="C50" s="1" t="s">
        <v>5655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5656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5657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5658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5659</v>
      </c>
      <c r="C51" s="1" t="s">
        <v>5660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5661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5662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5663</v>
      </c>
      <c r="C52" s="1" t="s">
        <v>5664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5665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5666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5667</v>
      </c>
      <c r="C53" s="1" t="s">
        <v>5668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5669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5670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5671</v>
      </c>
      <c r="C54" s="1" t="s">
        <v>5672</v>
      </c>
      <c r="D54" s="1">
        <v>5</v>
      </c>
      <c r="E54" s="1">
        <v>2</v>
      </c>
      <c r="F54" s="1">
        <v>5</v>
      </c>
      <c r="G54" s="1" t="s">
        <v>5673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5674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5675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5676</v>
      </c>
      <c r="C81" s="1" t="s">
        <v>5677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5678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5679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5680</v>
      </c>
      <c r="C82" s="1" t="s">
        <v>5681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5682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5683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5684</v>
      </c>
      <c r="C95" s="1" t="s">
        <v>5685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5686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5687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5688</v>
      </c>
      <c r="C96" s="1" t="s">
        <v>5689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5690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5691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5692</v>
      </c>
      <c r="C97" s="1" t="s">
        <v>5693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5694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5635</v>
      </c>
      <c r="AH97" s="1">
        <v>3600</v>
      </c>
      <c r="AI97" s="1" t="s">
        <v>330</v>
      </c>
      <c r="AJ97" s="1">
        <v>0</v>
      </c>
      <c r="AK97" s="1" t="s">
        <v>5695</v>
      </c>
      <c r="AL97" s="1" t="s">
        <v>5696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5697</v>
      </c>
      <c r="C98" s="1" t="s">
        <v>5698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5694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5595</v>
      </c>
      <c r="AH98" s="1">
        <v>3600</v>
      </c>
      <c r="AI98" s="1" t="s">
        <v>330</v>
      </c>
      <c r="AJ98" s="1">
        <v>0</v>
      </c>
      <c r="AK98" s="1" t="s">
        <v>5695</v>
      </c>
      <c r="AL98" s="1" t="s">
        <v>5699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5700</v>
      </c>
      <c r="C109" s="1" t="s">
        <v>5701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5702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5703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5704</v>
      </c>
      <c r="C110" s="1" t="s">
        <v>5705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5706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5707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5708</v>
      </c>
      <c r="C119" s="1" t="s">
        <v>5709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5710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5711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5712</v>
      </c>
      <c r="C120" s="1" t="s">
        <v>5713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5714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5715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5758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5757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5716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5722</v>
      </c>
      <c r="C266" s="1" t="s">
        <v>5723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5725</v>
      </c>
      <c r="C267" s="1" t="s">
        <v>5726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5728</v>
      </c>
      <c r="C268" s="1" t="s">
        <v>5729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5730</v>
      </c>
      <c r="AJ268" s="1">
        <v>0</v>
      </c>
      <c r="AK268" s="1" t="s">
        <v>5731</v>
      </c>
      <c r="AL268" s="1" t="s">
        <v>5732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5733</v>
      </c>
      <c r="C269" s="1" t="s">
        <v>5734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5735</v>
      </c>
      <c r="AJ269" s="1">
        <v>0</v>
      </c>
      <c r="AK269" s="1" t="s">
        <v>5736</v>
      </c>
      <c r="AL269" s="1" t="s">
        <v>5737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5738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>
        <v>271</v>
      </c>
      <c r="B270" t="s">
        <v>5846</v>
      </c>
      <c r="C270" t="s">
        <v>5847</v>
      </c>
      <c r="D270">
        <v>5</v>
      </c>
      <c r="E270">
        <v>2</v>
      </c>
      <c r="F270">
        <v>19</v>
      </c>
      <c r="G270" s="1" t="s">
        <v>393</v>
      </c>
      <c r="H270" s="1" t="s">
        <v>330</v>
      </c>
      <c r="I270" s="1" t="s">
        <v>330</v>
      </c>
      <c r="J270" s="1" t="s">
        <v>330</v>
      </c>
      <c r="K270" s="1" t="s">
        <v>330</v>
      </c>
      <c r="L270" s="1" t="s">
        <v>330</v>
      </c>
      <c r="M270" s="1" t="s">
        <v>330</v>
      </c>
      <c r="N270" s="1" t="s">
        <v>412</v>
      </c>
      <c r="O270" s="1" t="s">
        <v>330</v>
      </c>
      <c r="P270" s="1" t="s">
        <v>330</v>
      </c>
      <c r="Q270" s="1" t="s">
        <v>330</v>
      </c>
      <c r="R270" s="1" t="s">
        <v>330</v>
      </c>
      <c r="S270" s="1" t="s">
        <v>330</v>
      </c>
      <c r="T270" s="1" t="s">
        <v>330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t="s">
        <v>1926</v>
      </c>
      <c r="AJ270">
        <v>0</v>
      </c>
      <c r="AK270" s="1" t="s">
        <v>4874</v>
      </c>
      <c r="AL270" s="1" t="s">
        <v>5848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t="s">
        <v>1523</v>
      </c>
      <c r="AS270">
        <v>0</v>
      </c>
      <c r="AT270" t="s">
        <v>1889</v>
      </c>
      <c r="AU270">
        <v>10</v>
      </c>
      <c r="AV270">
        <v>19037</v>
      </c>
      <c r="AW270">
        <v>0</v>
      </c>
      <c r="AX270">
        <v>0</v>
      </c>
    </row>
    <row r="271" spans="1:50" x14ac:dyDescent="0.25">
      <c r="A271">
        <v>272</v>
      </c>
      <c r="B271" t="s">
        <v>5849</v>
      </c>
      <c r="C271" t="s">
        <v>5850</v>
      </c>
      <c r="D271">
        <v>5</v>
      </c>
      <c r="E271">
        <v>2</v>
      </c>
      <c r="F271">
        <v>19</v>
      </c>
      <c r="G271" s="1" t="s">
        <v>340</v>
      </c>
      <c r="H271" s="1" t="s">
        <v>330</v>
      </c>
      <c r="I271" s="1" t="s">
        <v>330</v>
      </c>
      <c r="J271" s="1" t="s">
        <v>330</v>
      </c>
      <c r="K271" s="1" t="s">
        <v>330</v>
      </c>
      <c r="L271" s="1" t="s">
        <v>330</v>
      </c>
      <c r="M271" s="1" t="s">
        <v>330</v>
      </c>
      <c r="N271" s="1" t="s">
        <v>388</v>
      </c>
      <c r="O271" s="1" t="s">
        <v>330</v>
      </c>
      <c r="P271" s="1" t="s">
        <v>330</v>
      </c>
      <c r="Q271" s="1" t="s">
        <v>330</v>
      </c>
      <c r="R271" s="1" t="s">
        <v>330</v>
      </c>
      <c r="S271" s="1" t="s">
        <v>330</v>
      </c>
      <c r="T271" s="1" t="s">
        <v>330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5814</v>
      </c>
      <c r="AH271" s="1">
        <v>3600</v>
      </c>
      <c r="AI271" t="s">
        <v>1926</v>
      </c>
      <c r="AJ271">
        <v>0</v>
      </c>
      <c r="AK271" s="1" t="s">
        <v>5845</v>
      </c>
      <c r="AL271" s="1" t="s">
        <v>5851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t="s">
        <v>1523</v>
      </c>
      <c r="AS271">
        <v>0</v>
      </c>
      <c r="AT271" t="s">
        <v>1889</v>
      </c>
      <c r="AU271">
        <v>10</v>
      </c>
      <c r="AV271">
        <v>19038</v>
      </c>
      <c r="AW271">
        <v>0</v>
      </c>
      <c r="AX271">
        <v>0</v>
      </c>
    </row>
    <row r="272" spans="1:50" x14ac:dyDescent="0.25">
      <c r="A272">
        <v>273</v>
      </c>
      <c r="B272" t="s">
        <v>5852</v>
      </c>
      <c r="C272" t="s">
        <v>5853</v>
      </c>
      <c r="D272">
        <v>5</v>
      </c>
      <c r="E272">
        <v>1</v>
      </c>
      <c r="F272">
        <v>18</v>
      </c>
      <c r="G272" s="1" t="s">
        <v>339</v>
      </c>
      <c r="H272" s="1" t="s">
        <v>345</v>
      </c>
      <c r="I272" s="1" t="s">
        <v>330</v>
      </c>
      <c r="J272" s="1" t="s">
        <v>330</v>
      </c>
      <c r="K272" s="1" t="s">
        <v>341</v>
      </c>
      <c r="L272" s="1" t="s">
        <v>330</v>
      </c>
      <c r="M272" s="1" t="s">
        <v>330</v>
      </c>
      <c r="N272" s="1" t="s">
        <v>330</v>
      </c>
      <c r="O272" s="1" t="s">
        <v>330</v>
      </c>
      <c r="P272" s="1" t="s">
        <v>330</v>
      </c>
      <c r="Q272" s="1" t="s">
        <v>330</v>
      </c>
      <c r="R272" s="1" t="s">
        <v>330</v>
      </c>
      <c r="S272" s="1" t="s">
        <v>330</v>
      </c>
      <c r="T272" s="1" t="s">
        <v>330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5829</v>
      </c>
      <c r="AH272" s="1">
        <v>3600</v>
      </c>
      <c r="AI272" t="s">
        <v>5730</v>
      </c>
      <c r="AJ272">
        <v>0</v>
      </c>
      <c r="AK272" s="1" t="s">
        <v>5854</v>
      </c>
      <c r="AL272" s="1" t="s">
        <v>5855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t="s">
        <v>1578</v>
      </c>
      <c r="AS272">
        <v>0</v>
      </c>
      <c r="AT272" t="s">
        <v>1889</v>
      </c>
      <c r="AU272">
        <v>10</v>
      </c>
      <c r="AV272">
        <v>18085</v>
      </c>
      <c r="AW272">
        <v>0</v>
      </c>
      <c r="AX272">
        <v>0</v>
      </c>
    </row>
    <row r="273" spans="1:50" x14ac:dyDescent="0.25">
      <c r="A273">
        <v>274</v>
      </c>
      <c r="B273" t="s">
        <v>5856</v>
      </c>
      <c r="C273" t="s">
        <v>5857</v>
      </c>
      <c r="D273">
        <v>5</v>
      </c>
      <c r="E273">
        <v>1</v>
      </c>
      <c r="F273">
        <v>18</v>
      </c>
      <c r="G273" s="1" t="s">
        <v>330</v>
      </c>
      <c r="H273" s="1" t="s">
        <v>330</v>
      </c>
      <c r="I273" s="1" t="s">
        <v>330</v>
      </c>
      <c r="J273" s="1" t="s">
        <v>330</v>
      </c>
      <c r="K273" s="1" t="s">
        <v>330</v>
      </c>
      <c r="L273" s="1" t="s">
        <v>391</v>
      </c>
      <c r="M273" s="1" t="s">
        <v>5858</v>
      </c>
      <c r="N273" s="1" t="s">
        <v>330</v>
      </c>
      <c r="O273" s="1" t="s">
        <v>330</v>
      </c>
      <c r="P273" s="1" t="s">
        <v>330</v>
      </c>
      <c r="Q273" s="1" t="s">
        <v>330</v>
      </c>
      <c r="R273" s="1" t="s">
        <v>330</v>
      </c>
      <c r="S273" s="1" t="s">
        <v>330</v>
      </c>
      <c r="T273" s="1" t="s">
        <v>330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5822</v>
      </c>
      <c r="AH273" s="1">
        <v>3600</v>
      </c>
      <c r="AI273" t="s">
        <v>1926</v>
      </c>
      <c r="AJ273">
        <v>0</v>
      </c>
      <c r="AK273" s="1" t="s">
        <v>5859</v>
      </c>
      <c r="AL273" s="1" t="s">
        <v>5860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t="s">
        <v>5861</v>
      </c>
      <c r="AS273">
        <v>0</v>
      </c>
      <c r="AT273" t="s">
        <v>1889</v>
      </c>
      <c r="AU273">
        <v>10</v>
      </c>
      <c r="AV273">
        <v>18086</v>
      </c>
      <c r="AW273">
        <v>0</v>
      </c>
      <c r="AX273">
        <v>0</v>
      </c>
    </row>
    <row r="274" spans="1:50" x14ac:dyDescent="0.25">
      <c r="A274">
        <v>275</v>
      </c>
      <c r="B274" t="s">
        <v>5862</v>
      </c>
      <c r="C274" t="s">
        <v>5863</v>
      </c>
      <c r="D274">
        <v>5</v>
      </c>
      <c r="E274">
        <v>3</v>
      </c>
      <c r="F274">
        <v>20</v>
      </c>
      <c r="G274" s="1" t="s">
        <v>340</v>
      </c>
      <c r="H274" s="1" t="s">
        <v>330</v>
      </c>
      <c r="I274" s="1" t="s">
        <v>358</v>
      </c>
      <c r="J274" s="1" t="s">
        <v>330</v>
      </c>
      <c r="K274" s="1" t="s">
        <v>330</v>
      </c>
      <c r="L274" s="1" t="s">
        <v>404</v>
      </c>
      <c r="M274" s="1" t="s">
        <v>330</v>
      </c>
      <c r="N274" s="1" t="s">
        <v>330</v>
      </c>
      <c r="O274" s="1" t="s">
        <v>330</v>
      </c>
      <c r="P274" s="1" t="s">
        <v>330</v>
      </c>
      <c r="Q274" s="1" t="s">
        <v>330</v>
      </c>
      <c r="R274" s="1" t="s">
        <v>330</v>
      </c>
      <c r="S274" s="1" t="s">
        <v>330</v>
      </c>
      <c r="T274" s="1" t="s">
        <v>330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5838</v>
      </c>
      <c r="AH274" s="1">
        <v>3060</v>
      </c>
      <c r="AI274" t="s">
        <v>2489</v>
      </c>
      <c r="AJ274">
        <v>0</v>
      </c>
      <c r="AK274" s="1" t="s">
        <v>5864</v>
      </c>
      <c r="AL274" s="1" t="s">
        <v>5865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t="s">
        <v>5866</v>
      </c>
      <c r="AS274">
        <v>0</v>
      </c>
      <c r="AT274" t="s">
        <v>1889</v>
      </c>
      <c r="AU274">
        <v>10</v>
      </c>
      <c r="AV274">
        <v>20047</v>
      </c>
      <c r="AW274">
        <v>0</v>
      </c>
      <c r="AX274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42"/>
  <sheetViews>
    <sheetView workbookViewId="0">
      <pane ySplit="1" topLeftCell="A419" activePane="bottomLeft" state="frozen"/>
      <selection pane="bottomLeft" activeCell="C442" sqref="C44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5718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5763</v>
      </c>
      <c r="C351" s="9" t="s">
        <v>5764</v>
      </c>
      <c r="D351" s="1" t="s">
        <v>5764</v>
      </c>
      <c r="E351" s="1" t="s">
        <v>330</v>
      </c>
      <c r="F351" s="1" t="s">
        <v>330</v>
      </c>
      <c r="G351" s="1" t="s">
        <v>5765</v>
      </c>
      <c r="H351" s="1" t="s">
        <v>5766</v>
      </c>
      <c r="I351" s="1" t="s">
        <v>5767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5768</v>
      </c>
      <c r="AK351" s="1" t="s">
        <v>5769</v>
      </c>
      <c r="AL351" s="1">
        <v>13</v>
      </c>
      <c r="AM351" s="1" t="s">
        <v>1889</v>
      </c>
      <c r="AN351" s="1" t="s">
        <v>5770</v>
      </c>
      <c r="AO351" s="1" t="s">
        <v>4835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4</v>
      </c>
      <c r="AV351" s="1">
        <v>0</v>
      </c>
      <c r="AW351" s="1" t="s">
        <v>5771</v>
      </c>
      <c r="AX351" s="1" t="s">
        <v>5772</v>
      </c>
      <c r="AY351" s="1">
        <v>5</v>
      </c>
      <c r="AZ351" s="1">
        <v>0</v>
      </c>
      <c r="BA351" s="1" t="s">
        <v>330</v>
      </c>
      <c r="BB351" s="1" t="s">
        <v>330</v>
      </c>
      <c r="BC351" s="1" t="s">
        <v>4823</v>
      </c>
      <c r="BD351" s="1">
        <v>10203</v>
      </c>
      <c r="BE351" s="1"/>
    </row>
    <row r="352" spans="1:57" x14ac:dyDescent="0.25">
      <c r="A352" s="1">
        <v>358</v>
      </c>
      <c r="B352" s="1" t="s">
        <v>5773</v>
      </c>
      <c r="C352" s="9" t="s">
        <v>5774</v>
      </c>
      <c r="D352" s="1" t="s">
        <v>5774</v>
      </c>
      <c r="E352" s="1" t="s">
        <v>330</v>
      </c>
      <c r="F352" s="1" t="s">
        <v>330</v>
      </c>
      <c r="G352" s="1" t="s">
        <v>5775</v>
      </c>
      <c r="H352" s="1" t="s">
        <v>5776</v>
      </c>
      <c r="I352" s="1" t="s">
        <v>5777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330</v>
      </c>
      <c r="AK352" s="1" t="s">
        <v>5778</v>
      </c>
      <c r="AL352" s="1">
        <v>13</v>
      </c>
      <c r="AM352" s="1" t="s">
        <v>1889</v>
      </c>
      <c r="AN352" s="1" t="s">
        <v>5779</v>
      </c>
      <c r="AO352" s="1" t="s">
        <v>5147</v>
      </c>
      <c r="AP352" s="1">
        <v>0</v>
      </c>
      <c r="AQ352" s="1" t="s">
        <v>1168</v>
      </c>
      <c r="AR352" s="1" t="s">
        <v>1169</v>
      </c>
      <c r="AS352" s="1" t="s">
        <v>1170</v>
      </c>
      <c r="AT352" s="1" t="s">
        <v>330</v>
      </c>
      <c r="AU352" s="1">
        <v>212</v>
      </c>
      <c r="AV352" s="1">
        <v>0</v>
      </c>
      <c r="AW352" s="1" t="s">
        <v>5771</v>
      </c>
      <c r="AX352" s="1" t="s">
        <v>1643</v>
      </c>
      <c r="AY352" s="1">
        <v>4</v>
      </c>
      <c r="AZ352" s="1">
        <v>0</v>
      </c>
      <c r="BA352" s="1" t="s">
        <v>330</v>
      </c>
      <c r="BB352" s="1" t="s">
        <v>330</v>
      </c>
      <c r="BC352" s="1" t="s">
        <v>4853</v>
      </c>
      <c r="BD352" s="1">
        <v>10202</v>
      </c>
      <c r="BE352" s="1"/>
    </row>
    <row r="353" spans="1:57" x14ac:dyDescent="0.25">
      <c r="A353" s="1">
        <v>359</v>
      </c>
      <c r="B353" s="1" t="s">
        <v>5780</v>
      </c>
      <c r="C353" s="9" t="s">
        <v>5781</v>
      </c>
      <c r="D353" s="1" t="s">
        <v>5781</v>
      </c>
      <c r="E353" s="1" t="s">
        <v>330</v>
      </c>
      <c r="F353" s="1" t="s">
        <v>330</v>
      </c>
      <c r="G353" s="1" t="s">
        <v>5782</v>
      </c>
      <c r="H353" s="1" t="s">
        <v>5783</v>
      </c>
      <c r="I353" s="1" t="s">
        <v>5784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5785</v>
      </c>
      <c r="AK353" s="1" t="s">
        <v>5786</v>
      </c>
      <c r="AL353" s="1">
        <v>13</v>
      </c>
      <c r="AM353" s="1" t="s">
        <v>400</v>
      </c>
      <c r="AN353" s="1" t="s">
        <v>5787</v>
      </c>
      <c r="AO353" s="1" t="s">
        <v>5089</v>
      </c>
      <c r="AP353" s="1">
        <v>0</v>
      </c>
      <c r="AQ353" s="1" t="s">
        <v>1179</v>
      </c>
      <c r="AR353" s="1" t="s">
        <v>1169</v>
      </c>
      <c r="AS353" s="1" t="s">
        <v>1180</v>
      </c>
      <c r="AT353" s="1" t="s">
        <v>330</v>
      </c>
      <c r="AU353" s="1">
        <v>150</v>
      </c>
      <c r="AV353" s="1">
        <v>0</v>
      </c>
      <c r="AW353" s="1" t="s">
        <v>5771</v>
      </c>
      <c r="AX353" s="1" t="s">
        <v>1643</v>
      </c>
      <c r="AY353" s="1">
        <v>5</v>
      </c>
      <c r="AZ353" s="1">
        <v>0</v>
      </c>
      <c r="BA353" s="1" t="s">
        <v>330</v>
      </c>
      <c r="BB353" s="1" t="s">
        <v>330</v>
      </c>
      <c r="BC353" s="1" t="s">
        <v>330</v>
      </c>
      <c r="BD353" s="1">
        <v>10402</v>
      </c>
      <c r="BE353" s="1"/>
    </row>
    <row r="354" spans="1:57" x14ac:dyDescent="0.25">
      <c r="A354" s="1">
        <v>360</v>
      </c>
      <c r="B354" s="1" t="s">
        <v>5788</v>
      </c>
      <c r="C354" s="9" t="s">
        <v>5789</v>
      </c>
      <c r="D354" s="1" t="s">
        <v>5790</v>
      </c>
      <c r="E354" s="1" t="s">
        <v>330</v>
      </c>
      <c r="F354" s="1" t="s">
        <v>330</v>
      </c>
      <c r="G354" s="1" t="s">
        <v>5791</v>
      </c>
      <c r="H354" s="1" t="s">
        <v>5792</v>
      </c>
      <c r="I354" s="1" t="s">
        <v>5793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5794</v>
      </c>
      <c r="AK354" s="1" t="s">
        <v>5795</v>
      </c>
      <c r="AL354" s="1">
        <v>13</v>
      </c>
      <c r="AM354" s="1" t="s">
        <v>4846</v>
      </c>
      <c r="AN354" s="1" t="s">
        <v>5796</v>
      </c>
      <c r="AO354" s="1" t="s">
        <v>4916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241</v>
      </c>
      <c r="AV354" s="1">
        <v>0</v>
      </c>
      <c r="AW354" s="1" t="s">
        <v>5771</v>
      </c>
      <c r="AX354" s="1" t="s">
        <v>5797</v>
      </c>
      <c r="AY354" s="1">
        <v>4</v>
      </c>
      <c r="AZ354" s="1">
        <v>0</v>
      </c>
      <c r="BA354" s="1" t="s">
        <v>330</v>
      </c>
      <c r="BB354" s="1" t="s">
        <v>330</v>
      </c>
      <c r="BC354" s="1" t="s">
        <v>4804</v>
      </c>
      <c r="BD354" s="1">
        <v>10802</v>
      </c>
      <c r="BE354" s="1"/>
    </row>
    <row r="355" spans="1:57" x14ac:dyDescent="0.25">
      <c r="A355" s="1">
        <v>361</v>
      </c>
      <c r="B355" s="1" t="s">
        <v>5798</v>
      </c>
      <c r="C355" s="9" t="s">
        <v>5799</v>
      </c>
      <c r="D355" s="1" t="s">
        <v>5800</v>
      </c>
      <c r="E355" s="1" t="s">
        <v>330</v>
      </c>
      <c r="F355" s="1" t="s">
        <v>330</v>
      </c>
      <c r="G355" s="1" t="s">
        <v>5801</v>
      </c>
      <c r="H355" s="1" t="s">
        <v>5802</v>
      </c>
      <c r="I355" s="1" t="s">
        <v>5803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330</v>
      </c>
      <c r="AK355" s="1" t="s">
        <v>5804</v>
      </c>
      <c r="AL355" s="1">
        <v>13</v>
      </c>
      <c r="AM355" s="1" t="s">
        <v>4803</v>
      </c>
      <c r="AN355" s="1" t="s">
        <v>4948</v>
      </c>
      <c r="AO355" s="1" t="s">
        <v>5805</v>
      </c>
      <c r="AP355" s="1">
        <v>0</v>
      </c>
      <c r="AQ355" s="1" t="s">
        <v>1180</v>
      </c>
      <c r="AR355" s="1" t="s">
        <v>1204</v>
      </c>
      <c r="AS355" s="1" t="s">
        <v>1179</v>
      </c>
      <c r="AT355" s="1" t="s">
        <v>330</v>
      </c>
      <c r="AU355" s="1">
        <v>48</v>
      </c>
      <c r="AV355" s="1">
        <v>0</v>
      </c>
      <c r="AW355" s="1" t="s">
        <v>5771</v>
      </c>
      <c r="AX355" s="1" t="s">
        <v>5797</v>
      </c>
      <c r="AY355" s="1">
        <v>5</v>
      </c>
      <c r="AZ355" s="1">
        <v>0</v>
      </c>
      <c r="BA355" s="1" t="s">
        <v>330</v>
      </c>
      <c r="BB355" s="1" t="s">
        <v>330</v>
      </c>
      <c r="BC355" s="1" t="s">
        <v>4867</v>
      </c>
      <c r="BD355" s="1">
        <v>10402</v>
      </c>
      <c r="BE355" s="1"/>
    </row>
    <row r="356" spans="1:57" x14ac:dyDescent="0.25">
      <c r="A356" s="1">
        <v>362</v>
      </c>
      <c r="B356" s="1" t="s">
        <v>5806</v>
      </c>
      <c r="C356" s="9" t="s">
        <v>5807</v>
      </c>
      <c r="D356" s="1" t="s">
        <v>5807</v>
      </c>
      <c r="E356" s="1" t="s">
        <v>330</v>
      </c>
      <c r="F356" s="1" t="s">
        <v>330</v>
      </c>
      <c r="G356" s="1" t="s">
        <v>5808</v>
      </c>
      <c r="H356" s="1" t="s">
        <v>5809</v>
      </c>
      <c r="I356" s="1" t="s">
        <v>5810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5811</v>
      </c>
      <c r="AK356" s="1" t="s">
        <v>5812</v>
      </c>
      <c r="AL356" s="1">
        <v>18</v>
      </c>
      <c r="AM356" s="1" t="s">
        <v>4942</v>
      </c>
      <c r="AN356" s="1" t="s">
        <v>5021</v>
      </c>
      <c r="AO356" s="1" t="s">
        <v>5095</v>
      </c>
      <c r="AP356" s="1">
        <v>0</v>
      </c>
      <c r="AQ356" s="1" t="s">
        <v>1217</v>
      </c>
      <c r="AR356" s="1" t="s">
        <v>1218</v>
      </c>
      <c r="AS356" s="1" t="s">
        <v>1219</v>
      </c>
      <c r="AT356" s="1" t="s">
        <v>330</v>
      </c>
      <c r="AU356" s="1">
        <v>238</v>
      </c>
      <c r="AV356" s="1">
        <v>0</v>
      </c>
      <c r="AW356" s="1" t="s">
        <v>5771</v>
      </c>
      <c r="AX356" s="1" t="s">
        <v>1643</v>
      </c>
      <c r="AY356" s="1">
        <v>4</v>
      </c>
      <c r="AZ356" s="1">
        <v>0</v>
      </c>
      <c r="BA356" s="1" t="s">
        <v>330</v>
      </c>
      <c r="BB356" s="1" t="s">
        <v>330</v>
      </c>
      <c r="BC356" s="1" t="s">
        <v>330</v>
      </c>
      <c r="BD356" s="1">
        <v>10403</v>
      </c>
      <c r="BE356" s="1"/>
    </row>
    <row r="357" spans="1:57" x14ac:dyDescent="0.25">
      <c r="A357" s="1">
        <v>1001</v>
      </c>
      <c r="B357" s="1" t="s">
        <v>4189</v>
      </c>
      <c r="C357" s="9" t="s">
        <v>193</v>
      </c>
      <c r="D357" s="1" t="s">
        <v>4190</v>
      </c>
      <c r="E357" s="1"/>
      <c r="F357" s="1"/>
      <c r="G357" s="1" t="s">
        <v>4191</v>
      </c>
      <c r="H357" s="1" t="s">
        <v>4192</v>
      </c>
      <c r="I357" s="1" t="s">
        <v>4193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330</v>
      </c>
      <c r="AK357" s="1" t="s">
        <v>330</v>
      </c>
      <c r="AL357" s="1">
        <v>13</v>
      </c>
      <c r="AM357" s="1" t="s">
        <v>1889</v>
      </c>
      <c r="AN357" s="1" t="s">
        <v>5046</v>
      </c>
      <c r="AO357" s="1" t="s">
        <v>5140</v>
      </c>
      <c r="AP357" s="1">
        <v>0</v>
      </c>
      <c r="AQ357" s="1" t="s">
        <v>1168</v>
      </c>
      <c r="AR357" s="1" t="s">
        <v>1169</v>
      </c>
      <c r="AS357" s="1" t="s">
        <v>1170</v>
      </c>
      <c r="AT357" s="1" t="s">
        <v>330</v>
      </c>
      <c r="AU357" s="1">
        <v>1001</v>
      </c>
      <c r="AV357" s="1">
        <v>1</v>
      </c>
      <c r="AW357" s="1" t="s">
        <v>5469</v>
      </c>
      <c r="AX357" s="1" t="s">
        <v>1889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1002</v>
      </c>
      <c r="B358" s="1" t="s">
        <v>4194</v>
      </c>
      <c r="C358" s="9" t="s">
        <v>194</v>
      </c>
      <c r="D358" s="1" t="s">
        <v>4195</v>
      </c>
      <c r="E358" s="1"/>
      <c r="F358" s="1"/>
      <c r="G358" s="1" t="s">
        <v>4196</v>
      </c>
      <c r="H358" s="1" t="s">
        <v>4197</v>
      </c>
      <c r="I358" s="1" t="s">
        <v>4198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1249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5351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1002</v>
      </c>
      <c r="AV358" s="1">
        <v>1</v>
      </c>
      <c r="AW358" s="1" t="s">
        <v>5469</v>
      </c>
      <c r="AX358" s="1" t="s">
        <v>1889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1003</v>
      </c>
      <c r="B359" s="1" t="s">
        <v>4199</v>
      </c>
      <c r="C359" s="9" t="s">
        <v>828</v>
      </c>
      <c r="D359" s="1" t="s">
        <v>828</v>
      </c>
      <c r="E359" s="1"/>
      <c r="F359" s="1"/>
      <c r="G359" s="1" t="s">
        <v>4200</v>
      </c>
      <c r="H359" s="1" t="s">
        <v>4201</v>
      </c>
      <c r="I359" s="1" t="s">
        <v>4202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1411</v>
      </c>
      <c r="AK359" s="1" t="s">
        <v>330</v>
      </c>
      <c r="AL359" s="1">
        <v>13</v>
      </c>
      <c r="AM359" s="1" t="s">
        <v>1889</v>
      </c>
      <c r="AN359" s="1" t="s">
        <v>4831</v>
      </c>
      <c r="AO359" s="1" t="s">
        <v>5098</v>
      </c>
      <c r="AP359" s="1">
        <v>0</v>
      </c>
      <c r="AQ359" s="1" t="s">
        <v>1168</v>
      </c>
      <c r="AR359" s="1" t="s">
        <v>1169</v>
      </c>
      <c r="AS359" s="1" t="s">
        <v>1170</v>
      </c>
      <c r="AT359" s="1" t="s">
        <v>330</v>
      </c>
      <c r="AU359" s="1">
        <v>1003</v>
      </c>
      <c r="AV359" s="1">
        <v>1</v>
      </c>
      <c r="AW359" s="1" t="s">
        <v>5471</v>
      </c>
      <c r="AX359" s="1" t="s">
        <v>5472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1004</v>
      </c>
      <c r="B360" s="1" t="s">
        <v>4203</v>
      </c>
      <c r="C360" s="9" t="s">
        <v>829</v>
      </c>
      <c r="D360" s="1" t="s">
        <v>4204</v>
      </c>
      <c r="E360" s="1"/>
      <c r="F360" s="1"/>
      <c r="G360" s="1" t="s">
        <v>4205</v>
      </c>
      <c r="H360" s="1" t="s">
        <v>4206</v>
      </c>
      <c r="I360" s="1" t="s">
        <v>4207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1411</v>
      </c>
      <c r="AK360" s="1" t="s">
        <v>330</v>
      </c>
      <c r="AL360" s="1">
        <v>13</v>
      </c>
      <c r="AM360" s="1" t="s">
        <v>4846</v>
      </c>
      <c r="AN360" s="1" t="s">
        <v>5473</v>
      </c>
      <c r="AO360" s="1" t="s">
        <v>4929</v>
      </c>
      <c r="AP360" s="1">
        <v>0</v>
      </c>
      <c r="AQ360" s="1" t="s">
        <v>1190</v>
      </c>
      <c r="AR360" s="1" t="s">
        <v>1191</v>
      </c>
      <c r="AS360" s="1" t="s">
        <v>1192</v>
      </c>
      <c r="AT360" s="1" t="s">
        <v>330</v>
      </c>
      <c r="AU360" s="1">
        <v>1004</v>
      </c>
      <c r="AV360" s="1">
        <v>1</v>
      </c>
      <c r="AW360" s="1" t="s">
        <v>5471</v>
      </c>
      <c r="AX360" s="1" t="s">
        <v>5474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1005</v>
      </c>
      <c r="B361" s="1" t="s">
        <v>4208</v>
      </c>
      <c r="C361" s="9" t="s">
        <v>830</v>
      </c>
      <c r="D361" s="1" t="s">
        <v>830</v>
      </c>
      <c r="E361" s="1"/>
      <c r="F361" s="1"/>
      <c r="G361" s="1" t="s">
        <v>4209</v>
      </c>
      <c r="H361" s="1" t="s">
        <v>4210</v>
      </c>
      <c r="I361" s="1" t="s">
        <v>4211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1411</v>
      </c>
      <c r="AK361" s="1" t="s">
        <v>330</v>
      </c>
      <c r="AL361" s="1">
        <v>13</v>
      </c>
      <c r="AM361" s="1" t="s">
        <v>4846</v>
      </c>
      <c r="AN361" s="1" t="s">
        <v>5197</v>
      </c>
      <c r="AO361" s="1" t="s">
        <v>4929</v>
      </c>
      <c r="AP361" s="1">
        <v>0</v>
      </c>
      <c r="AQ361" s="1" t="s">
        <v>1190</v>
      </c>
      <c r="AR361" s="1" t="s">
        <v>1191</v>
      </c>
      <c r="AS361" s="1" t="s">
        <v>1192</v>
      </c>
      <c r="AT361" s="1" t="s">
        <v>330</v>
      </c>
      <c r="AU361" s="1">
        <v>1005</v>
      </c>
      <c r="AV361" s="1">
        <v>1</v>
      </c>
      <c r="AW361" s="1" t="s">
        <v>5471</v>
      </c>
      <c r="AX361" s="1" t="s">
        <v>5474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1006</v>
      </c>
      <c r="B362" s="1" t="s">
        <v>4212</v>
      </c>
      <c r="C362" s="9" t="s">
        <v>831</v>
      </c>
      <c r="D362" s="1" t="s">
        <v>831</v>
      </c>
      <c r="E362" s="1"/>
      <c r="F362" s="1"/>
      <c r="G362" s="1" t="s">
        <v>4213</v>
      </c>
      <c r="H362" s="1" t="s">
        <v>4214</v>
      </c>
      <c r="I362" s="1" t="s">
        <v>4215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1182</v>
      </c>
      <c r="AK362" s="1" t="s">
        <v>1412</v>
      </c>
      <c r="AL362" s="1">
        <v>13</v>
      </c>
      <c r="AM362" s="1" t="s">
        <v>1889</v>
      </c>
      <c r="AN362" s="1" t="s">
        <v>5042</v>
      </c>
      <c r="AO362" s="1" t="s">
        <v>4901</v>
      </c>
      <c r="AP362" s="1">
        <v>0</v>
      </c>
      <c r="AQ362" s="1" t="s">
        <v>1168</v>
      </c>
      <c r="AR362" s="1" t="s">
        <v>1169</v>
      </c>
      <c r="AS362" s="1" t="s">
        <v>1170</v>
      </c>
      <c r="AT362" s="1" t="s">
        <v>330</v>
      </c>
      <c r="AU362" s="1">
        <v>1006</v>
      </c>
      <c r="AV362" s="1">
        <v>1</v>
      </c>
      <c r="AW362" s="1" t="s">
        <v>5471</v>
      </c>
      <c r="AX362" s="1" t="s">
        <v>5475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1007</v>
      </c>
      <c r="B363" s="1" t="s">
        <v>4216</v>
      </c>
      <c r="C363" s="9" t="s">
        <v>832</v>
      </c>
      <c r="D363" s="1" t="s">
        <v>832</v>
      </c>
      <c r="E363" s="1"/>
      <c r="F363" s="1"/>
      <c r="G363" s="1" t="s">
        <v>4217</v>
      </c>
      <c r="H363" s="1" t="s">
        <v>4218</v>
      </c>
      <c r="I363" s="1" t="s">
        <v>4219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1411</v>
      </c>
      <c r="AK363" s="1" t="s">
        <v>1413</v>
      </c>
      <c r="AL363" s="1">
        <v>13</v>
      </c>
      <c r="AM363" s="1" t="s">
        <v>4803</v>
      </c>
      <c r="AN363" s="1" t="s">
        <v>477</v>
      </c>
      <c r="AO363" s="1" t="s">
        <v>5476</v>
      </c>
      <c r="AP363" s="1">
        <v>0</v>
      </c>
      <c r="AQ363" s="1" t="s">
        <v>1180</v>
      </c>
      <c r="AR363" s="1" t="s">
        <v>1204</v>
      </c>
      <c r="AS363" s="1" t="s">
        <v>1179</v>
      </c>
      <c r="AT363" s="1" t="s">
        <v>330</v>
      </c>
      <c r="AU363" s="1">
        <v>1007</v>
      </c>
      <c r="AV363" s="1">
        <v>1</v>
      </c>
      <c r="AW363" s="1" t="s">
        <v>5471</v>
      </c>
      <c r="AX363" s="1" t="s">
        <v>5477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1008</v>
      </c>
      <c r="B364" s="1" t="s">
        <v>4220</v>
      </c>
      <c r="C364" s="9" t="s">
        <v>833</v>
      </c>
      <c r="D364" s="1" t="s">
        <v>833</v>
      </c>
      <c r="E364" s="1"/>
      <c r="F364" s="1"/>
      <c r="G364" s="1" t="s">
        <v>4221</v>
      </c>
      <c r="H364" s="1" t="s">
        <v>4222</v>
      </c>
      <c r="I364" s="1" t="s">
        <v>4223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1414</v>
      </c>
      <c r="AK364" s="1" t="s">
        <v>330</v>
      </c>
      <c r="AL364" s="1">
        <v>8</v>
      </c>
      <c r="AM364" s="1" t="s">
        <v>4800</v>
      </c>
      <c r="AN364" s="1" t="s">
        <v>400</v>
      </c>
      <c r="AO364" s="1" t="s">
        <v>5478</v>
      </c>
      <c r="AP364" s="1">
        <v>0</v>
      </c>
      <c r="AQ364" s="1" t="s">
        <v>1250</v>
      </c>
      <c r="AR364" s="1" t="s">
        <v>1251</v>
      </c>
      <c r="AS364" s="1" t="s">
        <v>1252</v>
      </c>
      <c r="AT364" s="1" t="s">
        <v>330</v>
      </c>
      <c r="AU364" s="1">
        <v>1008</v>
      </c>
      <c r="AV364" s="1">
        <v>1</v>
      </c>
      <c r="AW364" s="1" t="s">
        <v>5471</v>
      </c>
      <c r="AX364" s="1" t="s">
        <v>5475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1009</v>
      </c>
      <c r="B365" s="1" t="s">
        <v>4224</v>
      </c>
      <c r="C365" s="9" t="s">
        <v>195</v>
      </c>
      <c r="D365" s="1" t="s">
        <v>195</v>
      </c>
      <c r="E365" s="1"/>
      <c r="F365" s="1"/>
      <c r="G365" s="1" t="s">
        <v>4225</v>
      </c>
      <c r="H365" s="1" t="s">
        <v>4226</v>
      </c>
      <c r="I365" s="1" t="s">
        <v>4227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1415</v>
      </c>
      <c r="AK365" s="1" t="s">
        <v>1416</v>
      </c>
      <c r="AL365" s="1">
        <v>13</v>
      </c>
      <c r="AM365" s="1" t="s">
        <v>1889</v>
      </c>
      <c r="AN365" s="1" t="s">
        <v>5031</v>
      </c>
      <c r="AO365" s="1" t="s">
        <v>4901</v>
      </c>
      <c r="AP365" s="1">
        <v>0</v>
      </c>
      <c r="AQ365" s="1" t="s">
        <v>4826</v>
      </c>
      <c r="AR365" s="1" t="s">
        <v>1169</v>
      </c>
      <c r="AS365" s="1" t="s">
        <v>1170</v>
      </c>
      <c r="AT365" s="1" t="s">
        <v>330</v>
      </c>
      <c r="AU365" s="1">
        <v>1009</v>
      </c>
      <c r="AV365" s="1">
        <v>1</v>
      </c>
      <c r="AW365" s="1" t="s">
        <v>5246</v>
      </c>
      <c r="AX365" s="1" t="s">
        <v>5479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1010</v>
      </c>
      <c r="B366" s="1" t="s">
        <v>4228</v>
      </c>
      <c r="C366" s="9" t="s">
        <v>196</v>
      </c>
      <c r="D366" s="1" t="s">
        <v>196</v>
      </c>
      <c r="E366" s="1"/>
      <c r="F366" s="1"/>
      <c r="G366" s="1" t="s">
        <v>4229</v>
      </c>
      <c r="H366" s="1" t="s">
        <v>4230</v>
      </c>
      <c r="I366" s="1" t="s">
        <v>4231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330</v>
      </c>
      <c r="AK366" s="1" t="s">
        <v>1417</v>
      </c>
      <c r="AL366" s="1">
        <v>13</v>
      </c>
      <c r="AM366" s="1" t="s">
        <v>1889</v>
      </c>
      <c r="AN366" s="1" t="s">
        <v>4945</v>
      </c>
      <c r="AO366" s="1" t="s">
        <v>4959</v>
      </c>
      <c r="AP366" s="1">
        <v>0</v>
      </c>
      <c r="AQ366" s="1" t="s">
        <v>4826</v>
      </c>
      <c r="AR366" s="1" t="s">
        <v>1169</v>
      </c>
      <c r="AS366" s="1" t="s">
        <v>1170</v>
      </c>
      <c r="AT366" s="1" t="s">
        <v>330</v>
      </c>
      <c r="AU366" s="1">
        <v>1010</v>
      </c>
      <c r="AV366" s="1">
        <v>1</v>
      </c>
      <c r="AW366" s="1" t="s">
        <v>5246</v>
      </c>
      <c r="AX366" s="1" t="s">
        <v>5475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1017</v>
      </c>
      <c r="B367" s="1" t="s">
        <v>4232</v>
      </c>
      <c r="C367" s="9" t="s">
        <v>1743</v>
      </c>
      <c r="D367" s="1" t="s">
        <v>1743</v>
      </c>
      <c r="E367" s="1"/>
      <c r="F367" s="1"/>
      <c r="G367" s="1" t="s">
        <v>4233</v>
      </c>
      <c r="H367" s="1" t="s">
        <v>4234</v>
      </c>
      <c r="I367" s="1" t="s">
        <v>4235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1418</v>
      </c>
      <c r="AK367" s="1" t="s">
        <v>1419</v>
      </c>
      <c r="AL367" s="1">
        <v>13</v>
      </c>
      <c r="AM367" s="1" t="s">
        <v>1889</v>
      </c>
      <c r="AN367" s="1" t="s">
        <v>4821</v>
      </c>
      <c r="AO367" s="1" t="s">
        <v>5141</v>
      </c>
      <c r="AP367" s="1">
        <v>0</v>
      </c>
      <c r="AQ367" s="1" t="s">
        <v>4826</v>
      </c>
      <c r="AR367" s="1" t="s">
        <v>1794</v>
      </c>
      <c r="AS367" s="1" t="s">
        <v>4845</v>
      </c>
      <c r="AT367" s="1" t="s">
        <v>330</v>
      </c>
      <c r="AU367" s="1">
        <v>1003</v>
      </c>
      <c r="AV367" s="1">
        <v>1</v>
      </c>
      <c r="AW367" s="1" t="s">
        <v>5480</v>
      </c>
      <c r="AX367" s="1" t="s">
        <v>5481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1018</v>
      </c>
      <c r="B368" s="1" t="s">
        <v>4236</v>
      </c>
      <c r="C368" s="9" t="s">
        <v>738</v>
      </c>
      <c r="D368" s="1" t="s">
        <v>4237</v>
      </c>
      <c r="E368" s="1"/>
      <c r="F368" s="1"/>
      <c r="G368" s="1" t="s">
        <v>4238</v>
      </c>
      <c r="H368" s="1" t="s">
        <v>4239</v>
      </c>
      <c r="I368" s="1" t="s">
        <v>4240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1420</v>
      </c>
      <c r="AK368" s="1" t="s">
        <v>1421</v>
      </c>
      <c r="AL368" s="1">
        <v>13</v>
      </c>
      <c r="AM368" s="1" t="s">
        <v>1889</v>
      </c>
      <c r="AN368" s="1" t="s">
        <v>5482</v>
      </c>
      <c r="AO368" s="1" t="s">
        <v>5038</v>
      </c>
      <c r="AP368" s="1">
        <v>0</v>
      </c>
      <c r="AQ368" s="1" t="s">
        <v>1168</v>
      </c>
      <c r="AR368" s="1" t="s">
        <v>1169</v>
      </c>
      <c r="AS368" s="1" t="s">
        <v>4845</v>
      </c>
      <c r="AT368" s="1" t="s">
        <v>330</v>
      </c>
      <c r="AU368" s="1">
        <v>1006</v>
      </c>
      <c r="AV368" s="1">
        <v>1</v>
      </c>
      <c r="AW368" s="1" t="s">
        <v>5480</v>
      </c>
      <c r="AX368" s="1" t="s">
        <v>1422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1019</v>
      </c>
      <c r="B369" s="1" t="s">
        <v>4241</v>
      </c>
      <c r="C369" s="9" t="s">
        <v>728</v>
      </c>
      <c r="D369" s="1" t="s">
        <v>728</v>
      </c>
      <c r="E369" s="1"/>
      <c r="F369" s="1"/>
      <c r="G369" s="1" t="s">
        <v>4242</v>
      </c>
      <c r="H369" s="1" t="s">
        <v>4243</v>
      </c>
      <c r="I369" s="1" t="s">
        <v>4244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1423</v>
      </c>
      <c r="AK369" s="1" t="s">
        <v>1424</v>
      </c>
      <c r="AL369" s="1">
        <v>13</v>
      </c>
      <c r="AM369" s="1" t="s">
        <v>356</v>
      </c>
      <c r="AN369" s="1" t="s">
        <v>390</v>
      </c>
      <c r="AO369" s="1" t="s">
        <v>4959</v>
      </c>
      <c r="AP369" s="1">
        <v>0</v>
      </c>
      <c r="AQ369" s="1" t="s">
        <v>1179</v>
      </c>
      <c r="AR369" s="1" t="s">
        <v>1794</v>
      </c>
      <c r="AS369" s="1" t="s">
        <v>1180</v>
      </c>
      <c r="AT369" s="1" t="s">
        <v>330</v>
      </c>
      <c r="AU369" s="1">
        <v>224</v>
      </c>
      <c r="AV369" s="1">
        <v>1</v>
      </c>
      <c r="AW369" s="1" t="s">
        <v>5480</v>
      </c>
      <c r="AX369" s="1" t="s">
        <v>5483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1020</v>
      </c>
      <c r="B370" s="1" t="s">
        <v>4245</v>
      </c>
      <c r="C370" s="9" t="s">
        <v>743</v>
      </c>
      <c r="D370" s="1" t="s">
        <v>743</v>
      </c>
      <c r="E370" s="1"/>
      <c r="F370" s="1"/>
      <c r="G370" s="1" t="s">
        <v>4246</v>
      </c>
      <c r="H370" s="1" t="s">
        <v>4247</v>
      </c>
      <c r="I370" s="1" t="s">
        <v>4248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1425</v>
      </c>
      <c r="AK370" s="1" t="s">
        <v>1426</v>
      </c>
      <c r="AL370" s="1">
        <v>13</v>
      </c>
      <c r="AM370" s="1" t="s">
        <v>4846</v>
      </c>
      <c r="AN370" s="1" t="s">
        <v>4918</v>
      </c>
      <c r="AO370" s="1" t="s">
        <v>4929</v>
      </c>
      <c r="AP370" s="1">
        <v>0</v>
      </c>
      <c r="AQ370" s="1" t="s">
        <v>1190</v>
      </c>
      <c r="AR370" s="1" t="s">
        <v>1191</v>
      </c>
      <c r="AS370" s="1" t="s">
        <v>4923</v>
      </c>
      <c r="AT370" s="1" t="s">
        <v>330</v>
      </c>
      <c r="AU370" s="1">
        <v>1005</v>
      </c>
      <c r="AV370" s="1">
        <v>1</v>
      </c>
      <c r="AW370" s="1" t="s">
        <v>5480</v>
      </c>
      <c r="AX370" s="1" t="s">
        <v>1422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1021</v>
      </c>
      <c r="B371" s="1" t="s">
        <v>4249</v>
      </c>
      <c r="C371" s="9" t="s">
        <v>744</v>
      </c>
      <c r="D371" s="1" t="s">
        <v>744</v>
      </c>
      <c r="E371" s="1"/>
      <c r="F371" s="1"/>
      <c r="G371" s="1" t="s">
        <v>4250</v>
      </c>
      <c r="H371" s="1" t="s">
        <v>4251</v>
      </c>
      <c r="I371" s="1" t="s">
        <v>4252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1427</v>
      </c>
      <c r="AK371" s="1" t="s">
        <v>1428</v>
      </c>
      <c r="AL371" s="1">
        <v>18</v>
      </c>
      <c r="AM371" s="1" t="s">
        <v>4942</v>
      </c>
      <c r="AN371" s="1" t="s">
        <v>5021</v>
      </c>
      <c r="AO371" s="1" t="s">
        <v>5239</v>
      </c>
      <c r="AP371" s="1">
        <v>0</v>
      </c>
      <c r="AQ371" s="1" t="s">
        <v>1217</v>
      </c>
      <c r="AR371" s="1" t="s">
        <v>1218</v>
      </c>
      <c r="AS371" s="1" t="s">
        <v>4996</v>
      </c>
      <c r="AT371" s="1" t="s">
        <v>330</v>
      </c>
      <c r="AU371" s="1">
        <v>238</v>
      </c>
      <c r="AV371" s="1">
        <v>1</v>
      </c>
      <c r="AW371" s="1" t="s">
        <v>5480</v>
      </c>
      <c r="AX371" s="1" t="s">
        <v>5483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1022</v>
      </c>
      <c r="B372" s="1" t="s">
        <v>4253</v>
      </c>
      <c r="C372" s="9" t="s">
        <v>742</v>
      </c>
      <c r="D372" s="1" t="s">
        <v>742</v>
      </c>
      <c r="E372" s="1"/>
      <c r="F372" s="1"/>
      <c r="G372" s="1" t="s">
        <v>4254</v>
      </c>
      <c r="H372" s="1" t="s">
        <v>4255</v>
      </c>
      <c r="I372" s="1" t="s">
        <v>4256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1429</v>
      </c>
      <c r="AK372" s="1" t="s">
        <v>1430</v>
      </c>
      <c r="AL372" s="1">
        <v>8</v>
      </c>
      <c r="AM372" s="1" t="s">
        <v>4800</v>
      </c>
      <c r="AN372" s="1" t="s">
        <v>4812</v>
      </c>
      <c r="AO372" s="1" t="s">
        <v>5351</v>
      </c>
      <c r="AP372" s="1">
        <v>0</v>
      </c>
      <c r="AQ372" s="1" t="s">
        <v>5151</v>
      </c>
      <c r="AR372" s="1" t="s">
        <v>1251</v>
      </c>
      <c r="AS372" s="1" t="s">
        <v>1252</v>
      </c>
      <c r="AT372" s="1" t="s">
        <v>330</v>
      </c>
      <c r="AU372" s="1">
        <v>1008</v>
      </c>
      <c r="AV372" s="1">
        <v>1</v>
      </c>
      <c r="AW372" s="1" t="s">
        <v>5480</v>
      </c>
      <c r="AX372" s="1" t="s">
        <v>5484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1023</v>
      </c>
      <c r="B373" s="1" t="s">
        <v>4257</v>
      </c>
      <c r="C373" s="9" t="s">
        <v>249</v>
      </c>
      <c r="D373" s="1" t="s">
        <v>249</v>
      </c>
      <c r="E373" s="1"/>
      <c r="F373" s="1"/>
      <c r="G373" s="1" t="s">
        <v>4258</v>
      </c>
      <c r="H373" s="1" t="s">
        <v>4259</v>
      </c>
      <c r="I373" s="1" t="s">
        <v>4260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1431</v>
      </c>
      <c r="AK373" s="1" t="s">
        <v>1432</v>
      </c>
      <c r="AL373" s="1">
        <v>14</v>
      </c>
      <c r="AM373" s="1" t="s">
        <v>400</v>
      </c>
      <c r="AN373" s="1" t="s">
        <v>5485</v>
      </c>
      <c r="AO373" s="1" t="s">
        <v>4987</v>
      </c>
      <c r="AP373" s="1">
        <v>0</v>
      </c>
      <c r="AQ373" s="1" t="s">
        <v>1179</v>
      </c>
      <c r="AR373" s="1" t="s">
        <v>1169</v>
      </c>
      <c r="AS373" s="1" t="s">
        <v>1796</v>
      </c>
      <c r="AT373" s="1" t="s">
        <v>330</v>
      </c>
      <c r="AU373" s="1">
        <v>1027</v>
      </c>
      <c r="AV373" s="1">
        <v>1</v>
      </c>
      <c r="AW373" s="1" t="s">
        <v>5486</v>
      </c>
      <c r="AX373" s="1" t="s">
        <v>5487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1024</v>
      </c>
      <c r="B374" s="1" t="s">
        <v>4261</v>
      </c>
      <c r="C374" s="9" t="s">
        <v>250</v>
      </c>
      <c r="D374" s="1" t="s">
        <v>250</v>
      </c>
      <c r="E374" s="1"/>
      <c r="F374" s="1"/>
      <c r="G374" s="1" t="s">
        <v>4262</v>
      </c>
      <c r="H374" s="1" t="s">
        <v>4263</v>
      </c>
      <c r="I374" s="1" t="s">
        <v>4264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330</v>
      </c>
      <c r="AK374" s="1" t="s">
        <v>1433</v>
      </c>
      <c r="AL374" s="1">
        <v>17</v>
      </c>
      <c r="AM374" s="1" t="s">
        <v>4846</v>
      </c>
      <c r="AN374" s="1" t="s">
        <v>5488</v>
      </c>
      <c r="AO374" s="1" t="s">
        <v>4929</v>
      </c>
      <c r="AP374" s="1">
        <v>0</v>
      </c>
      <c r="AQ374" s="1" t="s">
        <v>1190</v>
      </c>
      <c r="AR374" s="1" t="s">
        <v>1191</v>
      </c>
      <c r="AS374" s="1" t="s">
        <v>4923</v>
      </c>
      <c r="AT374" s="1" t="s">
        <v>330</v>
      </c>
      <c r="AU374" s="1">
        <v>1005</v>
      </c>
      <c r="AV374" s="1">
        <v>1</v>
      </c>
      <c r="AW374" s="1" t="s">
        <v>5486</v>
      </c>
      <c r="AX374" s="1" t="s">
        <v>5489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1025</v>
      </c>
      <c r="B375" s="1" t="s">
        <v>4265</v>
      </c>
      <c r="C375" s="9" t="s">
        <v>251</v>
      </c>
      <c r="D375" s="1" t="s">
        <v>251</v>
      </c>
      <c r="E375" s="1"/>
      <c r="F375" s="1"/>
      <c r="G375" s="1" t="s">
        <v>4266</v>
      </c>
      <c r="H375" s="1" t="s">
        <v>4267</v>
      </c>
      <c r="I375" s="1" t="s">
        <v>4268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1434</v>
      </c>
      <c r="AK375" s="1" t="s">
        <v>1435</v>
      </c>
      <c r="AL375" s="1">
        <v>8</v>
      </c>
      <c r="AM375" s="1" t="s">
        <v>4800</v>
      </c>
      <c r="AN375" s="1" t="s">
        <v>5490</v>
      </c>
      <c r="AO375" s="1" t="s">
        <v>5026</v>
      </c>
      <c r="AP375" s="1">
        <v>0</v>
      </c>
      <c r="AQ375" s="1" t="s">
        <v>1250</v>
      </c>
      <c r="AR375" s="1" t="s">
        <v>5144</v>
      </c>
      <c r="AS375" s="1" t="s">
        <v>1252</v>
      </c>
      <c r="AT375" s="1" t="s">
        <v>330</v>
      </c>
      <c r="AU375" s="1">
        <v>1008</v>
      </c>
      <c r="AV375" s="1">
        <v>1</v>
      </c>
      <c r="AW375" s="1" t="s">
        <v>5486</v>
      </c>
      <c r="AX375" s="1" t="s">
        <v>5489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1026</v>
      </c>
      <c r="B376" s="1" t="s">
        <v>4269</v>
      </c>
      <c r="C376" s="9" t="s">
        <v>252</v>
      </c>
      <c r="D376" s="1" t="s">
        <v>252</v>
      </c>
      <c r="E376" s="1"/>
      <c r="F376" s="1"/>
      <c r="G376" s="1" t="s">
        <v>4270</v>
      </c>
      <c r="H376" s="1" t="s">
        <v>4271</v>
      </c>
      <c r="I376" s="1" t="s">
        <v>4272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1436</v>
      </c>
      <c r="AK376" s="1" t="s">
        <v>1437</v>
      </c>
      <c r="AL376" s="1">
        <v>18</v>
      </c>
      <c r="AM376" s="1" t="s">
        <v>4942</v>
      </c>
      <c r="AN376" s="1" t="s">
        <v>5021</v>
      </c>
      <c r="AO376" s="1" t="s">
        <v>5239</v>
      </c>
      <c r="AP376" s="1">
        <v>0</v>
      </c>
      <c r="AQ376" s="1" t="s">
        <v>1217</v>
      </c>
      <c r="AR376" s="1" t="s">
        <v>4995</v>
      </c>
      <c r="AS376" s="1" t="s">
        <v>1219</v>
      </c>
      <c r="AT376" s="1" t="s">
        <v>330</v>
      </c>
      <c r="AU376" s="1">
        <v>1026</v>
      </c>
      <c r="AV376" s="1">
        <v>1</v>
      </c>
      <c r="AW376" s="1" t="s">
        <v>5486</v>
      </c>
      <c r="AX376" s="1" t="s">
        <v>5491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1027</v>
      </c>
      <c r="B377" s="1" t="s">
        <v>4273</v>
      </c>
      <c r="C377" s="9" t="s">
        <v>253</v>
      </c>
      <c r="D377" s="1" t="s">
        <v>253</v>
      </c>
      <c r="E377" s="1"/>
      <c r="F377" s="1"/>
      <c r="G377" s="1" t="s">
        <v>4274</v>
      </c>
      <c r="H377" s="1" t="s">
        <v>4275</v>
      </c>
      <c r="I377" s="1" t="s">
        <v>4276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1438</v>
      </c>
      <c r="AK377" s="1" t="s">
        <v>1439</v>
      </c>
      <c r="AL377" s="1">
        <v>13</v>
      </c>
      <c r="AM377" s="1" t="s">
        <v>400</v>
      </c>
      <c r="AN377" s="1" t="s">
        <v>5468</v>
      </c>
      <c r="AO377" s="1" t="s">
        <v>5342</v>
      </c>
      <c r="AP377" s="1">
        <v>0</v>
      </c>
      <c r="AQ377" s="1" t="s">
        <v>1180</v>
      </c>
      <c r="AR377" s="1" t="s">
        <v>1204</v>
      </c>
      <c r="AS377" s="1" t="s">
        <v>1795</v>
      </c>
      <c r="AT377" s="1" t="s">
        <v>330</v>
      </c>
      <c r="AU377" s="1">
        <v>1007</v>
      </c>
      <c r="AV377" s="1">
        <v>1</v>
      </c>
      <c r="AW377" s="1" t="s">
        <v>5486</v>
      </c>
      <c r="AX377" s="1" t="s">
        <v>5491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1028</v>
      </c>
      <c r="B378" s="1" t="s">
        <v>4277</v>
      </c>
      <c r="C378" s="9" t="s">
        <v>1739</v>
      </c>
      <c r="D378" s="1" t="s">
        <v>4278</v>
      </c>
      <c r="E378" s="1"/>
      <c r="F378" s="1"/>
      <c r="G378" s="1" t="s">
        <v>4279</v>
      </c>
      <c r="H378" s="1" t="s">
        <v>4280</v>
      </c>
      <c r="I378" s="1" t="s">
        <v>4281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330</v>
      </c>
      <c r="AK378" s="1" t="s">
        <v>1440</v>
      </c>
      <c r="AL378" s="1">
        <v>13</v>
      </c>
      <c r="AM378" s="1" t="s">
        <v>4874</v>
      </c>
      <c r="AN378" s="1" t="s">
        <v>5077</v>
      </c>
      <c r="AO378" s="1" t="s">
        <v>5268</v>
      </c>
      <c r="AP378" s="1">
        <v>0</v>
      </c>
      <c r="AQ378" s="1" t="s">
        <v>1795</v>
      </c>
      <c r="AR378" s="1" t="s">
        <v>1794</v>
      </c>
      <c r="AS378" s="1" t="s">
        <v>1796</v>
      </c>
      <c r="AT378" s="1" t="s">
        <v>330</v>
      </c>
      <c r="AU378" s="1">
        <v>1028</v>
      </c>
      <c r="AV378" s="1">
        <v>1</v>
      </c>
      <c r="AW378" s="1" t="s">
        <v>5492</v>
      </c>
      <c r="AX378" s="1" t="s">
        <v>5493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1029</v>
      </c>
      <c r="B379" s="1" t="s">
        <v>4282</v>
      </c>
      <c r="C379" s="9" t="s">
        <v>1740</v>
      </c>
      <c r="D379" s="1" t="s">
        <v>4283</v>
      </c>
      <c r="E379" s="1"/>
      <c r="F379" s="1"/>
      <c r="G379" s="1" t="s">
        <v>4284</v>
      </c>
      <c r="H379" s="1" t="s">
        <v>4285</v>
      </c>
      <c r="I379" s="1" t="s">
        <v>4286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330</v>
      </c>
      <c r="AK379" s="1" t="s">
        <v>1441</v>
      </c>
      <c r="AL379" s="1">
        <v>13</v>
      </c>
      <c r="AM379" s="1" t="s">
        <v>4803</v>
      </c>
      <c r="AN379" s="1" t="s">
        <v>4913</v>
      </c>
      <c r="AO379" s="1" t="s">
        <v>5253</v>
      </c>
      <c r="AP379" s="1">
        <v>0</v>
      </c>
      <c r="AQ379" s="1" t="s">
        <v>1796</v>
      </c>
      <c r="AR379" s="1" t="s">
        <v>4952</v>
      </c>
      <c r="AS379" s="1" t="s">
        <v>1795</v>
      </c>
      <c r="AT379" s="1" t="s">
        <v>330</v>
      </c>
      <c r="AU379" s="1">
        <v>1029</v>
      </c>
      <c r="AV379" s="1">
        <v>1</v>
      </c>
      <c r="AW379" s="1" t="s">
        <v>5492</v>
      </c>
      <c r="AX379" s="1" t="s">
        <v>5494</v>
      </c>
      <c r="AY379" s="1">
        <v>7</v>
      </c>
      <c r="AZ379" s="1">
        <v>0</v>
      </c>
      <c r="BA379" s="1" t="s">
        <v>330</v>
      </c>
      <c r="BB379" s="1" t="s">
        <v>330</v>
      </c>
      <c r="BC379" s="1" t="s">
        <v>5470</v>
      </c>
      <c r="BD379" s="1">
        <v>0</v>
      </c>
      <c r="BE379" s="1"/>
    </row>
    <row r="380" spans="1:57" x14ac:dyDescent="0.25">
      <c r="A380" s="1">
        <v>1030</v>
      </c>
      <c r="B380" s="1" t="s">
        <v>4287</v>
      </c>
      <c r="C380" s="9" t="s">
        <v>1742</v>
      </c>
      <c r="D380" s="1" t="s">
        <v>4288</v>
      </c>
      <c r="E380" s="1"/>
      <c r="F380" s="1"/>
      <c r="G380" s="1" t="s">
        <v>4289</v>
      </c>
      <c r="H380" s="1" t="s">
        <v>4290</v>
      </c>
      <c r="I380" s="1" t="s">
        <v>4291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1442</v>
      </c>
      <c r="AK380" s="1" t="s">
        <v>330</v>
      </c>
      <c r="AL380" s="1">
        <v>13</v>
      </c>
      <c r="AM380" s="1" t="s">
        <v>400</v>
      </c>
      <c r="AN380" s="1" t="s">
        <v>4879</v>
      </c>
      <c r="AO380" s="1" t="s">
        <v>5495</v>
      </c>
      <c r="AP380" s="1">
        <v>0</v>
      </c>
      <c r="AQ380" s="1" t="s">
        <v>1795</v>
      </c>
      <c r="AR380" s="1" t="s">
        <v>1169</v>
      </c>
      <c r="AS380" s="1" t="s">
        <v>1180</v>
      </c>
      <c r="AT380" s="1" t="s">
        <v>330</v>
      </c>
      <c r="AU380" s="1">
        <v>48</v>
      </c>
      <c r="AV380" s="1">
        <v>1</v>
      </c>
      <c r="AW380" s="1" t="s">
        <v>5496</v>
      </c>
      <c r="AX380" s="1" t="s">
        <v>5497</v>
      </c>
      <c r="AY380" s="1">
        <v>7</v>
      </c>
      <c r="AZ380" s="1">
        <v>0</v>
      </c>
      <c r="BA380" s="1" t="s">
        <v>330</v>
      </c>
      <c r="BB380" s="1" t="s">
        <v>330</v>
      </c>
      <c r="BC380" s="1" t="s">
        <v>5470</v>
      </c>
      <c r="BD380" s="1">
        <v>0</v>
      </c>
      <c r="BE380" s="1"/>
    </row>
    <row r="381" spans="1:57" x14ac:dyDescent="0.25">
      <c r="A381" s="1">
        <v>1031</v>
      </c>
      <c r="B381" s="1" t="s">
        <v>4292</v>
      </c>
      <c r="C381" s="9" t="s">
        <v>1443</v>
      </c>
      <c r="D381" s="1" t="s">
        <v>4293</v>
      </c>
      <c r="E381" s="1"/>
      <c r="F381" s="1"/>
      <c r="G381" s="1" t="s">
        <v>4294</v>
      </c>
      <c r="H381" s="1" t="s">
        <v>4295</v>
      </c>
      <c r="I381" s="1" t="s">
        <v>4296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1444</v>
      </c>
      <c r="AK381" s="1" t="s">
        <v>1445</v>
      </c>
      <c r="AL381" s="1">
        <v>13</v>
      </c>
      <c r="AM381" s="1" t="s">
        <v>4846</v>
      </c>
      <c r="AN381" s="1" t="s">
        <v>4918</v>
      </c>
      <c r="AO381" s="1" t="s">
        <v>4929</v>
      </c>
      <c r="AP381" s="1">
        <v>0</v>
      </c>
      <c r="AQ381" s="1" t="s">
        <v>1190</v>
      </c>
      <c r="AR381" s="1" t="s">
        <v>1191</v>
      </c>
      <c r="AS381" s="1" t="s">
        <v>4923</v>
      </c>
      <c r="AT381" s="1" t="s">
        <v>330</v>
      </c>
      <c r="AU381" s="1">
        <v>150</v>
      </c>
      <c r="AV381" s="1">
        <v>1</v>
      </c>
      <c r="AW381" s="1" t="s">
        <v>5496</v>
      </c>
      <c r="AX381" s="1" t="s">
        <v>5498</v>
      </c>
      <c r="AY381" s="1">
        <v>7</v>
      </c>
      <c r="AZ381" s="1">
        <v>0</v>
      </c>
      <c r="BA381" s="1" t="s">
        <v>330</v>
      </c>
      <c r="BB381" s="1" t="s">
        <v>330</v>
      </c>
      <c r="BC381" s="1" t="s">
        <v>5470</v>
      </c>
      <c r="BD381" s="1">
        <v>0</v>
      </c>
      <c r="BE381" s="1"/>
    </row>
    <row r="382" spans="1:57" x14ac:dyDescent="0.25">
      <c r="A382" s="1">
        <v>1032</v>
      </c>
      <c r="B382" s="1" t="s">
        <v>4297</v>
      </c>
      <c r="C382" s="9" t="s">
        <v>1446</v>
      </c>
      <c r="D382" s="1" t="s">
        <v>1446</v>
      </c>
      <c r="E382" s="1"/>
      <c r="F382" s="1"/>
      <c r="G382" s="1" t="s">
        <v>4298</v>
      </c>
      <c r="H382" s="1" t="s">
        <v>4299</v>
      </c>
      <c r="I382" s="1" t="s">
        <v>4300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330</v>
      </c>
      <c r="AK382" s="1" t="s">
        <v>1447</v>
      </c>
      <c r="AL382" s="1">
        <v>13</v>
      </c>
      <c r="AM382" s="1" t="s">
        <v>400</v>
      </c>
      <c r="AN382" s="1" t="s">
        <v>5468</v>
      </c>
      <c r="AO382" s="1" t="s">
        <v>5342</v>
      </c>
      <c r="AP382" s="1">
        <v>0</v>
      </c>
      <c r="AQ382" s="1" t="s">
        <v>1180</v>
      </c>
      <c r="AR382" s="1" t="s">
        <v>1204</v>
      </c>
      <c r="AS382" s="1" t="s">
        <v>1795</v>
      </c>
      <c r="AT382" s="1" t="s">
        <v>330</v>
      </c>
      <c r="AU382" s="1">
        <v>241</v>
      </c>
      <c r="AV382" s="1">
        <v>1</v>
      </c>
      <c r="AW382" s="1" t="s">
        <v>5496</v>
      </c>
      <c r="AX382" s="1" t="s">
        <v>5499</v>
      </c>
      <c r="AY382" s="1">
        <v>7</v>
      </c>
      <c r="AZ382" s="1">
        <v>0</v>
      </c>
      <c r="BA382" s="1" t="s">
        <v>330</v>
      </c>
      <c r="BB382" s="1" t="s">
        <v>330</v>
      </c>
      <c r="BC382" s="1" t="s">
        <v>5470</v>
      </c>
      <c r="BD382" s="1">
        <v>0</v>
      </c>
      <c r="BE382" s="1"/>
    </row>
    <row r="383" spans="1:57" x14ac:dyDescent="0.25">
      <c r="A383" s="1">
        <v>1033</v>
      </c>
      <c r="B383" s="1" t="s">
        <v>4301</v>
      </c>
      <c r="C383" s="9" t="s">
        <v>1741</v>
      </c>
      <c r="D383" s="1" t="s">
        <v>1741</v>
      </c>
      <c r="E383" s="1"/>
      <c r="F383" s="1"/>
      <c r="G383" s="1" t="s">
        <v>4302</v>
      </c>
      <c r="H383" s="1" t="s">
        <v>4303</v>
      </c>
      <c r="I383" s="1" t="s">
        <v>4304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1448</v>
      </c>
      <c r="AK383" s="1" t="s">
        <v>1449</v>
      </c>
      <c r="AL383" s="1">
        <v>18</v>
      </c>
      <c r="AM383" s="1" t="s">
        <v>4942</v>
      </c>
      <c r="AN383" s="1" t="s">
        <v>5021</v>
      </c>
      <c r="AO383" s="1" t="s">
        <v>5239</v>
      </c>
      <c r="AP383" s="1">
        <v>0</v>
      </c>
      <c r="AQ383" s="1" t="s">
        <v>1217</v>
      </c>
      <c r="AR383" s="1" t="s">
        <v>4995</v>
      </c>
      <c r="AS383" s="1" t="s">
        <v>1219</v>
      </c>
      <c r="AT383" s="1" t="s">
        <v>330</v>
      </c>
      <c r="AU383" s="1">
        <v>48</v>
      </c>
      <c r="AV383" s="1">
        <v>1</v>
      </c>
      <c r="AW383" s="1" t="s">
        <v>5496</v>
      </c>
      <c r="AX383" s="1" t="s">
        <v>5497</v>
      </c>
      <c r="AY383" s="1">
        <v>7</v>
      </c>
      <c r="AZ383" s="1">
        <v>0</v>
      </c>
      <c r="BA383" s="1" t="s">
        <v>330</v>
      </c>
      <c r="BB383" s="1" t="s">
        <v>330</v>
      </c>
      <c r="BC383" s="1" t="s">
        <v>5470</v>
      </c>
      <c r="BD383" s="1">
        <v>0</v>
      </c>
      <c r="BE383" s="1"/>
    </row>
    <row r="384" spans="1:57" x14ac:dyDescent="0.25">
      <c r="A384" s="1">
        <v>1034</v>
      </c>
      <c r="B384" s="1" t="s">
        <v>4305</v>
      </c>
      <c r="C384" s="9" t="s">
        <v>1450</v>
      </c>
      <c r="D384" s="1" t="s">
        <v>4306</v>
      </c>
      <c r="E384" s="1"/>
      <c r="F384" s="1"/>
      <c r="G384" s="1" t="s">
        <v>4307</v>
      </c>
      <c r="H384" s="1" t="s">
        <v>4308</v>
      </c>
      <c r="I384" s="1" t="s">
        <v>4309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1451</v>
      </c>
      <c r="AK384" s="1" t="s">
        <v>1452</v>
      </c>
      <c r="AL384" s="1">
        <v>8</v>
      </c>
      <c r="AM384" s="1" t="s">
        <v>4800</v>
      </c>
      <c r="AN384" s="1" t="s">
        <v>4812</v>
      </c>
      <c r="AO384" s="1" t="s">
        <v>5351</v>
      </c>
      <c r="AP384" s="1">
        <v>0</v>
      </c>
      <c r="AQ384" s="1" t="s">
        <v>1250</v>
      </c>
      <c r="AR384" s="1" t="s">
        <v>1251</v>
      </c>
      <c r="AS384" s="1" t="s">
        <v>5146</v>
      </c>
      <c r="AT384" s="1" t="s">
        <v>330</v>
      </c>
      <c r="AU384" s="1">
        <v>238</v>
      </c>
      <c r="AV384" s="1">
        <v>1</v>
      </c>
      <c r="AW384" s="1" t="s">
        <v>5496</v>
      </c>
      <c r="AX384" s="1" t="s">
        <v>5499</v>
      </c>
      <c r="AY384" s="1">
        <v>7</v>
      </c>
      <c r="AZ384" s="1">
        <v>0</v>
      </c>
      <c r="BA384" s="1" t="s">
        <v>330</v>
      </c>
      <c r="BB384" s="1" t="s">
        <v>330</v>
      </c>
      <c r="BC384" s="1" t="s">
        <v>5470</v>
      </c>
      <c r="BD384" s="1">
        <v>0</v>
      </c>
      <c r="BE384" s="1"/>
    </row>
    <row r="385" spans="1:57" x14ac:dyDescent="0.25">
      <c r="A385" s="1">
        <v>20001</v>
      </c>
      <c r="B385" s="1" t="s">
        <v>4310</v>
      </c>
      <c r="C385" s="9" t="s">
        <v>268</v>
      </c>
      <c r="D385" s="1" t="s">
        <v>4311</v>
      </c>
      <c r="E385" s="1"/>
      <c r="F385" s="1"/>
      <c r="G385" s="1" t="s">
        <v>4312</v>
      </c>
      <c r="H385" s="1" t="s">
        <v>4313</v>
      </c>
      <c r="I385" s="1" t="s">
        <v>4314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330</v>
      </c>
      <c r="AK385" s="1" t="s">
        <v>330</v>
      </c>
      <c r="AL385" s="1">
        <v>13</v>
      </c>
      <c r="AM385" s="1" t="s">
        <v>1889</v>
      </c>
      <c r="AN385" s="1" t="s">
        <v>4824</v>
      </c>
      <c r="AO385" s="1" t="s">
        <v>5150</v>
      </c>
      <c r="AP385" s="1">
        <v>0</v>
      </c>
      <c r="AQ385" s="1" t="s">
        <v>4826</v>
      </c>
      <c r="AR385" s="1" t="s">
        <v>1169</v>
      </c>
      <c r="AS385" s="1" t="s">
        <v>1170</v>
      </c>
      <c r="AT385" s="1" t="s">
        <v>330</v>
      </c>
      <c r="AU385" s="1">
        <v>1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3001</v>
      </c>
      <c r="BA385" s="1" t="s">
        <v>330</v>
      </c>
      <c r="BB385" s="1" t="s">
        <v>372</v>
      </c>
      <c r="BC385" s="1" t="s">
        <v>4804</v>
      </c>
      <c r="BD385" s="1">
        <v>0</v>
      </c>
      <c r="BE385" s="1"/>
    </row>
    <row r="386" spans="1:57" x14ac:dyDescent="0.25">
      <c r="A386" s="1">
        <v>20002</v>
      </c>
      <c r="B386" s="1" t="s">
        <v>4315</v>
      </c>
      <c r="C386" s="9" t="s">
        <v>254</v>
      </c>
      <c r="D386" s="1" t="s">
        <v>254</v>
      </c>
      <c r="E386" s="1"/>
      <c r="F386" s="1"/>
      <c r="G386" s="1" t="s">
        <v>4316</v>
      </c>
      <c r="H386" s="1" t="s">
        <v>4317</v>
      </c>
      <c r="I386" s="1" t="s">
        <v>4318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1214</v>
      </c>
      <c r="AK386" s="1" t="s">
        <v>1454</v>
      </c>
      <c r="AL386" s="1">
        <v>13</v>
      </c>
      <c r="AM386" s="1" t="s">
        <v>1889</v>
      </c>
      <c r="AN386" s="1" t="s">
        <v>4824</v>
      </c>
      <c r="AO386" s="1" t="s">
        <v>5501</v>
      </c>
      <c r="AP386" s="1">
        <v>0</v>
      </c>
      <c r="AQ386" s="1" t="s">
        <v>1168</v>
      </c>
      <c r="AR386" s="1" t="s">
        <v>1794</v>
      </c>
      <c r="AS386" s="1" t="s">
        <v>1170</v>
      </c>
      <c r="AT386" s="1" t="s">
        <v>330</v>
      </c>
      <c r="AU386" s="1">
        <v>2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3002</v>
      </c>
      <c r="BA386" s="1" t="s">
        <v>330</v>
      </c>
      <c r="BB386" s="1" t="s">
        <v>4830</v>
      </c>
      <c r="BC386" s="1" t="s">
        <v>4804</v>
      </c>
      <c r="BD386" s="1">
        <v>0</v>
      </c>
      <c r="BE386" s="1"/>
    </row>
    <row r="387" spans="1:57" x14ac:dyDescent="0.25">
      <c r="A387" s="1">
        <v>20005</v>
      </c>
      <c r="B387" s="1" t="s">
        <v>4319</v>
      </c>
      <c r="C387" s="9" t="s">
        <v>793</v>
      </c>
      <c r="D387" s="1" t="s">
        <v>793</v>
      </c>
      <c r="E387" s="1"/>
      <c r="F387" s="1"/>
      <c r="G387" s="1" t="s">
        <v>4320</v>
      </c>
      <c r="H387" s="1" t="s">
        <v>4321</v>
      </c>
      <c r="I387" s="1" t="s">
        <v>4322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1455</v>
      </c>
      <c r="AK387" s="1" t="s">
        <v>330</v>
      </c>
      <c r="AL387" s="1">
        <v>13</v>
      </c>
      <c r="AM387" s="1" t="s">
        <v>1889</v>
      </c>
      <c r="AN387" s="1" t="s">
        <v>4838</v>
      </c>
      <c r="AO387" s="1" t="s">
        <v>5502</v>
      </c>
      <c r="AP387" s="1">
        <v>0</v>
      </c>
      <c r="AQ387" s="1" t="s">
        <v>4826</v>
      </c>
      <c r="AR387" s="1" t="s">
        <v>1169</v>
      </c>
      <c r="AS387" s="1" t="s">
        <v>1170</v>
      </c>
      <c r="AT387" s="1" t="s">
        <v>330</v>
      </c>
      <c r="AU387" s="1">
        <v>5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3005</v>
      </c>
      <c r="BA387" s="1" t="s">
        <v>330</v>
      </c>
      <c r="BB387" s="1" t="s">
        <v>4840</v>
      </c>
      <c r="BC387" s="1" t="s">
        <v>4841</v>
      </c>
      <c r="BD387" s="1">
        <v>0</v>
      </c>
      <c r="BE387" s="1"/>
    </row>
    <row r="388" spans="1:57" x14ac:dyDescent="0.25">
      <c r="A388" s="1">
        <v>20007</v>
      </c>
      <c r="B388" s="1" t="s">
        <v>4323</v>
      </c>
      <c r="C388" s="9" t="s">
        <v>746</v>
      </c>
      <c r="D388" s="1" t="s">
        <v>4324</v>
      </c>
      <c r="E388" s="1"/>
      <c r="F388" s="1"/>
      <c r="G388" s="1" t="s">
        <v>4325</v>
      </c>
      <c r="H388" s="1" t="s">
        <v>4326</v>
      </c>
      <c r="I388" s="1" t="s">
        <v>4327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330</v>
      </c>
      <c r="AK388" s="1" t="s">
        <v>1456</v>
      </c>
      <c r="AL388" s="1">
        <v>13</v>
      </c>
      <c r="AM388" s="1" t="s">
        <v>1889</v>
      </c>
      <c r="AN388" s="1" t="s">
        <v>4831</v>
      </c>
      <c r="AO388" s="1" t="s">
        <v>5503</v>
      </c>
      <c r="AP388" s="1">
        <v>0</v>
      </c>
      <c r="AQ388" s="1" t="s">
        <v>4826</v>
      </c>
      <c r="AR388" s="1" t="s">
        <v>1169</v>
      </c>
      <c r="AS388" s="1" t="s">
        <v>4845</v>
      </c>
      <c r="AT388" s="1" t="s">
        <v>330</v>
      </c>
      <c r="AU388" s="1">
        <v>7</v>
      </c>
      <c r="AV388" s="1">
        <v>0</v>
      </c>
      <c r="AW388" s="1" t="s">
        <v>4575</v>
      </c>
      <c r="AX388" s="1" t="s">
        <v>5500</v>
      </c>
      <c r="AY388" s="1">
        <v>5</v>
      </c>
      <c r="AZ388" s="1">
        <v>3007</v>
      </c>
      <c r="BA388" s="1" t="s">
        <v>330</v>
      </c>
      <c r="BB388" s="1" t="s">
        <v>486</v>
      </c>
      <c r="BC388" s="1" t="s">
        <v>4841</v>
      </c>
      <c r="BD388" s="1">
        <v>0</v>
      </c>
      <c r="BE388" s="1"/>
    </row>
    <row r="389" spans="1:57" x14ac:dyDescent="0.25">
      <c r="A389" s="1">
        <v>20008</v>
      </c>
      <c r="B389" s="1" t="s">
        <v>4328</v>
      </c>
      <c r="C389" s="9" t="s">
        <v>954</v>
      </c>
      <c r="D389" s="1" t="s">
        <v>4329</v>
      </c>
      <c r="E389" s="1"/>
      <c r="F389" s="1"/>
      <c r="G389" s="1" t="s">
        <v>4330</v>
      </c>
      <c r="H389" s="1" t="s">
        <v>4331</v>
      </c>
      <c r="I389" s="1" t="s">
        <v>4332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1457</v>
      </c>
      <c r="AK389" s="1" t="s">
        <v>1458</v>
      </c>
      <c r="AL389" s="1">
        <v>13</v>
      </c>
      <c r="AM389" s="1" t="s">
        <v>1889</v>
      </c>
      <c r="AN389" s="1" t="s">
        <v>5504</v>
      </c>
      <c r="AO389" s="1" t="s">
        <v>5505</v>
      </c>
      <c r="AP389" s="1">
        <v>0</v>
      </c>
      <c r="AQ389" s="1" t="s">
        <v>4826</v>
      </c>
      <c r="AR389" s="1" t="s">
        <v>1794</v>
      </c>
      <c r="AS389" s="1" t="s">
        <v>1170</v>
      </c>
      <c r="AT389" s="1" t="s">
        <v>330</v>
      </c>
      <c r="AU389" s="1">
        <v>8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3008</v>
      </c>
      <c r="BA389" s="1" t="s">
        <v>330</v>
      </c>
      <c r="BB389" s="1" t="s">
        <v>4850</v>
      </c>
      <c r="BC389" s="1" t="s">
        <v>4841</v>
      </c>
      <c r="BD389" s="1">
        <v>0</v>
      </c>
      <c r="BE389" s="1"/>
    </row>
    <row r="390" spans="1:57" x14ac:dyDescent="0.25">
      <c r="A390" s="1">
        <v>20012</v>
      </c>
      <c r="B390" s="1" t="s">
        <v>4333</v>
      </c>
      <c r="C390" s="9" t="s">
        <v>752</v>
      </c>
      <c r="D390" s="1" t="s">
        <v>752</v>
      </c>
      <c r="E390" s="1"/>
      <c r="F390" s="1"/>
      <c r="G390" s="1" t="s">
        <v>4334</v>
      </c>
      <c r="H390" s="1" t="s">
        <v>4335</v>
      </c>
      <c r="I390" s="1" t="s">
        <v>4336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330</v>
      </c>
      <c r="AK390" s="1" t="s">
        <v>330</v>
      </c>
      <c r="AL390" s="1">
        <v>13</v>
      </c>
      <c r="AM390" s="1" t="s">
        <v>1889</v>
      </c>
      <c r="AN390" s="1" t="s">
        <v>4860</v>
      </c>
      <c r="AO390" s="1" t="s">
        <v>5506</v>
      </c>
      <c r="AP390" s="1">
        <v>0</v>
      </c>
      <c r="AQ390" s="1" t="s">
        <v>4826</v>
      </c>
      <c r="AR390" s="1" t="s">
        <v>1169</v>
      </c>
      <c r="AS390" s="1" t="s">
        <v>1170</v>
      </c>
      <c r="AT390" s="1" t="s">
        <v>330</v>
      </c>
      <c r="AU390" s="1">
        <v>12</v>
      </c>
      <c r="AV390" s="1">
        <v>0</v>
      </c>
      <c r="AW390" s="1" t="s">
        <v>4575</v>
      </c>
      <c r="AX390" s="1" t="s">
        <v>5500</v>
      </c>
      <c r="AY390" s="1">
        <v>4</v>
      </c>
      <c r="AZ390" s="1">
        <v>3012</v>
      </c>
      <c r="BA390" s="1" t="s">
        <v>330</v>
      </c>
      <c r="BB390" s="1" t="s">
        <v>4862</v>
      </c>
      <c r="BC390" s="1" t="s">
        <v>4853</v>
      </c>
      <c r="BD390" s="1">
        <v>0</v>
      </c>
      <c r="BE390" s="1"/>
    </row>
    <row r="391" spans="1:57" x14ac:dyDescent="0.25">
      <c r="A391" s="1">
        <v>20021</v>
      </c>
      <c r="B391" s="1" t="s">
        <v>5813</v>
      </c>
      <c r="C391" s="9" t="s">
        <v>5867</v>
      </c>
      <c r="D391" s="1" t="s">
        <v>5814</v>
      </c>
      <c r="E391" s="1"/>
      <c r="F391" s="1"/>
      <c r="G391" s="1" t="s">
        <v>5815</v>
      </c>
      <c r="H391" s="1" t="s">
        <v>5816</v>
      </c>
      <c r="I391" s="1" t="s">
        <v>5817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5818</v>
      </c>
      <c r="AK391" s="1" t="s">
        <v>5819</v>
      </c>
      <c r="AL391" s="1">
        <v>13</v>
      </c>
      <c r="AM391" s="1" t="s">
        <v>400</v>
      </c>
      <c r="AN391" s="1" t="s">
        <v>5820</v>
      </c>
      <c r="AO391" s="1" t="s">
        <v>5248</v>
      </c>
      <c r="AP391" s="1">
        <v>0</v>
      </c>
      <c r="AQ391" s="1" t="s">
        <v>1179</v>
      </c>
      <c r="AR391" s="1" t="s">
        <v>1794</v>
      </c>
      <c r="AS391" s="1" t="s">
        <v>1796</v>
      </c>
      <c r="AT391" s="1" t="s">
        <v>330</v>
      </c>
      <c r="AU391" s="1">
        <v>21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3021</v>
      </c>
      <c r="BA391" s="1" t="s">
        <v>330</v>
      </c>
      <c r="BB391" s="1" t="s">
        <v>4889</v>
      </c>
      <c r="BC391" s="1" t="s">
        <v>4841</v>
      </c>
      <c r="BD391" s="1">
        <v>0</v>
      </c>
      <c r="BE391" s="1"/>
    </row>
    <row r="392" spans="1:57" x14ac:dyDescent="0.25">
      <c r="A392" s="1">
        <v>20026</v>
      </c>
      <c r="B392" s="1" t="s">
        <v>4337</v>
      </c>
      <c r="C392" s="9" t="s">
        <v>1459</v>
      </c>
      <c r="D392" s="1" t="s">
        <v>1459</v>
      </c>
      <c r="E392" s="1"/>
      <c r="F392" s="1"/>
      <c r="G392" s="1" t="s">
        <v>4338</v>
      </c>
      <c r="H392" s="1" t="s">
        <v>4339</v>
      </c>
      <c r="I392" s="1" t="s">
        <v>4340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1460</v>
      </c>
      <c r="AK392" s="1" t="s">
        <v>330</v>
      </c>
      <c r="AL392" s="1">
        <v>13</v>
      </c>
      <c r="AM392" s="1" t="s">
        <v>356</v>
      </c>
      <c r="AN392" s="1" t="s">
        <v>390</v>
      </c>
      <c r="AO392" s="1" t="s">
        <v>5507</v>
      </c>
      <c r="AP392" s="1">
        <v>0</v>
      </c>
      <c r="AQ392" s="1" t="s">
        <v>1795</v>
      </c>
      <c r="AR392" s="1" t="s">
        <v>1169</v>
      </c>
      <c r="AS392" s="1" t="s">
        <v>1796</v>
      </c>
      <c r="AT392" s="1" t="s">
        <v>330</v>
      </c>
      <c r="AU392" s="1">
        <v>26</v>
      </c>
      <c r="AV392" s="1">
        <v>0</v>
      </c>
      <c r="AW392" s="1" t="s">
        <v>4575</v>
      </c>
      <c r="AX392" s="1" t="s">
        <v>5500</v>
      </c>
      <c r="AY392" s="1">
        <v>5</v>
      </c>
      <c r="AZ392" s="1">
        <v>3026</v>
      </c>
      <c r="BA392" s="1" t="s">
        <v>330</v>
      </c>
      <c r="BB392" s="1" t="s">
        <v>4897</v>
      </c>
      <c r="BC392" s="1" t="s">
        <v>4853</v>
      </c>
      <c r="BD392" s="1">
        <v>0</v>
      </c>
      <c r="BE392" s="1"/>
    </row>
    <row r="393" spans="1:57" x14ac:dyDescent="0.25">
      <c r="A393" s="1">
        <v>20029</v>
      </c>
      <c r="B393" s="1" t="s">
        <v>4341</v>
      </c>
      <c r="C393" s="9" t="s">
        <v>837</v>
      </c>
      <c r="D393" s="1" t="s">
        <v>4342</v>
      </c>
      <c r="E393" s="1"/>
      <c r="F393" s="1"/>
      <c r="G393" s="1" t="s">
        <v>4343</v>
      </c>
      <c r="H393" s="1" t="s">
        <v>4344</v>
      </c>
      <c r="I393" s="1" t="s">
        <v>4345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1461</v>
      </c>
      <c r="AK393" s="1" t="s">
        <v>330</v>
      </c>
      <c r="AL393" s="1">
        <v>13</v>
      </c>
      <c r="AM393" s="1" t="s">
        <v>4874</v>
      </c>
      <c r="AN393" s="1" t="s">
        <v>4879</v>
      </c>
      <c r="AO393" s="1" t="s">
        <v>5508</v>
      </c>
      <c r="AP393" s="1">
        <v>0</v>
      </c>
      <c r="AQ393" s="1" t="s">
        <v>1179</v>
      </c>
      <c r="AR393" s="1" t="s">
        <v>1169</v>
      </c>
      <c r="AS393" s="1" t="s">
        <v>1796</v>
      </c>
      <c r="AT393" s="1" t="s">
        <v>330</v>
      </c>
      <c r="AU393" s="1">
        <v>29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3029</v>
      </c>
      <c r="BA393" s="1" t="s">
        <v>330</v>
      </c>
      <c r="BB393" s="1" t="s">
        <v>4906</v>
      </c>
      <c r="BC393" s="1" t="s">
        <v>330</v>
      </c>
      <c r="BD393" s="1">
        <v>0</v>
      </c>
      <c r="BE393" s="1"/>
    </row>
    <row r="394" spans="1:57" x14ac:dyDescent="0.25">
      <c r="A394" s="1">
        <v>20031</v>
      </c>
      <c r="B394" s="1" t="s">
        <v>4346</v>
      </c>
      <c r="C394" s="9" t="s">
        <v>720</v>
      </c>
      <c r="D394" s="1" t="s">
        <v>4347</v>
      </c>
      <c r="E394" s="1"/>
      <c r="F394" s="1"/>
      <c r="G394" s="1" t="s">
        <v>4348</v>
      </c>
      <c r="H394" s="1" t="s">
        <v>4349</v>
      </c>
      <c r="I394" s="1" t="s">
        <v>4350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330</v>
      </c>
      <c r="AK394" s="1" t="s">
        <v>1187</v>
      </c>
      <c r="AL394" s="1">
        <v>13</v>
      </c>
      <c r="AM394" s="1" t="s">
        <v>356</v>
      </c>
      <c r="AN394" s="1" t="s">
        <v>390</v>
      </c>
      <c r="AO394" s="1" t="s">
        <v>5161</v>
      </c>
      <c r="AP394" s="1">
        <v>0</v>
      </c>
      <c r="AQ394" s="1" t="s">
        <v>1179</v>
      </c>
      <c r="AR394" s="1" t="s">
        <v>1169</v>
      </c>
      <c r="AS394" s="1" t="s">
        <v>1796</v>
      </c>
      <c r="AT394" s="1" t="s">
        <v>330</v>
      </c>
      <c r="AU394" s="1">
        <v>31</v>
      </c>
      <c r="AV394" s="1">
        <v>0</v>
      </c>
      <c r="AW394" s="1" t="s">
        <v>4575</v>
      </c>
      <c r="AX394" s="1" t="s">
        <v>5500</v>
      </c>
      <c r="AY394" s="1">
        <v>4</v>
      </c>
      <c r="AZ394" s="1">
        <v>3031</v>
      </c>
      <c r="BA394" s="1" t="s">
        <v>330</v>
      </c>
      <c r="BB394" s="1" t="s">
        <v>330</v>
      </c>
      <c r="BC394" s="1" t="s">
        <v>4823</v>
      </c>
      <c r="BD394" s="1">
        <v>0</v>
      </c>
      <c r="BE394" s="1"/>
    </row>
    <row r="395" spans="1:57" x14ac:dyDescent="0.25">
      <c r="A395" s="1">
        <v>20032</v>
      </c>
      <c r="B395" s="1" t="s">
        <v>4351</v>
      </c>
      <c r="C395" s="9" t="s">
        <v>255</v>
      </c>
      <c r="D395" s="1" t="s">
        <v>4352</v>
      </c>
      <c r="E395" s="1"/>
      <c r="F395" s="1"/>
      <c r="G395" s="1" t="s">
        <v>4353</v>
      </c>
      <c r="H395" s="1" t="s">
        <v>4354</v>
      </c>
      <c r="I395" s="1" t="s">
        <v>4355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1214</v>
      </c>
      <c r="AK395" s="1" t="s">
        <v>1462</v>
      </c>
      <c r="AL395" s="1">
        <v>13</v>
      </c>
      <c r="AM395" s="1" t="s">
        <v>4874</v>
      </c>
      <c r="AN395" s="1" t="s">
        <v>5509</v>
      </c>
      <c r="AO395" s="1" t="s">
        <v>5510</v>
      </c>
      <c r="AP395" s="1">
        <v>0</v>
      </c>
      <c r="AQ395" s="1" t="s">
        <v>1179</v>
      </c>
      <c r="AR395" s="1" t="s">
        <v>1169</v>
      </c>
      <c r="AS395" s="1" t="s">
        <v>1796</v>
      </c>
      <c r="AT395" s="1" t="s">
        <v>330</v>
      </c>
      <c r="AU395" s="1">
        <v>32</v>
      </c>
      <c r="AV395" s="1">
        <v>0</v>
      </c>
      <c r="AW395" s="1" t="s">
        <v>4575</v>
      </c>
      <c r="AX395" s="1" t="s">
        <v>5500</v>
      </c>
      <c r="AY395" s="1">
        <v>4</v>
      </c>
      <c r="AZ395" s="1">
        <v>3032</v>
      </c>
      <c r="BA395" s="1" t="s">
        <v>330</v>
      </c>
      <c r="BB395" s="1" t="s">
        <v>372</v>
      </c>
      <c r="BC395" s="1" t="s">
        <v>330</v>
      </c>
      <c r="BD395" s="1">
        <v>0</v>
      </c>
      <c r="BE395" s="1"/>
    </row>
    <row r="396" spans="1:57" x14ac:dyDescent="0.25">
      <c r="A396" s="1">
        <v>20037</v>
      </c>
      <c r="B396" s="1" t="s">
        <v>4356</v>
      </c>
      <c r="C396" s="9" t="s">
        <v>256</v>
      </c>
      <c r="D396" s="1" t="s">
        <v>256</v>
      </c>
      <c r="E396" s="1"/>
      <c r="F396" s="1"/>
      <c r="G396" s="1" t="s">
        <v>4357</v>
      </c>
      <c r="H396" s="1" t="s">
        <v>4358</v>
      </c>
      <c r="I396" s="1" t="s">
        <v>4359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330</v>
      </c>
      <c r="AK396" s="1" t="s">
        <v>330</v>
      </c>
      <c r="AL396" s="1">
        <v>13</v>
      </c>
      <c r="AM396" s="1" t="s">
        <v>4846</v>
      </c>
      <c r="AN396" s="1" t="s">
        <v>4918</v>
      </c>
      <c r="AO396" s="1" t="s">
        <v>4916</v>
      </c>
      <c r="AP396" s="1">
        <v>0</v>
      </c>
      <c r="AQ396" s="1" t="s">
        <v>1190</v>
      </c>
      <c r="AR396" s="1" t="s">
        <v>4919</v>
      </c>
      <c r="AS396" s="1" t="s">
        <v>1192</v>
      </c>
      <c r="AT396" s="1" t="s">
        <v>330</v>
      </c>
      <c r="AU396" s="1">
        <v>37</v>
      </c>
      <c r="AV396" s="1">
        <v>0</v>
      </c>
      <c r="AW396" s="1" t="s">
        <v>4575</v>
      </c>
      <c r="AX396" s="1" t="s">
        <v>5500</v>
      </c>
      <c r="AY396" s="1">
        <v>4</v>
      </c>
      <c r="AZ396" s="1">
        <v>3037</v>
      </c>
      <c r="BA396" s="1" t="s">
        <v>330</v>
      </c>
      <c r="BB396" s="1" t="s">
        <v>4920</v>
      </c>
      <c r="BC396" s="1" t="s">
        <v>4804</v>
      </c>
      <c r="BD396" s="1">
        <v>0</v>
      </c>
      <c r="BE396" s="1"/>
    </row>
    <row r="397" spans="1:57" x14ac:dyDescent="0.25">
      <c r="A397" s="1">
        <v>20039</v>
      </c>
      <c r="B397" s="1" t="s">
        <v>4360</v>
      </c>
      <c r="C397" s="9" t="s">
        <v>1730</v>
      </c>
      <c r="D397" s="1" t="s">
        <v>4361</v>
      </c>
      <c r="E397" s="1"/>
      <c r="F397" s="1"/>
      <c r="G397" s="1" t="s">
        <v>4362</v>
      </c>
      <c r="H397" s="1" t="s">
        <v>4363</v>
      </c>
      <c r="I397" s="1" t="s">
        <v>4364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1195</v>
      </c>
      <c r="AK397" s="1" t="s">
        <v>1463</v>
      </c>
      <c r="AL397" s="1">
        <v>13</v>
      </c>
      <c r="AM397" s="1" t="s">
        <v>4846</v>
      </c>
      <c r="AN397" s="1" t="s">
        <v>4894</v>
      </c>
      <c r="AO397" s="1" t="s">
        <v>4929</v>
      </c>
      <c r="AP397" s="1">
        <v>0</v>
      </c>
      <c r="AQ397" s="1" t="s">
        <v>1190</v>
      </c>
      <c r="AR397" s="1" t="s">
        <v>4919</v>
      </c>
      <c r="AS397" s="1" t="s">
        <v>4923</v>
      </c>
      <c r="AT397" s="1" t="s">
        <v>330</v>
      </c>
      <c r="AU397" s="1">
        <v>39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3039</v>
      </c>
      <c r="BA397" s="1" t="s">
        <v>330</v>
      </c>
      <c r="BB397" s="1" t="s">
        <v>4924</v>
      </c>
      <c r="BC397" s="1" t="s">
        <v>4841</v>
      </c>
      <c r="BD397" s="1">
        <v>0</v>
      </c>
      <c r="BE397" s="1"/>
    </row>
    <row r="398" spans="1:57" x14ac:dyDescent="0.25">
      <c r="A398" s="1">
        <v>20044</v>
      </c>
      <c r="B398" s="1" t="s">
        <v>4365</v>
      </c>
      <c r="C398" s="9" t="s">
        <v>1731</v>
      </c>
      <c r="D398" s="1" t="s">
        <v>1731</v>
      </c>
      <c r="E398" s="1"/>
      <c r="F398" s="1"/>
      <c r="G398" s="1" t="s">
        <v>4366</v>
      </c>
      <c r="H398" s="1" t="s">
        <v>4367</v>
      </c>
      <c r="I398" s="1" t="s">
        <v>4368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1464</v>
      </c>
      <c r="AK398" s="1" t="s">
        <v>1465</v>
      </c>
      <c r="AL398" s="1">
        <v>13</v>
      </c>
      <c r="AM398" s="1" t="s">
        <v>4846</v>
      </c>
      <c r="AN398" s="1" t="s">
        <v>467</v>
      </c>
      <c r="AO398" s="1" t="s">
        <v>4916</v>
      </c>
      <c r="AP398" s="1">
        <v>0</v>
      </c>
      <c r="AQ398" s="1" t="s">
        <v>1190</v>
      </c>
      <c r="AR398" s="1" t="s">
        <v>1191</v>
      </c>
      <c r="AS398" s="1" t="s">
        <v>4923</v>
      </c>
      <c r="AT398" s="1" t="s">
        <v>330</v>
      </c>
      <c r="AU398" s="1">
        <v>44</v>
      </c>
      <c r="AV398" s="1">
        <v>0</v>
      </c>
      <c r="AW398" s="1" t="s">
        <v>4575</v>
      </c>
      <c r="AX398" s="1" t="s">
        <v>5500</v>
      </c>
      <c r="AY398" s="1">
        <v>4</v>
      </c>
      <c r="AZ398" s="1">
        <v>3044</v>
      </c>
      <c r="BA398" s="1" t="s">
        <v>330</v>
      </c>
      <c r="BB398" s="1" t="s">
        <v>4928</v>
      </c>
      <c r="BC398" s="1" t="s">
        <v>4841</v>
      </c>
      <c r="BD398" s="1">
        <v>0</v>
      </c>
      <c r="BE398" s="1"/>
    </row>
    <row r="399" spans="1:57" x14ac:dyDescent="0.25">
      <c r="A399" s="1">
        <v>20049</v>
      </c>
      <c r="B399" s="1" t="s">
        <v>4369</v>
      </c>
      <c r="C399" s="9" t="s">
        <v>838</v>
      </c>
      <c r="D399" s="1" t="s">
        <v>4370</v>
      </c>
      <c r="E399" s="1"/>
      <c r="F399" s="1"/>
      <c r="G399" s="1" t="s">
        <v>4371</v>
      </c>
      <c r="H399" s="1" t="s">
        <v>4372</v>
      </c>
      <c r="I399" s="1" t="s">
        <v>4373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1466</v>
      </c>
      <c r="AK399" s="1" t="s">
        <v>330</v>
      </c>
      <c r="AL399" s="1">
        <v>13</v>
      </c>
      <c r="AM399" s="1" t="s">
        <v>4846</v>
      </c>
      <c r="AN399" s="1" t="s">
        <v>4857</v>
      </c>
      <c r="AO399" s="1" t="s">
        <v>4916</v>
      </c>
      <c r="AP399" s="1">
        <v>0</v>
      </c>
      <c r="AQ399" s="1" t="s">
        <v>1797</v>
      </c>
      <c r="AR399" s="1" t="s">
        <v>1191</v>
      </c>
      <c r="AS399" s="1" t="s">
        <v>1192</v>
      </c>
      <c r="AT399" s="1" t="s">
        <v>330</v>
      </c>
      <c r="AU399" s="1">
        <v>49</v>
      </c>
      <c r="AV399" s="1">
        <v>0</v>
      </c>
      <c r="AW399" s="1" t="s">
        <v>4932</v>
      </c>
      <c r="AX399" s="1" t="s">
        <v>5500</v>
      </c>
      <c r="AY399" s="1">
        <v>4</v>
      </c>
      <c r="AZ399" s="1">
        <v>3049</v>
      </c>
      <c r="BA399" s="1" t="s">
        <v>330</v>
      </c>
      <c r="BB399" s="1" t="s">
        <v>4934</v>
      </c>
      <c r="BC399" s="1" t="s">
        <v>4867</v>
      </c>
      <c r="BD399" s="1">
        <v>0</v>
      </c>
      <c r="BE399" s="1"/>
    </row>
    <row r="400" spans="1:57" x14ac:dyDescent="0.25">
      <c r="A400" s="1">
        <v>20051</v>
      </c>
      <c r="B400" s="1" t="s">
        <v>4374</v>
      </c>
      <c r="C400" s="9" t="s">
        <v>1467</v>
      </c>
      <c r="D400" s="1" t="s">
        <v>1467</v>
      </c>
      <c r="E400" s="1"/>
      <c r="F400" s="1"/>
      <c r="G400" s="1" t="s">
        <v>4375</v>
      </c>
      <c r="H400" s="1" t="s">
        <v>4376</v>
      </c>
      <c r="I400" s="1" t="s">
        <v>4377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330</v>
      </c>
      <c r="AK400" s="1" t="s">
        <v>330</v>
      </c>
      <c r="AL400" s="1">
        <v>13</v>
      </c>
      <c r="AM400" s="1" t="s">
        <v>4846</v>
      </c>
      <c r="AN400" s="1" t="s">
        <v>4918</v>
      </c>
      <c r="AO400" s="1" t="s">
        <v>4916</v>
      </c>
      <c r="AP400" s="1">
        <v>0</v>
      </c>
      <c r="AQ400" s="1" t="s">
        <v>1190</v>
      </c>
      <c r="AR400" s="1" t="s">
        <v>4919</v>
      </c>
      <c r="AS400" s="1" t="s">
        <v>1192</v>
      </c>
      <c r="AT400" s="1" t="s">
        <v>330</v>
      </c>
      <c r="AU400" s="1">
        <v>51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3051</v>
      </c>
      <c r="BA400" s="1" t="s">
        <v>330</v>
      </c>
      <c r="BB400" s="1" t="s">
        <v>4936</v>
      </c>
      <c r="BC400" s="1" t="s">
        <v>4937</v>
      </c>
      <c r="BD400" s="1">
        <v>0</v>
      </c>
      <c r="BE400" s="1"/>
    </row>
    <row r="401" spans="1:57" x14ac:dyDescent="0.25">
      <c r="A401" s="1">
        <v>20053</v>
      </c>
      <c r="B401" s="1" t="s">
        <v>4378</v>
      </c>
      <c r="C401" s="9" t="s">
        <v>1732</v>
      </c>
      <c r="D401" s="1" t="s">
        <v>1732</v>
      </c>
      <c r="E401" s="1"/>
      <c r="F401" s="1"/>
      <c r="G401" s="1" t="s">
        <v>4379</v>
      </c>
      <c r="H401" s="1" t="s">
        <v>4380</v>
      </c>
      <c r="I401" s="1" t="s">
        <v>4381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1468</v>
      </c>
      <c r="AK401" s="1" t="s">
        <v>1469</v>
      </c>
      <c r="AL401" s="1">
        <v>13</v>
      </c>
      <c r="AM401" s="1" t="s">
        <v>4846</v>
      </c>
      <c r="AN401" s="1" t="s">
        <v>4913</v>
      </c>
      <c r="AO401" s="1" t="s">
        <v>5511</v>
      </c>
      <c r="AP401" s="1">
        <v>0</v>
      </c>
      <c r="AQ401" s="1" t="s">
        <v>1797</v>
      </c>
      <c r="AR401" s="1" t="s">
        <v>1191</v>
      </c>
      <c r="AS401" s="1" t="s">
        <v>1192</v>
      </c>
      <c r="AT401" s="1" t="s">
        <v>330</v>
      </c>
      <c r="AU401" s="1">
        <v>53</v>
      </c>
      <c r="AV401" s="1">
        <v>0</v>
      </c>
      <c r="AW401" s="1" t="s">
        <v>4575</v>
      </c>
      <c r="AX401" s="1" t="s">
        <v>5500</v>
      </c>
      <c r="AY401" s="1">
        <v>6</v>
      </c>
      <c r="AZ401" s="1">
        <v>3053</v>
      </c>
      <c r="BA401" s="1" t="s">
        <v>330</v>
      </c>
      <c r="BB401" s="1" t="s">
        <v>4940</v>
      </c>
      <c r="BC401" s="1" t="s">
        <v>330</v>
      </c>
      <c r="BD401" s="1">
        <v>0</v>
      </c>
      <c r="BE401" s="1"/>
    </row>
    <row r="402" spans="1:57" x14ac:dyDescent="0.25">
      <c r="A402" s="1">
        <v>20055</v>
      </c>
      <c r="B402" s="1" t="s">
        <v>4382</v>
      </c>
      <c r="C402" s="9" t="s">
        <v>257</v>
      </c>
      <c r="D402" s="1" t="s">
        <v>257</v>
      </c>
      <c r="E402" s="1"/>
      <c r="F402" s="1"/>
      <c r="G402" s="1" t="s">
        <v>4383</v>
      </c>
      <c r="H402" s="1" t="s">
        <v>4384</v>
      </c>
      <c r="I402" s="1" t="s">
        <v>4385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1470</v>
      </c>
      <c r="AK402" s="1" t="s">
        <v>1453</v>
      </c>
      <c r="AL402" s="1">
        <v>13</v>
      </c>
      <c r="AM402" s="1" t="s">
        <v>4874</v>
      </c>
      <c r="AN402" s="1" t="s">
        <v>4945</v>
      </c>
      <c r="AO402" s="1" t="s">
        <v>5512</v>
      </c>
      <c r="AP402" s="1">
        <v>0</v>
      </c>
      <c r="AQ402" s="1" t="s">
        <v>1180</v>
      </c>
      <c r="AR402" s="1" t="s">
        <v>1204</v>
      </c>
      <c r="AS402" s="1" t="s">
        <v>1795</v>
      </c>
      <c r="AT402" s="1" t="s">
        <v>330</v>
      </c>
      <c r="AU402" s="1">
        <v>55</v>
      </c>
      <c r="AV402" s="1">
        <v>0</v>
      </c>
      <c r="AW402" s="1" t="s">
        <v>4575</v>
      </c>
      <c r="AX402" s="1" t="s">
        <v>5500</v>
      </c>
      <c r="AY402" s="1">
        <v>5</v>
      </c>
      <c r="AZ402" s="1">
        <v>3055</v>
      </c>
      <c r="BA402" s="1" t="s">
        <v>330</v>
      </c>
      <c r="BB402" s="1" t="s">
        <v>4947</v>
      </c>
      <c r="BC402" s="1" t="s">
        <v>5233</v>
      </c>
      <c r="BD402" s="1">
        <v>0</v>
      </c>
      <c r="BE402" s="1"/>
    </row>
    <row r="403" spans="1:57" x14ac:dyDescent="0.25">
      <c r="A403" s="1">
        <v>20056</v>
      </c>
      <c r="B403" s="1" t="s">
        <v>4386</v>
      </c>
      <c r="C403" s="9" t="s">
        <v>258</v>
      </c>
      <c r="D403" s="1" t="s">
        <v>258</v>
      </c>
      <c r="E403" s="1"/>
      <c r="F403" s="1"/>
      <c r="G403" s="1" t="s">
        <v>4387</v>
      </c>
      <c r="H403" s="1" t="s">
        <v>4388</v>
      </c>
      <c r="I403" s="1" t="s">
        <v>4389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1471</v>
      </c>
      <c r="AK403" s="1" t="s">
        <v>1472</v>
      </c>
      <c r="AL403" s="1">
        <v>13</v>
      </c>
      <c r="AM403" s="1" t="s">
        <v>4803</v>
      </c>
      <c r="AN403" s="1" t="s">
        <v>4948</v>
      </c>
      <c r="AO403" s="1" t="s">
        <v>4964</v>
      </c>
      <c r="AP403" s="1">
        <v>0</v>
      </c>
      <c r="AQ403" s="1" t="s">
        <v>4950</v>
      </c>
      <c r="AR403" s="1" t="s">
        <v>4950</v>
      </c>
      <c r="AS403" s="1" t="s">
        <v>1204</v>
      </c>
      <c r="AT403" s="1" t="s">
        <v>330</v>
      </c>
      <c r="AU403" s="1">
        <v>56</v>
      </c>
      <c r="AV403" s="1">
        <v>0</v>
      </c>
      <c r="AW403" s="1" t="s">
        <v>4575</v>
      </c>
      <c r="AX403" s="1" t="s">
        <v>5500</v>
      </c>
      <c r="AY403" s="1">
        <v>5</v>
      </c>
      <c r="AZ403" s="1">
        <v>3056</v>
      </c>
      <c r="BA403" s="1" t="s">
        <v>330</v>
      </c>
      <c r="BB403" s="1" t="s">
        <v>476</v>
      </c>
      <c r="BC403" s="1" t="s">
        <v>4944</v>
      </c>
      <c r="BD403" s="1">
        <v>0</v>
      </c>
      <c r="BE403" s="1"/>
    </row>
    <row r="404" spans="1:57" x14ac:dyDescent="0.25">
      <c r="A404" s="1">
        <v>20057</v>
      </c>
      <c r="B404" s="1" t="s">
        <v>4390</v>
      </c>
      <c r="C404" s="9" t="s">
        <v>1733</v>
      </c>
      <c r="D404" s="1" t="s">
        <v>4391</v>
      </c>
      <c r="E404" s="1"/>
      <c r="F404" s="1"/>
      <c r="G404" s="1" t="s">
        <v>4392</v>
      </c>
      <c r="H404" s="1" t="s">
        <v>4393</v>
      </c>
      <c r="I404" s="1" t="s">
        <v>4394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1473</v>
      </c>
      <c r="AK404" s="1" t="s">
        <v>1474</v>
      </c>
      <c r="AL404" s="1">
        <v>13</v>
      </c>
      <c r="AM404" s="1" t="s">
        <v>4803</v>
      </c>
      <c r="AN404" s="1" t="s">
        <v>4948</v>
      </c>
      <c r="AO404" s="1" t="s">
        <v>5082</v>
      </c>
      <c r="AP404" s="1">
        <v>0</v>
      </c>
      <c r="AQ404" s="1" t="s">
        <v>4950</v>
      </c>
      <c r="AR404" s="1" t="s">
        <v>4950</v>
      </c>
      <c r="AS404" s="1" t="s">
        <v>4952</v>
      </c>
      <c r="AT404" s="1" t="s">
        <v>330</v>
      </c>
      <c r="AU404" s="1">
        <v>57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3057</v>
      </c>
      <c r="BA404" s="1" t="s">
        <v>330</v>
      </c>
      <c r="BB404" s="1" t="s">
        <v>4953</v>
      </c>
      <c r="BC404" s="1" t="s">
        <v>5233</v>
      </c>
      <c r="BD404" s="1">
        <v>0</v>
      </c>
      <c r="BE404" s="1"/>
    </row>
    <row r="405" spans="1:57" x14ac:dyDescent="0.25">
      <c r="A405" s="1">
        <v>20060</v>
      </c>
      <c r="B405" s="1" t="s">
        <v>4395</v>
      </c>
      <c r="C405" s="9" t="s">
        <v>259</v>
      </c>
      <c r="D405" s="1" t="s">
        <v>4396</v>
      </c>
      <c r="E405" s="1"/>
      <c r="F405" s="1"/>
      <c r="G405" s="1" t="s">
        <v>4397</v>
      </c>
      <c r="H405" s="1" t="s">
        <v>4398</v>
      </c>
      <c r="I405" s="1" t="s">
        <v>4399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330</v>
      </c>
      <c r="AK405" s="1" t="s">
        <v>1475</v>
      </c>
      <c r="AL405" s="1">
        <v>13</v>
      </c>
      <c r="AM405" s="1" t="s">
        <v>4803</v>
      </c>
      <c r="AN405" s="1" t="s">
        <v>452</v>
      </c>
      <c r="AO405" s="1" t="s">
        <v>5236</v>
      </c>
      <c r="AP405" s="1">
        <v>0</v>
      </c>
      <c r="AQ405" s="1" t="s">
        <v>1180</v>
      </c>
      <c r="AR405" s="1" t="s">
        <v>4952</v>
      </c>
      <c r="AS405" s="1" t="s">
        <v>1179</v>
      </c>
      <c r="AT405" s="1" t="s">
        <v>330</v>
      </c>
      <c r="AU405" s="1">
        <v>60</v>
      </c>
      <c r="AV405" s="1">
        <v>0</v>
      </c>
      <c r="AW405" s="1" t="s">
        <v>4575</v>
      </c>
      <c r="AX405" s="1" t="s">
        <v>5500</v>
      </c>
      <c r="AY405" s="1">
        <v>5</v>
      </c>
      <c r="AZ405" s="1">
        <v>3060</v>
      </c>
      <c r="BA405" s="1" t="s">
        <v>330</v>
      </c>
      <c r="BB405" s="1" t="s">
        <v>4962</v>
      </c>
      <c r="BC405" s="1" t="s">
        <v>4841</v>
      </c>
      <c r="BD405" s="1">
        <v>0</v>
      </c>
      <c r="BE405" s="1"/>
    </row>
    <row r="406" spans="1:57" x14ac:dyDescent="0.25">
      <c r="A406" s="1">
        <v>20061</v>
      </c>
      <c r="B406" s="1" t="s">
        <v>4400</v>
      </c>
      <c r="C406" s="9" t="s">
        <v>839</v>
      </c>
      <c r="D406" s="1" t="s">
        <v>4401</v>
      </c>
      <c r="E406" s="1"/>
      <c r="F406" s="1"/>
      <c r="G406" s="1" t="s">
        <v>4402</v>
      </c>
      <c r="H406" s="1" t="s">
        <v>4403</v>
      </c>
      <c r="I406" s="1" t="s">
        <v>4404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1214</v>
      </c>
      <c r="AK406" s="1" t="s">
        <v>1476</v>
      </c>
      <c r="AL406" s="1">
        <v>13</v>
      </c>
      <c r="AM406" s="1" t="s">
        <v>400</v>
      </c>
      <c r="AN406" s="1" t="s">
        <v>4857</v>
      </c>
      <c r="AO406" s="1" t="s">
        <v>4963</v>
      </c>
      <c r="AP406" s="1">
        <v>0</v>
      </c>
      <c r="AQ406" s="1" t="s">
        <v>1180</v>
      </c>
      <c r="AR406" s="1" t="s">
        <v>4952</v>
      </c>
      <c r="AS406" s="1" t="s">
        <v>1179</v>
      </c>
      <c r="AT406" s="1" t="s">
        <v>330</v>
      </c>
      <c r="AU406" s="1">
        <v>61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3061</v>
      </c>
      <c r="BA406" s="1" t="s">
        <v>330</v>
      </c>
      <c r="BB406" s="1" t="s">
        <v>4859</v>
      </c>
      <c r="BC406" s="1" t="s">
        <v>4853</v>
      </c>
      <c r="BD406" s="1">
        <v>0</v>
      </c>
      <c r="BE406" s="1"/>
    </row>
    <row r="407" spans="1:57" x14ac:dyDescent="0.25">
      <c r="A407" s="1">
        <v>20063</v>
      </c>
      <c r="B407" s="1" t="s">
        <v>4405</v>
      </c>
      <c r="C407" s="9" t="s">
        <v>1477</v>
      </c>
      <c r="D407" s="1" t="s">
        <v>1477</v>
      </c>
      <c r="E407" s="1"/>
      <c r="F407" s="1"/>
      <c r="G407" s="1" t="s">
        <v>4406</v>
      </c>
      <c r="H407" s="1" t="s">
        <v>4407</v>
      </c>
      <c r="I407" s="1" t="s">
        <v>4408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1478</v>
      </c>
      <c r="AK407" s="1" t="s">
        <v>330</v>
      </c>
      <c r="AL407" s="1">
        <v>13</v>
      </c>
      <c r="AM407" s="1" t="s">
        <v>4803</v>
      </c>
      <c r="AN407" s="1" t="s">
        <v>452</v>
      </c>
      <c r="AO407" s="1" t="s">
        <v>5513</v>
      </c>
      <c r="AP407" s="1">
        <v>0</v>
      </c>
      <c r="AQ407" s="1" t="s">
        <v>1796</v>
      </c>
      <c r="AR407" s="1" t="s">
        <v>1204</v>
      </c>
      <c r="AS407" s="1" t="s">
        <v>1179</v>
      </c>
      <c r="AT407" s="1" t="s">
        <v>330</v>
      </c>
      <c r="AU407" s="1">
        <v>63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3063</v>
      </c>
      <c r="BA407" s="1" t="s">
        <v>330</v>
      </c>
      <c r="BB407" s="1" t="s">
        <v>4967</v>
      </c>
      <c r="BC407" s="1" t="s">
        <v>4853</v>
      </c>
      <c r="BD407" s="1">
        <v>0</v>
      </c>
      <c r="BE407" s="1"/>
    </row>
    <row r="408" spans="1:57" x14ac:dyDescent="0.25">
      <c r="A408" s="1">
        <v>20064</v>
      </c>
      <c r="B408" s="1" t="s">
        <v>4409</v>
      </c>
      <c r="C408" s="9" t="s">
        <v>1479</v>
      </c>
      <c r="D408" s="1" t="s">
        <v>1479</v>
      </c>
      <c r="E408" s="1"/>
      <c r="F408" s="1"/>
      <c r="G408" s="1" t="s">
        <v>4410</v>
      </c>
      <c r="H408" s="1" t="s">
        <v>4411</v>
      </c>
      <c r="I408" s="1" t="s">
        <v>4412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330</v>
      </c>
      <c r="AK408" s="1" t="s">
        <v>1480</v>
      </c>
      <c r="AL408" s="1">
        <v>13</v>
      </c>
      <c r="AM408" s="1" t="s">
        <v>4803</v>
      </c>
      <c r="AN408" s="1" t="s">
        <v>4968</v>
      </c>
      <c r="AO408" s="1" t="s">
        <v>5514</v>
      </c>
      <c r="AP408" s="1">
        <v>0</v>
      </c>
      <c r="AQ408" s="1" t="s">
        <v>1796</v>
      </c>
      <c r="AR408" s="1" t="s">
        <v>1204</v>
      </c>
      <c r="AS408" s="1" t="s">
        <v>1179</v>
      </c>
      <c r="AT408" s="1" t="s">
        <v>330</v>
      </c>
      <c r="AU408" s="1">
        <v>64</v>
      </c>
      <c r="AV408" s="1">
        <v>0</v>
      </c>
      <c r="AW408" s="1" t="s">
        <v>4575</v>
      </c>
      <c r="AX408" s="1" t="s">
        <v>5500</v>
      </c>
      <c r="AY408" s="1">
        <v>5</v>
      </c>
      <c r="AZ408" s="1">
        <v>3064</v>
      </c>
      <c r="BA408" s="1" t="s">
        <v>330</v>
      </c>
      <c r="BB408" s="1" t="s">
        <v>4970</v>
      </c>
      <c r="BC408" s="1" t="s">
        <v>4853</v>
      </c>
      <c r="BD408" s="1">
        <v>0</v>
      </c>
      <c r="BE408" s="1"/>
    </row>
    <row r="409" spans="1:57" x14ac:dyDescent="0.25">
      <c r="A409" s="1">
        <v>20065</v>
      </c>
      <c r="B409" s="1" t="s">
        <v>4413</v>
      </c>
      <c r="C409" s="9" t="s">
        <v>260</v>
      </c>
      <c r="D409" s="1" t="s">
        <v>260</v>
      </c>
      <c r="E409" s="1"/>
      <c r="F409" s="1"/>
      <c r="G409" s="1" t="s">
        <v>4414</v>
      </c>
      <c r="H409" s="1" t="s">
        <v>4415</v>
      </c>
      <c r="I409" s="1" t="s">
        <v>4416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1481</v>
      </c>
      <c r="AK409" s="1" t="s">
        <v>330</v>
      </c>
      <c r="AL409" s="1">
        <v>13</v>
      </c>
      <c r="AM409" s="1" t="s">
        <v>4803</v>
      </c>
      <c r="AN409" s="1" t="s">
        <v>4913</v>
      </c>
      <c r="AO409" s="1" t="s">
        <v>5515</v>
      </c>
      <c r="AP409" s="1">
        <v>0</v>
      </c>
      <c r="AQ409" s="1" t="s">
        <v>1796</v>
      </c>
      <c r="AR409" s="1" t="s">
        <v>1204</v>
      </c>
      <c r="AS409" s="1" t="s">
        <v>1795</v>
      </c>
      <c r="AT409" s="1" t="s">
        <v>330</v>
      </c>
      <c r="AU409" s="1">
        <v>65</v>
      </c>
      <c r="AV409" s="1">
        <v>0</v>
      </c>
      <c r="AW409" s="1" t="s">
        <v>4575</v>
      </c>
      <c r="AX409" s="1" t="s">
        <v>5500</v>
      </c>
      <c r="AY409" s="1">
        <v>6</v>
      </c>
      <c r="AZ409" s="1">
        <v>3065</v>
      </c>
      <c r="BA409" s="1" t="s">
        <v>330</v>
      </c>
      <c r="BB409" s="1" t="s">
        <v>4972</v>
      </c>
      <c r="BC409" s="1" t="s">
        <v>4973</v>
      </c>
      <c r="BD409" s="1">
        <v>0</v>
      </c>
      <c r="BE409" s="1"/>
    </row>
    <row r="410" spans="1:57" x14ac:dyDescent="0.25">
      <c r="A410" s="1">
        <v>20071</v>
      </c>
      <c r="B410" s="1" t="s">
        <v>4417</v>
      </c>
      <c r="C410" s="9" t="s">
        <v>840</v>
      </c>
      <c r="D410" s="1" t="s">
        <v>4418</v>
      </c>
      <c r="E410" s="1"/>
      <c r="F410" s="1"/>
      <c r="G410" s="1" t="s">
        <v>4419</v>
      </c>
      <c r="H410" s="1" t="s">
        <v>4420</v>
      </c>
      <c r="I410" s="1" t="s">
        <v>4421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330</v>
      </c>
      <c r="AK410" s="1" t="s">
        <v>1482</v>
      </c>
      <c r="AL410" s="1">
        <v>13</v>
      </c>
      <c r="AM410" s="1" t="s">
        <v>400</v>
      </c>
      <c r="AN410" s="1" t="s">
        <v>5516</v>
      </c>
      <c r="AO410" s="1" t="s">
        <v>5517</v>
      </c>
      <c r="AP410" s="1">
        <v>0</v>
      </c>
      <c r="AQ410" s="1" t="s">
        <v>1180</v>
      </c>
      <c r="AR410" s="1" t="s">
        <v>1204</v>
      </c>
      <c r="AS410" s="1" t="s">
        <v>1795</v>
      </c>
      <c r="AT410" s="1" t="s">
        <v>330</v>
      </c>
      <c r="AU410" s="1">
        <v>71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3071</v>
      </c>
      <c r="BA410" s="1" t="s">
        <v>330</v>
      </c>
      <c r="BB410" s="1" t="s">
        <v>4983</v>
      </c>
      <c r="BC410" s="1" t="s">
        <v>330</v>
      </c>
      <c r="BD410" s="1">
        <v>0</v>
      </c>
      <c r="BE410" s="1"/>
    </row>
    <row r="411" spans="1:57" x14ac:dyDescent="0.25">
      <c r="A411" s="1">
        <v>20075</v>
      </c>
      <c r="B411" s="1" t="s">
        <v>4422</v>
      </c>
      <c r="C411" s="9" t="s">
        <v>261</v>
      </c>
      <c r="D411" s="1" t="s">
        <v>261</v>
      </c>
      <c r="E411" s="1"/>
      <c r="F411" s="1"/>
      <c r="G411" s="1" t="s">
        <v>4423</v>
      </c>
      <c r="H411" s="1" t="s">
        <v>4424</v>
      </c>
      <c r="I411" s="1" t="s">
        <v>4425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1483</v>
      </c>
      <c r="AK411" s="1" t="s">
        <v>1484</v>
      </c>
      <c r="AL411" s="1">
        <v>18</v>
      </c>
      <c r="AM411" s="1" t="s">
        <v>4942</v>
      </c>
      <c r="AN411" s="1" t="s">
        <v>4993</v>
      </c>
      <c r="AO411" s="1" t="s">
        <v>5518</v>
      </c>
      <c r="AP411" s="1">
        <v>0</v>
      </c>
      <c r="AQ411" s="1" t="s">
        <v>1217</v>
      </c>
      <c r="AR411" s="1" t="s">
        <v>4995</v>
      </c>
      <c r="AS411" s="1" t="s">
        <v>4996</v>
      </c>
      <c r="AT411" s="1" t="s">
        <v>330</v>
      </c>
      <c r="AU411" s="1">
        <v>75</v>
      </c>
      <c r="AV411" s="1">
        <v>0</v>
      </c>
      <c r="AW411" s="1" t="s">
        <v>4575</v>
      </c>
      <c r="AX411" s="1" t="s">
        <v>5500</v>
      </c>
      <c r="AY411" s="1">
        <v>5</v>
      </c>
      <c r="AZ411" s="1">
        <v>3075</v>
      </c>
      <c r="BA411" s="1" t="s">
        <v>330</v>
      </c>
      <c r="BB411" s="1" t="s">
        <v>4997</v>
      </c>
      <c r="BC411" s="1" t="s">
        <v>4804</v>
      </c>
      <c r="BD411" s="1">
        <v>0</v>
      </c>
      <c r="BE411" s="1"/>
    </row>
    <row r="412" spans="1:57" x14ac:dyDescent="0.25">
      <c r="A412" s="1">
        <v>20081</v>
      </c>
      <c r="B412" s="1" t="s">
        <v>4426</v>
      </c>
      <c r="C412" s="9" t="s">
        <v>262</v>
      </c>
      <c r="D412" s="1" t="s">
        <v>262</v>
      </c>
      <c r="E412" s="1"/>
      <c r="F412" s="1"/>
      <c r="G412" s="1" t="s">
        <v>4427</v>
      </c>
      <c r="H412" s="1" t="s">
        <v>4428</v>
      </c>
      <c r="I412" s="1" t="s">
        <v>4429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1485</v>
      </c>
      <c r="AK412" s="1" t="s">
        <v>1486</v>
      </c>
      <c r="AL412" s="1">
        <v>18</v>
      </c>
      <c r="AM412" s="1" t="s">
        <v>4942</v>
      </c>
      <c r="AN412" s="1" t="s">
        <v>4993</v>
      </c>
      <c r="AO412" s="1" t="s">
        <v>5519</v>
      </c>
      <c r="AP412" s="1">
        <v>0</v>
      </c>
      <c r="AQ412" s="1" t="s">
        <v>1217</v>
      </c>
      <c r="AR412" s="1" t="s">
        <v>4995</v>
      </c>
      <c r="AS412" s="1" t="s">
        <v>1219</v>
      </c>
      <c r="AT412" s="1" t="s">
        <v>330</v>
      </c>
      <c r="AU412" s="1">
        <v>81</v>
      </c>
      <c r="AV412" s="1">
        <v>0</v>
      </c>
      <c r="AW412" s="1" t="s">
        <v>4575</v>
      </c>
      <c r="AX412" s="1" t="s">
        <v>5500</v>
      </c>
      <c r="AY412" s="1">
        <v>4</v>
      </c>
      <c r="AZ412" s="1">
        <v>3081</v>
      </c>
      <c r="BA412" s="1" t="s">
        <v>330</v>
      </c>
      <c r="BB412" s="1" t="s">
        <v>5011</v>
      </c>
      <c r="BC412" s="1" t="s">
        <v>4804</v>
      </c>
      <c r="BD412" s="1">
        <v>0</v>
      </c>
      <c r="BE412" s="1"/>
    </row>
    <row r="413" spans="1:57" x14ac:dyDescent="0.25">
      <c r="A413" s="1">
        <v>20089</v>
      </c>
      <c r="B413" s="1" t="s">
        <v>4430</v>
      </c>
      <c r="C413" s="9" t="s">
        <v>750</v>
      </c>
      <c r="D413" s="1" t="s">
        <v>4431</v>
      </c>
      <c r="E413" s="1"/>
      <c r="F413" s="1"/>
      <c r="G413" s="1" t="s">
        <v>4432</v>
      </c>
      <c r="H413" s="1" t="s">
        <v>4433</v>
      </c>
      <c r="I413" s="1" t="s">
        <v>4434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1346</v>
      </c>
      <c r="AK413" s="1" t="s">
        <v>330</v>
      </c>
      <c r="AL413" s="1">
        <v>17</v>
      </c>
      <c r="AM413" s="1" t="s">
        <v>4942</v>
      </c>
      <c r="AN413" s="1" t="s">
        <v>5000</v>
      </c>
      <c r="AO413" s="1" t="s">
        <v>5520</v>
      </c>
      <c r="AP413" s="1">
        <v>0</v>
      </c>
      <c r="AQ413" s="1" t="s">
        <v>1217</v>
      </c>
      <c r="AR413" s="1" t="s">
        <v>4995</v>
      </c>
      <c r="AS413" s="1" t="s">
        <v>1219</v>
      </c>
      <c r="AT413" s="1" t="s">
        <v>330</v>
      </c>
      <c r="AU413" s="1">
        <v>89</v>
      </c>
      <c r="AV413" s="1">
        <v>0</v>
      </c>
      <c r="AW413" s="1" t="s">
        <v>4575</v>
      </c>
      <c r="AX413" s="1" t="s">
        <v>5500</v>
      </c>
      <c r="AY413" s="1">
        <v>4</v>
      </c>
      <c r="AZ413" s="1">
        <v>3089</v>
      </c>
      <c r="BA413" s="1" t="s">
        <v>330</v>
      </c>
      <c r="BB413" s="1" t="s">
        <v>5029</v>
      </c>
      <c r="BC413" s="1" t="s">
        <v>330</v>
      </c>
      <c r="BD413" s="1">
        <v>0</v>
      </c>
      <c r="BE413" s="1"/>
    </row>
    <row r="414" spans="1:57" x14ac:dyDescent="0.25">
      <c r="A414" s="1">
        <v>20091</v>
      </c>
      <c r="B414" s="1" t="s">
        <v>4435</v>
      </c>
      <c r="C414" s="9" t="s">
        <v>1734</v>
      </c>
      <c r="D414" s="1" t="s">
        <v>1734</v>
      </c>
      <c r="E414" s="1"/>
      <c r="F414" s="1"/>
      <c r="G414" s="1" t="s">
        <v>4436</v>
      </c>
      <c r="H414" s="1" t="s">
        <v>4437</v>
      </c>
      <c r="I414" s="1" t="s">
        <v>4438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1487</v>
      </c>
      <c r="AK414" s="1" t="s">
        <v>330</v>
      </c>
      <c r="AL414" s="1">
        <v>13</v>
      </c>
      <c r="AM414" s="1" t="s">
        <v>1889</v>
      </c>
      <c r="AN414" s="1" t="s">
        <v>5031</v>
      </c>
      <c r="AO414" s="1" t="s">
        <v>4908</v>
      </c>
      <c r="AP414" s="1">
        <v>0</v>
      </c>
      <c r="AQ414" s="1" t="s">
        <v>4826</v>
      </c>
      <c r="AR414" s="1" t="s">
        <v>1169</v>
      </c>
      <c r="AS414" s="1" t="s">
        <v>1170</v>
      </c>
      <c r="AT414" s="1" t="s">
        <v>330</v>
      </c>
      <c r="AU414" s="1">
        <v>91</v>
      </c>
      <c r="AV414" s="1">
        <v>0</v>
      </c>
      <c r="AW414" s="1" t="s">
        <v>4575</v>
      </c>
      <c r="AX414" s="1" t="s">
        <v>5500</v>
      </c>
      <c r="AY414" s="1">
        <v>4</v>
      </c>
      <c r="AZ414" s="1">
        <v>3091</v>
      </c>
      <c r="BA414" s="1" t="s">
        <v>330</v>
      </c>
      <c r="BB414" s="1" t="s">
        <v>415</v>
      </c>
      <c r="BC414" s="1" t="s">
        <v>4841</v>
      </c>
      <c r="BD414" s="1">
        <v>0</v>
      </c>
      <c r="BE414" s="1"/>
    </row>
    <row r="415" spans="1:57" x14ac:dyDescent="0.25">
      <c r="A415" s="1">
        <v>20093</v>
      </c>
      <c r="B415" s="1" t="s">
        <v>4439</v>
      </c>
      <c r="C415" s="9" t="s">
        <v>263</v>
      </c>
      <c r="D415" s="1" t="s">
        <v>263</v>
      </c>
      <c r="E415" s="1"/>
      <c r="F415" s="1"/>
      <c r="G415" s="1" t="s">
        <v>4440</v>
      </c>
      <c r="H415" s="1" t="s">
        <v>4441</v>
      </c>
      <c r="I415" s="1" t="s">
        <v>4442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1488</v>
      </c>
      <c r="AK415" s="1" t="s">
        <v>1489</v>
      </c>
      <c r="AL415" s="1">
        <v>13</v>
      </c>
      <c r="AM415" s="1" t="s">
        <v>4874</v>
      </c>
      <c r="AN415" s="1" t="s">
        <v>4879</v>
      </c>
      <c r="AO415" s="1" t="s">
        <v>5521</v>
      </c>
      <c r="AP415" s="1">
        <v>0</v>
      </c>
      <c r="AQ415" s="1" t="s">
        <v>1795</v>
      </c>
      <c r="AR415" s="1" t="s">
        <v>1169</v>
      </c>
      <c r="AS415" s="1" t="s">
        <v>1180</v>
      </c>
      <c r="AT415" s="1" t="s">
        <v>330</v>
      </c>
      <c r="AU415" s="1">
        <v>93</v>
      </c>
      <c r="AV415" s="1">
        <v>0</v>
      </c>
      <c r="AW415" s="1" t="s">
        <v>4575</v>
      </c>
      <c r="AX415" s="1" t="s">
        <v>5500</v>
      </c>
      <c r="AY415" s="1">
        <v>4</v>
      </c>
      <c r="AZ415" s="1">
        <v>3093</v>
      </c>
      <c r="BA415" s="1" t="s">
        <v>330</v>
      </c>
      <c r="BB415" s="1" t="s">
        <v>5034</v>
      </c>
      <c r="BC415" s="1" t="s">
        <v>330</v>
      </c>
      <c r="BD415" s="1">
        <v>0</v>
      </c>
      <c r="BE415" s="1"/>
    </row>
    <row r="416" spans="1:57" x14ac:dyDescent="0.25">
      <c r="A416" s="1">
        <v>20094</v>
      </c>
      <c r="B416" s="1" t="s">
        <v>4443</v>
      </c>
      <c r="C416" s="9" t="s">
        <v>747</v>
      </c>
      <c r="D416" s="1" t="s">
        <v>4444</v>
      </c>
      <c r="E416" s="1"/>
      <c r="F416" s="1"/>
      <c r="G416" s="1" t="s">
        <v>4445</v>
      </c>
      <c r="H416" s="1" t="s">
        <v>4446</v>
      </c>
      <c r="I416" s="1" t="s">
        <v>4447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1214</v>
      </c>
      <c r="AK416" s="1" t="s">
        <v>330</v>
      </c>
      <c r="AL416" s="1">
        <v>13</v>
      </c>
      <c r="AM416" s="1" t="s">
        <v>4874</v>
      </c>
      <c r="AN416" s="1" t="s">
        <v>4877</v>
      </c>
      <c r="AO416" s="1" t="s">
        <v>5522</v>
      </c>
      <c r="AP416" s="1">
        <v>0</v>
      </c>
      <c r="AQ416" s="1" t="s">
        <v>1795</v>
      </c>
      <c r="AR416" s="1" t="s">
        <v>1169</v>
      </c>
      <c r="AS416" s="1" t="s">
        <v>1796</v>
      </c>
      <c r="AT416" s="1" t="s">
        <v>330</v>
      </c>
      <c r="AU416" s="1">
        <v>94</v>
      </c>
      <c r="AV416" s="1">
        <v>0</v>
      </c>
      <c r="AW416" s="1" t="s">
        <v>4575</v>
      </c>
      <c r="AX416" s="1" t="s">
        <v>5500</v>
      </c>
      <c r="AY416" s="1">
        <v>4</v>
      </c>
      <c r="AZ416" s="1">
        <v>3094</v>
      </c>
      <c r="BA416" s="1" t="s">
        <v>330</v>
      </c>
      <c r="BB416" s="1" t="s">
        <v>5036</v>
      </c>
      <c r="BC416" s="1" t="s">
        <v>4867</v>
      </c>
      <c r="BD416" s="1">
        <v>0</v>
      </c>
      <c r="BE416" s="1"/>
    </row>
    <row r="417" spans="1:57" x14ac:dyDescent="0.25">
      <c r="A417" s="1">
        <v>20095</v>
      </c>
      <c r="B417" s="1" t="s">
        <v>4448</v>
      </c>
      <c r="C417" s="9" t="s">
        <v>847</v>
      </c>
      <c r="D417" s="1" t="s">
        <v>4449</v>
      </c>
      <c r="E417" s="1"/>
      <c r="F417" s="1"/>
      <c r="G417" s="1" t="s">
        <v>4450</v>
      </c>
      <c r="H417" s="1" t="s">
        <v>4451</v>
      </c>
      <c r="I417" s="1" t="s">
        <v>4452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1490</v>
      </c>
      <c r="AK417" s="1" t="s">
        <v>1491</v>
      </c>
      <c r="AL417" s="1">
        <v>13</v>
      </c>
      <c r="AM417" s="1" t="s">
        <v>4846</v>
      </c>
      <c r="AN417" s="1" t="s">
        <v>5450</v>
      </c>
      <c r="AO417" s="1" t="s">
        <v>4916</v>
      </c>
      <c r="AP417" s="1">
        <v>0</v>
      </c>
      <c r="AQ417" s="1" t="s">
        <v>1797</v>
      </c>
      <c r="AR417" s="1" t="s">
        <v>4919</v>
      </c>
      <c r="AS417" s="1" t="s">
        <v>1192</v>
      </c>
      <c r="AT417" s="1" t="s">
        <v>330</v>
      </c>
      <c r="AU417" s="1">
        <v>95</v>
      </c>
      <c r="AV417" s="1">
        <v>0</v>
      </c>
      <c r="AW417" s="1" t="s">
        <v>4575</v>
      </c>
      <c r="AX417" s="1" t="s">
        <v>5500</v>
      </c>
      <c r="AY417" s="1">
        <v>4</v>
      </c>
      <c r="AZ417" s="1">
        <v>3095</v>
      </c>
      <c r="BA417" s="1" t="s">
        <v>330</v>
      </c>
      <c r="BB417" s="1" t="s">
        <v>5036</v>
      </c>
      <c r="BC417" s="1" t="s">
        <v>4867</v>
      </c>
      <c r="BD417" s="1">
        <v>0</v>
      </c>
      <c r="BE417" s="1"/>
    </row>
    <row r="418" spans="1:57" x14ac:dyDescent="0.25">
      <c r="A418" s="1">
        <v>20097</v>
      </c>
      <c r="B418" s="1" t="s">
        <v>4453</v>
      </c>
      <c r="C418" s="9" t="s">
        <v>264</v>
      </c>
      <c r="D418" s="1" t="s">
        <v>264</v>
      </c>
      <c r="E418" s="1"/>
      <c r="F418" s="1"/>
      <c r="G418" s="1" t="s">
        <v>4454</v>
      </c>
      <c r="H418" s="1" t="s">
        <v>4455</v>
      </c>
      <c r="I418" s="1" t="s">
        <v>4456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330</v>
      </c>
      <c r="AK418" s="1" t="s">
        <v>1492</v>
      </c>
      <c r="AL418" s="1">
        <v>13</v>
      </c>
      <c r="AM418" s="1" t="s">
        <v>1889</v>
      </c>
      <c r="AN418" s="1" t="s">
        <v>5523</v>
      </c>
      <c r="AO418" s="1" t="s">
        <v>5524</v>
      </c>
      <c r="AP418" s="1">
        <v>0</v>
      </c>
      <c r="AQ418" s="1" t="s">
        <v>4826</v>
      </c>
      <c r="AR418" s="1" t="s">
        <v>1169</v>
      </c>
      <c r="AS418" s="1" t="s">
        <v>1170</v>
      </c>
      <c r="AT418" s="1" t="s">
        <v>330</v>
      </c>
      <c r="AU418" s="1">
        <v>97</v>
      </c>
      <c r="AV418" s="1">
        <v>0</v>
      </c>
      <c r="AW418" s="1" t="s">
        <v>4575</v>
      </c>
      <c r="AX418" s="1" t="s">
        <v>5500</v>
      </c>
      <c r="AY418" s="1">
        <v>6</v>
      </c>
      <c r="AZ418" s="1">
        <v>3097</v>
      </c>
      <c r="BA418" s="1" t="s">
        <v>330</v>
      </c>
      <c r="BB418" s="1" t="s">
        <v>5041</v>
      </c>
      <c r="BC418" s="1" t="s">
        <v>4804</v>
      </c>
      <c r="BD418" s="1">
        <v>0</v>
      </c>
      <c r="BE418" s="1"/>
    </row>
    <row r="419" spans="1:57" x14ac:dyDescent="0.25">
      <c r="A419" s="1">
        <v>20101</v>
      </c>
      <c r="B419" s="1" t="s">
        <v>4457</v>
      </c>
      <c r="C419" s="9" t="s">
        <v>265</v>
      </c>
      <c r="D419" s="1" t="s">
        <v>265</v>
      </c>
      <c r="E419" s="1"/>
      <c r="F419" s="1"/>
      <c r="G419" s="1" t="s">
        <v>4458</v>
      </c>
      <c r="H419" s="1" t="s">
        <v>4459</v>
      </c>
      <c r="I419" s="1" t="s">
        <v>4460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1493</v>
      </c>
      <c r="AK419" s="1" t="s">
        <v>1494</v>
      </c>
      <c r="AL419" s="1">
        <v>13</v>
      </c>
      <c r="AM419" s="1" t="s">
        <v>4874</v>
      </c>
      <c r="AN419" s="1" t="s">
        <v>4879</v>
      </c>
      <c r="AO419" s="1" t="s">
        <v>5075</v>
      </c>
      <c r="AP419" s="1">
        <v>0</v>
      </c>
      <c r="AQ419" s="1" t="s">
        <v>1795</v>
      </c>
      <c r="AR419" s="1" t="s">
        <v>1169</v>
      </c>
      <c r="AS419" s="1" t="s">
        <v>1796</v>
      </c>
      <c r="AT419" s="1" t="s">
        <v>330</v>
      </c>
      <c r="AU419" s="1">
        <v>101</v>
      </c>
      <c r="AV419" s="1">
        <v>0</v>
      </c>
      <c r="AW419" s="1" t="s">
        <v>4575</v>
      </c>
      <c r="AX419" s="1" t="s">
        <v>5500</v>
      </c>
      <c r="AY419" s="1">
        <v>5</v>
      </c>
      <c r="AZ419" s="1">
        <v>3101</v>
      </c>
      <c r="BA419" s="1" t="s">
        <v>330</v>
      </c>
      <c r="BB419" s="1" t="s">
        <v>5049</v>
      </c>
      <c r="BC419" s="1" t="s">
        <v>4973</v>
      </c>
      <c r="BD419" s="1">
        <v>0</v>
      </c>
      <c r="BE419" s="1"/>
    </row>
    <row r="420" spans="1:57" x14ac:dyDescent="0.25">
      <c r="A420" s="1">
        <v>20103</v>
      </c>
      <c r="B420" s="1" t="s">
        <v>4461</v>
      </c>
      <c r="C420" s="9" t="s">
        <v>266</v>
      </c>
      <c r="D420" s="1" t="s">
        <v>266</v>
      </c>
      <c r="E420" s="1"/>
      <c r="F420" s="1"/>
      <c r="G420" s="1" t="s">
        <v>4462</v>
      </c>
      <c r="H420" s="1" t="s">
        <v>4463</v>
      </c>
      <c r="I420" s="1" t="s">
        <v>4464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1495</v>
      </c>
      <c r="AK420" s="1" t="s">
        <v>330</v>
      </c>
      <c r="AL420" s="1">
        <v>13</v>
      </c>
      <c r="AM420" s="1" t="s">
        <v>4874</v>
      </c>
      <c r="AN420" s="1" t="s">
        <v>4879</v>
      </c>
      <c r="AO420" s="1" t="s">
        <v>5525</v>
      </c>
      <c r="AP420" s="1">
        <v>0</v>
      </c>
      <c r="AQ420" s="1" t="s">
        <v>1795</v>
      </c>
      <c r="AR420" s="1" t="s">
        <v>1169</v>
      </c>
      <c r="AS420" s="1" t="s">
        <v>1796</v>
      </c>
      <c r="AT420" s="1" t="s">
        <v>330</v>
      </c>
      <c r="AU420" s="1">
        <v>103</v>
      </c>
      <c r="AV420" s="1">
        <v>0</v>
      </c>
      <c r="AW420" s="1" t="s">
        <v>5053</v>
      </c>
      <c r="AX420" s="1" t="s">
        <v>5500</v>
      </c>
      <c r="AY420" s="1">
        <v>5</v>
      </c>
      <c r="AZ420" s="1">
        <v>3103</v>
      </c>
      <c r="BA420" s="1" t="s">
        <v>330</v>
      </c>
      <c r="BB420" s="1" t="s">
        <v>5054</v>
      </c>
      <c r="BC420" s="1" t="s">
        <v>4973</v>
      </c>
      <c r="BD420" s="1">
        <v>0</v>
      </c>
      <c r="BE420" s="1"/>
    </row>
    <row r="421" spans="1:57" x14ac:dyDescent="0.25">
      <c r="A421" s="1">
        <v>20104</v>
      </c>
      <c r="B421" s="1" t="s">
        <v>4530</v>
      </c>
      <c r="C421" s="9" t="s">
        <v>1799</v>
      </c>
      <c r="D421" s="1" t="s">
        <v>1799</v>
      </c>
      <c r="E421" s="1"/>
      <c r="F421" s="1"/>
      <c r="G421" s="1" t="s">
        <v>4531</v>
      </c>
      <c r="H421" s="1" t="s">
        <v>4532</v>
      </c>
      <c r="I421" s="1" t="s">
        <v>4533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1800</v>
      </c>
      <c r="AK421" s="1" t="s">
        <v>1801</v>
      </c>
      <c r="AL421" s="1">
        <v>13</v>
      </c>
      <c r="AM421" s="1" t="s">
        <v>4874</v>
      </c>
      <c r="AN421" s="1" t="s">
        <v>4879</v>
      </c>
      <c r="AO421" s="1" t="s">
        <v>5543</v>
      </c>
      <c r="AP421" s="1">
        <v>0</v>
      </c>
      <c r="AQ421" s="1" t="s">
        <v>1795</v>
      </c>
      <c r="AR421" s="1" t="s">
        <v>1169</v>
      </c>
      <c r="AS421" s="1" t="s">
        <v>1180</v>
      </c>
      <c r="AT421" s="1" t="s">
        <v>330</v>
      </c>
      <c r="AU421" s="1">
        <v>104</v>
      </c>
      <c r="AV421" s="1">
        <v>0</v>
      </c>
      <c r="AW421" s="1" t="s">
        <v>5055</v>
      </c>
      <c r="AX421" s="1" t="s">
        <v>5500</v>
      </c>
      <c r="AY421" s="1">
        <v>6</v>
      </c>
      <c r="AZ421" s="1">
        <v>3104</v>
      </c>
      <c r="BA421" s="1" t="s">
        <v>330</v>
      </c>
      <c r="BB421" s="1" t="s">
        <v>5056</v>
      </c>
      <c r="BC421" s="1" t="s">
        <v>4853</v>
      </c>
      <c r="BD421" s="1">
        <v>0</v>
      </c>
      <c r="BE421" s="1"/>
    </row>
    <row r="422" spans="1:57" x14ac:dyDescent="0.25">
      <c r="A422" s="1">
        <v>20114</v>
      </c>
      <c r="B422" s="1" t="s">
        <v>4465</v>
      </c>
      <c r="C422" s="9" t="s">
        <v>843</v>
      </c>
      <c r="D422" s="1" t="s">
        <v>4466</v>
      </c>
      <c r="E422" s="1"/>
      <c r="F422" s="1"/>
      <c r="G422" s="1" t="s">
        <v>4467</v>
      </c>
      <c r="H422" s="1" t="s">
        <v>4468</v>
      </c>
      <c r="I422" s="1" t="s">
        <v>4469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1496</v>
      </c>
      <c r="AK422" s="1" t="s">
        <v>330</v>
      </c>
      <c r="AL422" s="1">
        <v>12</v>
      </c>
      <c r="AM422" s="1" t="s">
        <v>1889</v>
      </c>
      <c r="AN422" s="1" t="s">
        <v>5526</v>
      </c>
      <c r="AO422" s="1" t="s">
        <v>5527</v>
      </c>
      <c r="AP422" s="1">
        <v>0</v>
      </c>
      <c r="AQ422" s="1" t="s">
        <v>1168</v>
      </c>
      <c r="AR422" s="1" t="s">
        <v>1169</v>
      </c>
      <c r="AS422" s="1" t="s">
        <v>4845</v>
      </c>
      <c r="AT422" s="1" t="s">
        <v>330</v>
      </c>
      <c r="AU422" s="1">
        <v>114</v>
      </c>
      <c r="AV422" s="1">
        <v>0</v>
      </c>
      <c r="AW422" s="1" t="s">
        <v>5053</v>
      </c>
      <c r="AX422" s="1" t="s">
        <v>5500</v>
      </c>
      <c r="AY422" s="1">
        <v>6</v>
      </c>
      <c r="AZ422" s="1">
        <v>3114</v>
      </c>
      <c r="BA422" s="1" t="s">
        <v>330</v>
      </c>
      <c r="BB422" s="1" t="s">
        <v>5073</v>
      </c>
      <c r="BC422" s="1" t="s">
        <v>330</v>
      </c>
      <c r="BD422" s="1">
        <v>0</v>
      </c>
      <c r="BE422" s="1"/>
    </row>
    <row r="423" spans="1:57" x14ac:dyDescent="0.25">
      <c r="A423" s="1">
        <v>20122</v>
      </c>
      <c r="B423" s="1" t="s">
        <v>4470</v>
      </c>
      <c r="C423" s="9" t="s">
        <v>1497</v>
      </c>
      <c r="D423" s="1" t="s">
        <v>1497</v>
      </c>
      <c r="E423" s="1"/>
      <c r="F423" s="1"/>
      <c r="G423" s="1" t="s">
        <v>4471</v>
      </c>
      <c r="H423" s="1" t="s">
        <v>4472</v>
      </c>
      <c r="I423" s="1" t="s">
        <v>4473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1498</v>
      </c>
      <c r="AK423" s="1" t="s">
        <v>330</v>
      </c>
      <c r="AL423" s="1">
        <v>13</v>
      </c>
      <c r="AM423" s="1" t="s">
        <v>4803</v>
      </c>
      <c r="AN423" s="1" t="s">
        <v>4968</v>
      </c>
      <c r="AO423" s="1" t="s">
        <v>5528</v>
      </c>
      <c r="AP423" s="1">
        <v>0</v>
      </c>
      <c r="AQ423" s="1" t="s">
        <v>1180</v>
      </c>
      <c r="AR423" s="1" t="s">
        <v>1204</v>
      </c>
      <c r="AS423" s="1" t="s">
        <v>1795</v>
      </c>
      <c r="AT423" s="1" t="s">
        <v>330</v>
      </c>
      <c r="AU423" s="1">
        <v>122</v>
      </c>
      <c r="AV423" s="1">
        <v>0</v>
      </c>
      <c r="AW423" s="1" t="s">
        <v>5044</v>
      </c>
      <c r="AX423" s="1" t="s">
        <v>5500</v>
      </c>
      <c r="AY423" s="1">
        <v>6</v>
      </c>
      <c r="AZ423" s="1">
        <v>3122</v>
      </c>
      <c r="BA423" s="1" t="s">
        <v>330</v>
      </c>
      <c r="BB423" s="1" t="s">
        <v>5090</v>
      </c>
      <c r="BC423" s="1" t="s">
        <v>4973</v>
      </c>
      <c r="BD423" s="1">
        <v>0</v>
      </c>
      <c r="BE423" s="1"/>
    </row>
    <row r="424" spans="1:57" x14ac:dyDescent="0.25">
      <c r="A424" s="1">
        <v>20124</v>
      </c>
      <c r="B424" s="1" t="s">
        <v>4474</v>
      </c>
      <c r="C424" s="9" t="s">
        <v>841</v>
      </c>
      <c r="D424" s="1" t="s">
        <v>4475</v>
      </c>
      <c r="E424" s="1"/>
      <c r="F424" s="1"/>
      <c r="G424" s="1" t="s">
        <v>4476</v>
      </c>
      <c r="H424" s="1" t="s">
        <v>4477</v>
      </c>
      <c r="I424" s="1" t="s">
        <v>4478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1499</v>
      </c>
      <c r="AK424" s="1" t="s">
        <v>1500</v>
      </c>
      <c r="AL424" s="1">
        <v>13</v>
      </c>
      <c r="AM424" s="1" t="s">
        <v>4846</v>
      </c>
      <c r="AN424" s="1" t="s">
        <v>5473</v>
      </c>
      <c r="AO424" s="1" t="s">
        <v>4916</v>
      </c>
      <c r="AP424" s="1">
        <v>0</v>
      </c>
      <c r="AQ424" s="1" t="s">
        <v>1190</v>
      </c>
      <c r="AR424" s="1" t="s">
        <v>4919</v>
      </c>
      <c r="AS424" s="1" t="s">
        <v>1192</v>
      </c>
      <c r="AT424" s="1" t="s">
        <v>330</v>
      </c>
      <c r="AU424" s="1">
        <v>124</v>
      </c>
      <c r="AV424" s="1">
        <v>0</v>
      </c>
      <c r="AW424" s="1" t="s">
        <v>5093</v>
      </c>
      <c r="AX424" s="1" t="s">
        <v>5500</v>
      </c>
      <c r="AY424" s="1">
        <v>4</v>
      </c>
      <c r="AZ424" s="1">
        <v>3124</v>
      </c>
      <c r="BA424" s="1" t="s">
        <v>330</v>
      </c>
      <c r="BB424" s="1" t="s">
        <v>5094</v>
      </c>
      <c r="BC424" s="1" t="s">
        <v>4804</v>
      </c>
      <c r="BD424" s="1">
        <v>0</v>
      </c>
      <c r="BE424" s="1"/>
    </row>
    <row r="425" spans="1:57" x14ac:dyDescent="0.25">
      <c r="A425" s="1">
        <v>20125</v>
      </c>
      <c r="B425" s="1" t="s">
        <v>4479</v>
      </c>
      <c r="C425" s="9" t="s">
        <v>943</v>
      </c>
      <c r="D425" s="1" t="s">
        <v>943</v>
      </c>
      <c r="E425" s="1"/>
      <c r="F425" s="1"/>
      <c r="G425" s="1" t="s">
        <v>4480</v>
      </c>
      <c r="H425" s="1" t="s">
        <v>4481</v>
      </c>
      <c r="I425" s="1" t="s">
        <v>4482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1216</v>
      </c>
      <c r="AK425" s="1" t="s">
        <v>1501</v>
      </c>
      <c r="AL425" s="1">
        <v>18</v>
      </c>
      <c r="AM425" s="1" t="s">
        <v>4942</v>
      </c>
      <c r="AN425" s="1" t="s">
        <v>5068</v>
      </c>
      <c r="AO425" s="1" t="s">
        <v>5529</v>
      </c>
      <c r="AP425" s="1">
        <v>0</v>
      </c>
      <c r="AQ425" s="1" t="s">
        <v>5096</v>
      </c>
      <c r="AR425" s="1" t="s">
        <v>4995</v>
      </c>
      <c r="AS425" s="1" t="s">
        <v>1219</v>
      </c>
      <c r="AT425" s="1" t="s">
        <v>330</v>
      </c>
      <c r="AU425" s="1">
        <v>125</v>
      </c>
      <c r="AV425" s="1">
        <v>0</v>
      </c>
      <c r="AW425" s="1" t="s">
        <v>4926</v>
      </c>
      <c r="AX425" s="1" t="s">
        <v>5500</v>
      </c>
      <c r="AY425" s="1">
        <v>6</v>
      </c>
      <c r="AZ425" s="1">
        <v>3125</v>
      </c>
      <c r="BA425" s="1" t="s">
        <v>330</v>
      </c>
      <c r="BB425" s="1" t="s">
        <v>330</v>
      </c>
      <c r="BC425" s="1" t="s">
        <v>4853</v>
      </c>
      <c r="BD425" s="1">
        <v>0</v>
      </c>
      <c r="BE425" s="1"/>
    </row>
    <row r="426" spans="1:57" x14ac:dyDescent="0.25">
      <c r="A426" s="1">
        <v>20136</v>
      </c>
      <c r="B426" s="1" t="s">
        <v>4483</v>
      </c>
      <c r="C426" s="9" t="s">
        <v>1735</v>
      </c>
      <c r="D426" s="1" t="s">
        <v>1735</v>
      </c>
      <c r="E426" s="1"/>
      <c r="F426" s="1"/>
      <c r="G426" s="1" t="s">
        <v>4484</v>
      </c>
      <c r="H426" s="1" t="s">
        <v>4485</v>
      </c>
      <c r="I426" s="1" t="s">
        <v>4486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1502</v>
      </c>
      <c r="AK426" s="1" t="s">
        <v>1503</v>
      </c>
      <c r="AL426" s="1">
        <v>13</v>
      </c>
      <c r="AM426" s="1" t="s">
        <v>4874</v>
      </c>
      <c r="AN426" s="1" t="s">
        <v>5077</v>
      </c>
      <c r="AO426" s="1" t="s">
        <v>5530</v>
      </c>
      <c r="AP426" s="1">
        <v>0</v>
      </c>
      <c r="AQ426" s="1" t="s">
        <v>1179</v>
      </c>
      <c r="AR426" s="1" t="s">
        <v>1169</v>
      </c>
      <c r="AS426" s="1" t="s">
        <v>1796</v>
      </c>
      <c r="AT426" s="1" t="s">
        <v>330</v>
      </c>
      <c r="AU426" s="1">
        <v>136</v>
      </c>
      <c r="AV426" s="1">
        <v>0</v>
      </c>
      <c r="AW426" s="1" t="s">
        <v>4892</v>
      </c>
      <c r="AX426" s="1" t="s">
        <v>5500</v>
      </c>
      <c r="AY426" s="1">
        <v>5</v>
      </c>
      <c r="AZ426" s="1">
        <v>3136</v>
      </c>
      <c r="BA426" s="1" t="s">
        <v>330</v>
      </c>
      <c r="BB426" s="1" t="s">
        <v>4877</v>
      </c>
      <c r="BC426" s="1" t="s">
        <v>4841</v>
      </c>
      <c r="BD426" s="1">
        <v>0</v>
      </c>
      <c r="BE426" s="1"/>
    </row>
    <row r="427" spans="1:57" x14ac:dyDescent="0.25">
      <c r="A427" s="1">
        <v>20143</v>
      </c>
      <c r="B427" s="1" t="s">
        <v>4487</v>
      </c>
      <c r="C427" s="9" t="s">
        <v>834</v>
      </c>
      <c r="D427" s="1" t="s">
        <v>834</v>
      </c>
      <c r="E427" s="1"/>
      <c r="F427" s="1"/>
      <c r="G427" s="1" t="s">
        <v>4488</v>
      </c>
      <c r="H427" s="1" t="s">
        <v>4489</v>
      </c>
      <c r="I427" s="1" t="s">
        <v>4490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1504</v>
      </c>
      <c r="AK427" s="1" t="s">
        <v>1505</v>
      </c>
      <c r="AL427" s="1">
        <v>13</v>
      </c>
      <c r="AM427" s="1" t="s">
        <v>4874</v>
      </c>
      <c r="AN427" s="1" t="s">
        <v>5031</v>
      </c>
      <c r="AO427" s="1" t="s">
        <v>5531</v>
      </c>
      <c r="AP427" s="1">
        <v>0</v>
      </c>
      <c r="AQ427" s="1" t="s">
        <v>1795</v>
      </c>
      <c r="AR427" s="1" t="s">
        <v>1169</v>
      </c>
      <c r="AS427" s="1" t="s">
        <v>1180</v>
      </c>
      <c r="AT427" s="1" t="s">
        <v>330</v>
      </c>
      <c r="AU427" s="1">
        <v>143</v>
      </c>
      <c r="AV427" s="1">
        <v>0</v>
      </c>
      <c r="AW427" s="1" t="s">
        <v>5121</v>
      </c>
      <c r="AX427" s="1" t="s">
        <v>5500</v>
      </c>
      <c r="AY427" s="1">
        <v>6</v>
      </c>
      <c r="AZ427" s="1">
        <v>3143</v>
      </c>
      <c r="BA427" s="1" t="s">
        <v>330</v>
      </c>
      <c r="BB427" s="1" t="s">
        <v>5131</v>
      </c>
      <c r="BC427" s="1" t="s">
        <v>4944</v>
      </c>
      <c r="BD427" s="1">
        <v>0</v>
      </c>
      <c r="BE427" s="1"/>
    </row>
    <row r="428" spans="1:57" x14ac:dyDescent="0.25">
      <c r="A428" s="1">
        <v>20152</v>
      </c>
      <c r="B428" s="1" t="s">
        <v>4491</v>
      </c>
      <c r="C428" s="9" t="s">
        <v>731</v>
      </c>
      <c r="D428" s="1" t="s">
        <v>731</v>
      </c>
      <c r="E428" s="1"/>
      <c r="F428" s="1"/>
      <c r="G428" s="1" t="s">
        <v>4492</v>
      </c>
      <c r="H428" s="1" t="s">
        <v>4493</v>
      </c>
      <c r="I428" s="1" t="s">
        <v>4494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1506</v>
      </c>
      <c r="AK428" s="1" t="s">
        <v>330</v>
      </c>
      <c r="AL428" s="1">
        <v>8</v>
      </c>
      <c r="AM428" s="1" t="s">
        <v>4800</v>
      </c>
      <c r="AN428" s="1" t="s">
        <v>5532</v>
      </c>
      <c r="AO428" s="1" t="s">
        <v>5533</v>
      </c>
      <c r="AP428" s="1">
        <v>0</v>
      </c>
      <c r="AQ428" s="1" t="s">
        <v>1250</v>
      </c>
      <c r="AR428" s="1" t="s">
        <v>5144</v>
      </c>
      <c r="AS428" s="1" t="s">
        <v>1252</v>
      </c>
      <c r="AT428" s="1" t="s">
        <v>330</v>
      </c>
      <c r="AU428" s="1">
        <v>152</v>
      </c>
      <c r="AV428" s="1">
        <v>0</v>
      </c>
      <c r="AW428" s="1" t="s">
        <v>5145</v>
      </c>
      <c r="AX428" s="1" t="s">
        <v>5500</v>
      </c>
      <c r="AY428" s="1">
        <v>4</v>
      </c>
      <c r="AZ428" s="1">
        <v>3152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20154</v>
      </c>
      <c r="B429" s="1" t="s">
        <v>4495</v>
      </c>
      <c r="C429" s="9" t="s">
        <v>722</v>
      </c>
      <c r="D429" s="1" t="s">
        <v>722</v>
      </c>
      <c r="E429" s="1"/>
      <c r="F429" s="1"/>
      <c r="G429" s="1" t="s">
        <v>4496</v>
      </c>
      <c r="H429" s="1" t="s">
        <v>4497</v>
      </c>
      <c r="I429" s="1" t="s">
        <v>4498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1507</v>
      </c>
      <c r="AK429" s="1" t="s">
        <v>1508</v>
      </c>
      <c r="AL429" s="1">
        <v>7</v>
      </c>
      <c r="AM429" s="1" t="s">
        <v>4800</v>
      </c>
      <c r="AN429" s="1" t="s">
        <v>472</v>
      </c>
      <c r="AO429" s="1" t="s">
        <v>5534</v>
      </c>
      <c r="AP429" s="1">
        <v>0</v>
      </c>
      <c r="AQ429" s="1" t="s">
        <v>1250</v>
      </c>
      <c r="AR429" s="1" t="s">
        <v>1251</v>
      </c>
      <c r="AS429" s="1" t="s">
        <v>5146</v>
      </c>
      <c r="AT429" s="1" t="s">
        <v>330</v>
      </c>
      <c r="AU429" s="1">
        <v>154</v>
      </c>
      <c r="AV429" s="1">
        <v>0</v>
      </c>
      <c r="AW429" s="1" t="s">
        <v>5121</v>
      </c>
      <c r="AX429" s="1" t="s">
        <v>5500</v>
      </c>
      <c r="AY429" s="1">
        <v>4</v>
      </c>
      <c r="AZ429" s="1">
        <v>3154</v>
      </c>
      <c r="BA429" s="1" t="s">
        <v>330</v>
      </c>
      <c r="BB429" s="1" t="s">
        <v>330</v>
      </c>
      <c r="BC429" s="1" t="s">
        <v>4804</v>
      </c>
      <c r="BD429" s="1">
        <v>0</v>
      </c>
      <c r="BE429" s="1"/>
    </row>
    <row r="430" spans="1:57" x14ac:dyDescent="0.25">
      <c r="A430" s="1">
        <v>20159</v>
      </c>
      <c r="B430" s="1" t="s">
        <v>4499</v>
      </c>
      <c r="C430" s="9" t="s">
        <v>944</v>
      </c>
      <c r="D430" s="1" t="s">
        <v>944</v>
      </c>
      <c r="E430" s="1"/>
      <c r="F430" s="1"/>
      <c r="G430" s="1" t="s">
        <v>4500</v>
      </c>
      <c r="H430" s="1" t="s">
        <v>4501</v>
      </c>
      <c r="I430" s="1" t="s">
        <v>4502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1509</v>
      </c>
      <c r="AK430" s="1" t="s">
        <v>1510</v>
      </c>
      <c r="AL430" s="1">
        <v>9</v>
      </c>
      <c r="AM430" s="1" t="s">
        <v>4800</v>
      </c>
      <c r="AN430" s="1" t="s">
        <v>367</v>
      </c>
      <c r="AO430" s="1" t="s">
        <v>5535</v>
      </c>
      <c r="AP430" s="1">
        <v>0</v>
      </c>
      <c r="AQ430" s="1" t="s">
        <v>5151</v>
      </c>
      <c r="AR430" s="1" t="s">
        <v>1251</v>
      </c>
      <c r="AS430" s="1" t="s">
        <v>1252</v>
      </c>
      <c r="AT430" s="1" t="s">
        <v>330</v>
      </c>
      <c r="AU430" s="1">
        <v>159</v>
      </c>
      <c r="AV430" s="1">
        <v>0</v>
      </c>
      <c r="AW430" s="1" t="s">
        <v>5121</v>
      </c>
      <c r="AX430" s="1" t="s">
        <v>5500</v>
      </c>
      <c r="AY430" s="1">
        <v>4</v>
      </c>
      <c r="AZ430" s="1">
        <v>3159</v>
      </c>
      <c r="BA430" s="1" t="s">
        <v>330</v>
      </c>
      <c r="BB430" s="1" t="s">
        <v>330</v>
      </c>
      <c r="BC430" s="1" t="s">
        <v>4841</v>
      </c>
      <c r="BD430" s="1">
        <v>0</v>
      </c>
      <c r="BE430" s="1"/>
    </row>
    <row r="431" spans="1:57" x14ac:dyDescent="0.25">
      <c r="A431" s="1">
        <v>20161</v>
      </c>
      <c r="B431" s="1" t="s">
        <v>4503</v>
      </c>
      <c r="C431" s="9" t="s">
        <v>740</v>
      </c>
      <c r="D431" s="1" t="s">
        <v>4504</v>
      </c>
      <c r="E431" s="1"/>
      <c r="F431" s="1"/>
      <c r="G431" s="1" t="s">
        <v>4505</v>
      </c>
      <c r="H431" s="1" t="s">
        <v>4506</v>
      </c>
      <c r="I431" s="1" t="s">
        <v>4507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1511</v>
      </c>
      <c r="AK431" s="1" t="s">
        <v>330</v>
      </c>
      <c r="AL431" s="1">
        <v>8</v>
      </c>
      <c r="AM431" s="1" t="s">
        <v>4800</v>
      </c>
      <c r="AN431" s="1" t="s">
        <v>5536</v>
      </c>
      <c r="AO431" s="1" t="s">
        <v>5152</v>
      </c>
      <c r="AP431" s="1">
        <v>0</v>
      </c>
      <c r="AQ431" s="1" t="s">
        <v>5151</v>
      </c>
      <c r="AR431" s="1" t="s">
        <v>1251</v>
      </c>
      <c r="AS431" s="1" t="s">
        <v>1252</v>
      </c>
      <c r="AT431" s="1" t="s">
        <v>330</v>
      </c>
      <c r="AU431" s="1">
        <v>161</v>
      </c>
      <c r="AV431" s="1">
        <v>0</v>
      </c>
      <c r="AW431" s="1" t="s">
        <v>5121</v>
      </c>
      <c r="AX431" s="1" t="s">
        <v>5500</v>
      </c>
      <c r="AY431" s="1">
        <v>5</v>
      </c>
      <c r="AZ431" s="1">
        <v>3161</v>
      </c>
      <c r="BA431" s="1" t="s">
        <v>330</v>
      </c>
      <c r="BB431" s="1" t="s">
        <v>5036</v>
      </c>
      <c r="BC431" s="1" t="s">
        <v>4867</v>
      </c>
      <c r="BD431" s="1">
        <v>0</v>
      </c>
      <c r="BE431" s="1"/>
    </row>
    <row r="432" spans="1:57" x14ac:dyDescent="0.25">
      <c r="A432" s="1">
        <v>20171</v>
      </c>
      <c r="B432" s="1" t="s">
        <v>4534</v>
      </c>
      <c r="C432" s="9" t="s">
        <v>1805</v>
      </c>
      <c r="D432" s="1" t="s">
        <v>4535</v>
      </c>
      <c r="E432" s="1"/>
      <c r="F432" s="1"/>
      <c r="G432" s="1" t="s">
        <v>4536</v>
      </c>
      <c r="H432" s="1" t="s">
        <v>4537</v>
      </c>
      <c r="I432" s="1" t="s">
        <v>4538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1798</v>
      </c>
      <c r="AK432" s="1" t="s">
        <v>330</v>
      </c>
      <c r="AL432" s="1">
        <v>13</v>
      </c>
      <c r="AM432" s="1" t="s">
        <v>4874</v>
      </c>
      <c r="AN432" s="1" t="s">
        <v>466</v>
      </c>
      <c r="AO432" s="1" t="s">
        <v>5442</v>
      </c>
      <c r="AP432" s="1">
        <v>0</v>
      </c>
      <c r="AQ432" s="1" t="s">
        <v>1796</v>
      </c>
      <c r="AR432" s="1" t="s">
        <v>1204</v>
      </c>
      <c r="AS432" s="1" t="s">
        <v>1179</v>
      </c>
      <c r="AT432" s="1" t="s">
        <v>330</v>
      </c>
      <c r="AU432" s="1">
        <v>171</v>
      </c>
      <c r="AV432" s="1">
        <v>0</v>
      </c>
      <c r="AW432" s="1" t="s">
        <v>5168</v>
      </c>
      <c r="AX432" s="1" t="s">
        <v>5500</v>
      </c>
      <c r="AY432" s="1">
        <v>5</v>
      </c>
      <c r="AZ432" s="1">
        <v>3171</v>
      </c>
      <c r="BA432" s="1" t="s">
        <v>330</v>
      </c>
      <c r="BB432" s="1" t="s">
        <v>5173</v>
      </c>
      <c r="BC432" s="1" t="s">
        <v>330</v>
      </c>
      <c r="BD432" s="1">
        <v>0</v>
      </c>
      <c r="BE432" s="1"/>
    </row>
    <row r="433" spans="1:57" x14ac:dyDescent="0.25">
      <c r="A433" s="1">
        <v>20178</v>
      </c>
      <c r="B433" s="1" t="s">
        <v>4508</v>
      </c>
      <c r="C433" s="9" t="s">
        <v>835</v>
      </c>
      <c r="D433" s="1" t="s">
        <v>835</v>
      </c>
      <c r="E433" s="1"/>
      <c r="F433" s="1"/>
      <c r="G433" s="1" t="s">
        <v>4509</v>
      </c>
      <c r="H433" s="1" t="s">
        <v>4510</v>
      </c>
      <c r="I433" s="1" t="s">
        <v>4511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330</v>
      </c>
      <c r="AK433" s="1" t="s">
        <v>330</v>
      </c>
      <c r="AL433" s="1">
        <v>13</v>
      </c>
      <c r="AM433" s="1" t="s">
        <v>400</v>
      </c>
      <c r="AN433" s="1" t="s">
        <v>5537</v>
      </c>
      <c r="AO433" s="1" t="s">
        <v>5538</v>
      </c>
      <c r="AP433" s="1">
        <v>0</v>
      </c>
      <c r="AQ433" s="1" t="s">
        <v>1795</v>
      </c>
      <c r="AR433" s="1" t="s">
        <v>1169</v>
      </c>
      <c r="AS433" s="1" t="s">
        <v>1180</v>
      </c>
      <c r="AT433" s="1" t="s">
        <v>330</v>
      </c>
      <c r="AU433" s="1">
        <v>178</v>
      </c>
      <c r="AV433" s="1">
        <v>0</v>
      </c>
      <c r="AW433" s="1" t="s">
        <v>5051</v>
      </c>
      <c r="AX433" s="1" t="s">
        <v>5500</v>
      </c>
      <c r="AY433" s="1">
        <v>4</v>
      </c>
      <c r="AZ433" s="1">
        <v>3178</v>
      </c>
      <c r="BA433" s="1" t="s">
        <v>330</v>
      </c>
      <c r="BB433" s="1" t="s">
        <v>5188</v>
      </c>
      <c r="BC433" s="1" t="s">
        <v>330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4512</v>
      </c>
      <c r="C434" s="9" t="s">
        <v>842</v>
      </c>
      <c r="D434" s="1" t="s">
        <v>4513</v>
      </c>
      <c r="E434" s="1"/>
      <c r="F434" s="1"/>
      <c r="G434" s="1" t="s">
        <v>4514</v>
      </c>
      <c r="H434" s="1" t="s">
        <v>4515</v>
      </c>
      <c r="I434" s="1" t="s">
        <v>4516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1512</v>
      </c>
      <c r="AK434" s="1" t="s">
        <v>1276</v>
      </c>
      <c r="AL434" s="1">
        <v>19</v>
      </c>
      <c r="AM434" s="1" t="s">
        <v>389</v>
      </c>
      <c r="AN434" s="1" t="s">
        <v>5539</v>
      </c>
      <c r="AO434" s="1" t="s">
        <v>5351</v>
      </c>
      <c r="AP434" s="1">
        <v>0</v>
      </c>
      <c r="AQ434" s="1" t="s">
        <v>5096</v>
      </c>
      <c r="AR434" s="1" t="s">
        <v>1218</v>
      </c>
      <c r="AS434" s="1" t="s">
        <v>1219</v>
      </c>
      <c r="AT434" s="1" t="s">
        <v>330</v>
      </c>
      <c r="AU434" s="1">
        <v>199</v>
      </c>
      <c r="AV434" s="1">
        <v>0</v>
      </c>
      <c r="AW434" s="1" t="s">
        <v>5117</v>
      </c>
      <c r="AX434" s="1" t="s">
        <v>5500</v>
      </c>
      <c r="AY434" s="1">
        <v>5</v>
      </c>
      <c r="AZ434" s="1">
        <v>3199</v>
      </c>
      <c r="BA434" s="1" t="s">
        <v>330</v>
      </c>
      <c r="BB434" s="1" t="s">
        <v>5221</v>
      </c>
      <c r="BC434" s="1" t="s">
        <v>4867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4517</v>
      </c>
      <c r="C435" s="9" t="s">
        <v>945</v>
      </c>
      <c r="D435" s="1" t="s">
        <v>945</v>
      </c>
      <c r="E435" s="1"/>
      <c r="F435" s="1"/>
      <c r="G435" s="1" t="s">
        <v>4518</v>
      </c>
      <c r="H435" s="1" t="s">
        <v>4519</v>
      </c>
      <c r="I435" s="1" t="s">
        <v>4520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1513</v>
      </c>
      <c r="AK435" s="1" t="s">
        <v>330</v>
      </c>
      <c r="AL435" s="1">
        <v>13</v>
      </c>
      <c r="AM435" s="1" t="s">
        <v>4846</v>
      </c>
      <c r="AN435" s="1" t="s">
        <v>4913</v>
      </c>
      <c r="AO435" s="1" t="s">
        <v>4929</v>
      </c>
      <c r="AP435" s="1">
        <v>0</v>
      </c>
      <c r="AQ435" s="1" t="s">
        <v>1797</v>
      </c>
      <c r="AR435" s="1" t="s">
        <v>1191</v>
      </c>
      <c r="AS435" s="1" t="s">
        <v>1192</v>
      </c>
      <c r="AT435" s="1" t="s">
        <v>330</v>
      </c>
      <c r="AU435" s="1">
        <v>200</v>
      </c>
      <c r="AV435" s="1">
        <v>0</v>
      </c>
      <c r="AW435" s="1" t="s">
        <v>5215</v>
      </c>
      <c r="AX435" s="1" t="s">
        <v>5500</v>
      </c>
      <c r="AY435" s="1">
        <v>5</v>
      </c>
      <c r="AZ435" s="1">
        <v>3200</v>
      </c>
      <c r="BA435" s="1" t="s">
        <v>330</v>
      </c>
      <c r="BB435" s="1" t="s">
        <v>330</v>
      </c>
      <c r="BC435" s="1" t="s">
        <v>4804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4539</v>
      </c>
      <c r="C436" s="9" t="s">
        <v>1806</v>
      </c>
      <c r="D436" s="1" t="s">
        <v>4540</v>
      </c>
      <c r="E436" s="1"/>
      <c r="F436" s="1"/>
      <c r="G436" s="1" t="s">
        <v>4541</v>
      </c>
      <c r="H436" s="1" t="s">
        <v>4542</v>
      </c>
      <c r="I436" s="1" t="s">
        <v>4543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1802</v>
      </c>
      <c r="AK436" s="1" t="s">
        <v>1803</v>
      </c>
      <c r="AL436" s="1">
        <v>13</v>
      </c>
      <c r="AM436" s="1" t="s">
        <v>4846</v>
      </c>
      <c r="AN436" s="1" t="s">
        <v>4968</v>
      </c>
      <c r="AO436" s="1" t="s">
        <v>4916</v>
      </c>
      <c r="AP436" s="1">
        <v>0</v>
      </c>
      <c r="AQ436" s="1" t="s">
        <v>1797</v>
      </c>
      <c r="AR436" s="1" t="s">
        <v>1191</v>
      </c>
      <c r="AS436" s="1" t="s">
        <v>1192</v>
      </c>
      <c r="AT436" s="1" t="s">
        <v>330</v>
      </c>
      <c r="AU436" s="1">
        <v>201</v>
      </c>
      <c r="AV436" s="1">
        <v>0</v>
      </c>
      <c r="AW436" s="1" t="s">
        <v>5223</v>
      </c>
      <c r="AX436" s="1" t="s">
        <v>5500</v>
      </c>
      <c r="AY436" s="1">
        <v>4</v>
      </c>
      <c r="AZ436" s="1">
        <v>3201</v>
      </c>
      <c r="BA436" s="1" t="s">
        <v>330</v>
      </c>
      <c r="BB436" s="1" t="s">
        <v>355</v>
      </c>
      <c r="BC436" s="1" t="s">
        <v>330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5821</v>
      </c>
      <c r="C437" s="9" t="s">
        <v>5822</v>
      </c>
      <c r="D437" s="1" t="s">
        <v>5822</v>
      </c>
      <c r="E437" s="1"/>
      <c r="F437" s="1"/>
      <c r="G437" s="1" t="s">
        <v>5823</v>
      </c>
      <c r="H437" s="1" t="s">
        <v>5824</v>
      </c>
      <c r="I437" s="1" t="s">
        <v>5825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5826</v>
      </c>
      <c r="AK437" s="1" t="s">
        <v>330</v>
      </c>
      <c r="AL437" s="1">
        <v>12</v>
      </c>
      <c r="AM437" s="1" t="s">
        <v>4803</v>
      </c>
      <c r="AN437" s="1" t="s">
        <v>5231</v>
      </c>
      <c r="AO437" s="1" t="s">
        <v>5827</v>
      </c>
      <c r="AP437" s="1">
        <v>0</v>
      </c>
      <c r="AQ437" s="1" t="s">
        <v>1796</v>
      </c>
      <c r="AR437" s="1" t="s">
        <v>1204</v>
      </c>
      <c r="AS437" s="1" t="s">
        <v>1179</v>
      </c>
      <c r="AT437" s="1" t="s">
        <v>330</v>
      </c>
      <c r="AU437" s="1">
        <v>205</v>
      </c>
      <c r="AV437" s="1">
        <v>0</v>
      </c>
      <c r="AW437" s="1" t="s">
        <v>4902</v>
      </c>
      <c r="AX437" s="1" t="s">
        <v>5500</v>
      </c>
      <c r="AY437" s="1">
        <v>6</v>
      </c>
      <c r="AZ437" s="1">
        <v>3205</v>
      </c>
      <c r="BA437" s="1" t="s">
        <v>330</v>
      </c>
      <c r="BB437" s="1" t="s">
        <v>355</v>
      </c>
      <c r="BC437" s="1" t="s">
        <v>5233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5828</v>
      </c>
      <c r="C438" s="9" t="s">
        <v>5829</v>
      </c>
      <c r="D438" s="1" t="s">
        <v>5829</v>
      </c>
      <c r="E438" s="1"/>
      <c r="F438" s="1"/>
      <c r="G438" s="1" t="s">
        <v>5830</v>
      </c>
      <c r="H438" s="1" t="s">
        <v>5831</v>
      </c>
      <c r="I438" s="1" t="s">
        <v>5832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5833</v>
      </c>
      <c r="AK438" s="1" t="s">
        <v>5834</v>
      </c>
      <c r="AL438" s="1">
        <v>14</v>
      </c>
      <c r="AM438" s="1" t="s">
        <v>4803</v>
      </c>
      <c r="AN438" s="1" t="s">
        <v>5835</v>
      </c>
      <c r="AO438" s="1" t="s">
        <v>5836</v>
      </c>
      <c r="AP438" s="1">
        <v>0</v>
      </c>
      <c r="AQ438" s="1" t="s">
        <v>1796</v>
      </c>
      <c r="AR438" s="1" t="s">
        <v>1204</v>
      </c>
      <c r="AS438" s="1" t="s">
        <v>1179</v>
      </c>
      <c r="AT438" s="1" t="s">
        <v>330</v>
      </c>
      <c r="AU438" s="1">
        <v>216</v>
      </c>
      <c r="AV438" s="1">
        <v>0</v>
      </c>
      <c r="AW438" s="1" t="s">
        <v>5246</v>
      </c>
      <c r="AX438" s="1" t="s">
        <v>5500</v>
      </c>
      <c r="AY438" s="1">
        <v>5</v>
      </c>
      <c r="AZ438" s="1">
        <v>3216</v>
      </c>
      <c r="BA438" s="1" t="s">
        <v>330</v>
      </c>
      <c r="BB438" s="1" t="s">
        <v>5254</v>
      </c>
      <c r="BC438" s="1" t="s">
        <v>4853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4544</v>
      </c>
      <c r="C439" s="9" t="s">
        <v>1804</v>
      </c>
      <c r="D439" s="1" t="s">
        <v>1804</v>
      </c>
      <c r="E439" s="1"/>
      <c r="F439" s="1"/>
      <c r="G439" s="1" t="s">
        <v>4545</v>
      </c>
      <c r="H439" s="1" t="s">
        <v>4546</v>
      </c>
      <c r="I439" s="1" t="s">
        <v>4547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330</v>
      </c>
      <c r="AK439" s="1" t="s">
        <v>330</v>
      </c>
      <c r="AL439" s="1">
        <v>13</v>
      </c>
      <c r="AM439" s="1" t="s">
        <v>1889</v>
      </c>
      <c r="AN439" s="1" t="s">
        <v>4945</v>
      </c>
      <c r="AO439" s="1" t="s">
        <v>5038</v>
      </c>
      <c r="AP439" s="1">
        <v>0</v>
      </c>
      <c r="AQ439" s="1" t="s">
        <v>1168</v>
      </c>
      <c r="AR439" s="1" t="s">
        <v>1794</v>
      </c>
      <c r="AS439" s="1" t="s">
        <v>1170</v>
      </c>
      <c r="AT439" s="1" t="s">
        <v>330</v>
      </c>
      <c r="AU439" s="1">
        <v>220</v>
      </c>
      <c r="AV439" s="1">
        <v>0</v>
      </c>
      <c r="AW439" s="1" t="s">
        <v>5258</v>
      </c>
      <c r="AX439" s="1" t="s">
        <v>5500</v>
      </c>
      <c r="AY439" s="1">
        <v>4</v>
      </c>
      <c r="AZ439" s="1">
        <v>3220</v>
      </c>
      <c r="BA439" s="1" t="s">
        <v>330</v>
      </c>
      <c r="BB439" s="1" t="s">
        <v>469</v>
      </c>
      <c r="BC439" s="1" t="s">
        <v>4841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4521</v>
      </c>
      <c r="C440" s="9" t="s">
        <v>1736</v>
      </c>
      <c r="D440" s="1" t="s">
        <v>4522</v>
      </c>
      <c r="E440" s="1"/>
      <c r="F440" s="1"/>
      <c r="G440" s="1" t="s">
        <v>4523</v>
      </c>
      <c r="H440" s="1" t="s">
        <v>4524</v>
      </c>
      <c r="I440" s="1" t="s">
        <v>4525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1210</v>
      </c>
      <c r="AK440" s="1" t="s">
        <v>1514</v>
      </c>
      <c r="AL440" s="1">
        <v>13</v>
      </c>
      <c r="AM440" s="1" t="s">
        <v>1889</v>
      </c>
      <c r="AN440" s="1" t="s">
        <v>5540</v>
      </c>
      <c r="AO440" s="1" t="s">
        <v>5147</v>
      </c>
      <c r="AP440" s="1">
        <v>0</v>
      </c>
      <c r="AQ440" s="1" t="s">
        <v>1168</v>
      </c>
      <c r="AR440" s="1" t="s">
        <v>1794</v>
      </c>
      <c r="AS440" s="1" t="s">
        <v>1170</v>
      </c>
      <c r="AT440" s="1" t="s">
        <v>330</v>
      </c>
      <c r="AU440" s="1">
        <v>221</v>
      </c>
      <c r="AV440" s="1">
        <v>0</v>
      </c>
      <c r="AW440" s="1" t="s">
        <v>5260</v>
      </c>
      <c r="AX440" s="1" t="s">
        <v>5500</v>
      </c>
      <c r="AY440" s="1">
        <v>4</v>
      </c>
      <c r="AZ440" s="1">
        <v>3221</v>
      </c>
      <c r="BA440" s="1" t="s">
        <v>330</v>
      </c>
      <c r="BB440" s="1" t="s">
        <v>5261</v>
      </c>
      <c r="BC440" s="1" t="s">
        <v>4841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4526</v>
      </c>
      <c r="C441" s="9" t="s">
        <v>267</v>
      </c>
      <c r="D441" s="1" t="s">
        <v>267</v>
      </c>
      <c r="E441" s="1"/>
      <c r="F441" s="1"/>
      <c r="G441" s="1" t="s">
        <v>4527</v>
      </c>
      <c r="H441" s="1" t="s">
        <v>4528</v>
      </c>
      <c r="I441" s="1" t="s">
        <v>4529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1515</v>
      </c>
      <c r="AK441" s="1" t="s">
        <v>330</v>
      </c>
      <c r="AL441" s="1">
        <v>18</v>
      </c>
      <c r="AM441" s="1" t="s">
        <v>5541</v>
      </c>
      <c r="AN441" s="1" t="s">
        <v>5542</v>
      </c>
      <c r="AO441" s="1" t="s">
        <v>4916</v>
      </c>
      <c r="AP441" s="1">
        <v>0</v>
      </c>
      <c r="AQ441" s="1" t="s">
        <v>1797</v>
      </c>
      <c r="AR441" s="1" t="s">
        <v>1191</v>
      </c>
      <c r="AS441" s="1" t="s">
        <v>1192</v>
      </c>
      <c r="AT441" s="1" t="s">
        <v>330</v>
      </c>
      <c r="AU441" s="1">
        <v>184</v>
      </c>
      <c r="AV441" s="1">
        <v>0</v>
      </c>
      <c r="AW441" s="1" t="s">
        <v>5273</v>
      </c>
      <c r="AX441" s="1" t="s">
        <v>5500</v>
      </c>
      <c r="AY441" s="1">
        <v>5</v>
      </c>
      <c r="AZ441" s="1">
        <v>3252</v>
      </c>
      <c r="BA441" s="1" t="s">
        <v>330</v>
      </c>
      <c r="BB441" s="1" t="s">
        <v>330</v>
      </c>
      <c r="BC441" s="1" t="s">
        <v>4841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5837</v>
      </c>
      <c r="C442" s="9" t="s">
        <v>5838</v>
      </c>
      <c r="D442" s="1" t="s">
        <v>5838</v>
      </c>
      <c r="E442" s="1"/>
      <c r="F442" s="1"/>
      <c r="G442" s="1" t="s">
        <v>5839</v>
      </c>
      <c r="H442" s="1" t="s">
        <v>5840</v>
      </c>
      <c r="I442" s="1" t="s">
        <v>5841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5842</v>
      </c>
      <c r="AK442" s="1" t="s">
        <v>5843</v>
      </c>
      <c r="AL442" s="1">
        <v>13</v>
      </c>
      <c r="AM442" s="1" t="s">
        <v>4803</v>
      </c>
      <c r="AN442" s="1" t="s">
        <v>4948</v>
      </c>
      <c r="AO442" s="1" t="s">
        <v>5844</v>
      </c>
      <c r="AP442" s="1">
        <v>0</v>
      </c>
      <c r="AQ442" s="1" t="s">
        <v>1180</v>
      </c>
      <c r="AR442" s="1" t="s">
        <v>1204</v>
      </c>
      <c r="AS442" s="1" t="s">
        <v>1795</v>
      </c>
      <c r="AT442" s="1" t="s">
        <v>330</v>
      </c>
      <c r="AU442" s="1">
        <v>215</v>
      </c>
      <c r="AV442" s="1">
        <v>0</v>
      </c>
      <c r="AW442" s="1" t="s">
        <v>5366</v>
      </c>
      <c r="AX442" s="1" t="s">
        <v>5500</v>
      </c>
      <c r="AY442" s="1">
        <v>6</v>
      </c>
      <c r="AZ442" s="1">
        <v>3293</v>
      </c>
      <c r="BA442" s="1" t="s">
        <v>330</v>
      </c>
      <c r="BB442" s="1" t="s">
        <v>330</v>
      </c>
      <c r="BC442" s="1" t="s">
        <v>5233</v>
      </c>
      <c r="BD442" s="1">
        <v>0</v>
      </c>
      <c r="BE442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5739</v>
      </c>
      <c r="C7" t="s">
        <v>5740</v>
      </c>
      <c r="D7" t="s">
        <v>5740</v>
      </c>
      <c r="E7" t="s">
        <v>5741</v>
      </c>
      <c r="G7" t="s">
        <v>4568</v>
      </c>
      <c r="H7" t="s">
        <v>5742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5743</v>
      </c>
      <c r="X7" t="s">
        <v>5744</v>
      </c>
      <c r="Y7" t="s">
        <v>5745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5746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5747</v>
      </c>
      <c r="C24" t="s">
        <v>5751</v>
      </c>
      <c r="D24" t="s">
        <v>5748</v>
      </c>
      <c r="E24" t="s">
        <v>5749</v>
      </c>
      <c r="G24" t="s">
        <v>4568</v>
      </c>
      <c r="H24" t="s">
        <v>5750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5752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5753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5753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3" t="s">
        <v>771</v>
      </c>
      <c r="B1" s="243"/>
      <c r="C1" s="243"/>
      <c r="E1" s="243" t="s">
        <v>772</v>
      </c>
      <c r="F1" s="243"/>
      <c r="G1" s="243"/>
      <c r="I1" s="243" t="s">
        <v>877</v>
      </c>
      <c r="J1" s="243"/>
      <c r="K1" s="243"/>
      <c r="M1" s="243" t="s">
        <v>1078</v>
      </c>
      <c r="N1" s="243"/>
      <c r="O1" s="243"/>
      <c r="Q1" s="244" t="s">
        <v>773</v>
      </c>
      <c r="R1" s="244"/>
      <c r="S1" s="244"/>
      <c r="T1" s="244"/>
      <c r="U1" s="244"/>
      <c r="V1" s="24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5594</v>
      </c>
    </row>
    <row r="46" spans="2:3" x14ac:dyDescent="0.25">
      <c r="B46" t="s">
        <v>777</v>
      </c>
      <c r="C46" s="233" t="s">
        <v>5717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Z171"/>
  <sheetViews>
    <sheetView topLeftCell="AN1" workbookViewId="0">
      <pane ySplit="1" topLeftCell="A148" activePane="bottomLeft" state="frozen"/>
      <selection activeCell="AV3" sqref="AV3"/>
      <selection pane="bottomLeft" activeCell="AV2" sqref="AV2:AV17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t="s">
        <v>5838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t="s">
        <v>5822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V4" s="9" t="s">
        <v>1497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V5" s="9" t="s">
        <v>260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t="s">
        <v>5807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262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845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105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106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114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189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5838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128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713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111</v>
      </c>
      <c r="Z14" s="9" t="s">
        <v>794</v>
      </c>
      <c r="AD14" s="9" t="s">
        <v>1683</v>
      </c>
      <c r="AE14" s="9" t="s">
        <v>5718</v>
      </c>
      <c r="AL14" s="40"/>
      <c r="AM14" s="40"/>
      <c r="AU14" t="s">
        <v>5758</v>
      </c>
      <c r="AV14" t="s">
        <v>714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816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5757</v>
      </c>
      <c r="AV15" t="s">
        <v>715</v>
      </c>
    </row>
    <row r="16" spans="1:50" x14ac:dyDescent="0.25">
      <c r="A16" s="9"/>
      <c r="C16" s="9"/>
      <c r="D16" s="9" t="s">
        <v>1722</v>
      </c>
      <c r="E16" s="9" t="s">
        <v>5774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795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744</v>
      </c>
    </row>
    <row r="17" spans="1:52" x14ac:dyDescent="0.25">
      <c r="A17" s="9"/>
      <c r="C17" s="9"/>
      <c r="D17" s="9" t="s">
        <v>756</v>
      </c>
      <c r="E17" s="9" t="s">
        <v>811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Y17" s="9" t="s">
        <v>1702</v>
      </c>
      <c r="Z17" s="9" t="s">
        <v>842</v>
      </c>
      <c r="AD17" s="9" t="s">
        <v>1723</v>
      </c>
      <c r="AE17" s="9" t="s">
        <v>1685</v>
      </c>
      <c r="AV17" t="s">
        <v>162</v>
      </c>
    </row>
    <row r="18" spans="1:52" x14ac:dyDescent="0.25">
      <c r="A18" s="9"/>
      <c r="C18" s="9"/>
      <c r="D18" s="9" t="s">
        <v>1701</v>
      </c>
      <c r="E18" s="9" t="s">
        <v>19</v>
      </c>
      <c r="F18" s="9" t="s">
        <v>197</v>
      </c>
      <c r="G18" s="9"/>
      <c r="I18" s="9" t="s">
        <v>181</v>
      </c>
      <c r="J18" s="9" t="s">
        <v>5867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5822</v>
      </c>
    </row>
    <row r="19" spans="1:52" x14ac:dyDescent="0.25">
      <c r="A19" s="9"/>
      <c r="C19" s="9"/>
      <c r="D19" s="9" t="s">
        <v>66</v>
      </c>
      <c r="E19" s="9" t="s">
        <v>153</v>
      </c>
      <c r="F19" s="9" t="s">
        <v>1704</v>
      </c>
      <c r="G19" s="9"/>
      <c r="I19" s="9" t="s">
        <v>156</v>
      </c>
      <c r="J19" s="9" t="s">
        <v>807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253</v>
      </c>
    </row>
    <row r="20" spans="1:52" x14ac:dyDescent="0.25">
      <c r="A20" s="9"/>
      <c r="C20" s="9"/>
      <c r="D20" s="9" t="s">
        <v>225</v>
      </c>
      <c r="E20" s="9" t="s">
        <v>1670</v>
      </c>
      <c r="F20" s="9" t="s">
        <v>186</v>
      </c>
      <c r="G20" s="9"/>
      <c r="I20" s="9" t="s">
        <v>1673</v>
      </c>
      <c r="J20" s="9" t="s">
        <v>144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259</v>
      </c>
    </row>
    <row r="21" spans="1:52" x14ac:dyDescent="0.25">
      <c r="A21" s="9"/>
      <c r="C21" s="9"/>
      <c r="D21" s="9" t="s">
        <v>73</v>
      </c>
      <c r="E21" s="9" t="s">
        <v>67</v>
      </c>
      <c r="F21" s="9" t="s">
        <v>64</v>
      </c>
      <c r="G21" s="9"/>
      <c r="J21" s="9" t="s">
        <v>837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74</v>
      </c>
    </row>
    <row r="22" spans="1:52" x14ac:dyDescent="0.25">
      <c r="A22" s="9"/>
      <c r="C22" s="9"/>
      <c r="D22" s="9" t="s">
        <v>214</v>
      </c>
      <c r="E22" s="9" t="s">
        <v>5576</v>
      </c>
      <c r="F22" t="s">
        <v>5764</v>
      </c>
      <c r="J22" s="9" t="s">
        <v>747</v>
      </c>
      <c r="K22" s="9" t="s">
        <v>1677</v>
      </c>
      <c r="N22" s="9" t="s">
        <v>3479</v>
      </c>
      <c r="O22" s="9" t="s">
        <v>5790</v>
      </c>
      <c r="P22" t="s">
        <v>1443</v>
      </c>
      <c r="T22" s="9" t="s">
        <v>229</v>
      </c>
      <c r="U22" s="9" t="s">
        <v>168</v>
      </c>
      <c r="AV22" t="s">
        <v>750</v>
      </c>
    </row>
    <row r="23" spans="1:52" x14ac:dyDescent="0.25">
      <c r="A23" s="9"/>
      <c r="C23" s="9"/>
      <c r="D23" s="9" t="s">
        <v>810</v>
      </c>
      <c r="E23" s="9" t="s">
        <v>5575</v>
      </c>
      <c r="F23" s="9" t="s">
        <v>268</v>
      </c>
      <c r="J23" s="9" t="s">
        <v>24</v>
      </c>
      <c r="K23" s="9" t="s">
        <v>5781</v>
      </c>
      <c r="N23" s="9" t="s">
        <v>218</v>
      </c>
      <c r="O23" s="9" t="s">
        <v>243</v>
      </c>
      <c r="P23" s="9" t="s">
        <v>1705</v>
      </c>
      <c r="T23" s="9" t="s">
        <v>1699</v>
      </c>
      <c r="U23" s="9" t="s">
        <v>1756</v>
      </c>
      <c r="AV23" t="s">
        <v>752</v>
      </c>
    </row>
    <row r="24" spans="1:52" x14ac:dyDescent="0.25">
      <c r="A24" s="9"/>
      <c r="B24" s="9"/>
      <c r="C24" s="9"/>
      <c r="D24" s="9"/>
      <c r="E24" s="9"/>
      <c r="F24" s="9" t="s">
        <v>738</v>
      </c>
      <c r="J24" s="9" t="s">
        <v>23</v>
      </c>
      <c r="K24" s="9" t="s">
        <v>127</v>
      </c>
      <c r="O24" s="9" t="s">
        <v>838</v>
      </c>
      <c r="P24" s="9" t="s">
        <v>207</v>
      </c>
      <c r="T24" s="9" t="s">
        <v>1665</v>
      </c>
      <c r="U24" s="9" t="s">
        <v>258</v>
      </c>
      <c r="AQ24" s="9"/>
      <c r="AV24" t="s">
        <v>754</v>
      </c>
    </row>
    <row r="25" spans="1:52" x14ac:dyDescent="0.25">
      <c r="A25" s="9"/>
      <c r="B25" s="9"/>
      <c r="C25" s="9"/>
      <c r="D25" s="9"/>
      <c r="E25" s="9"/>
      <c r="F25" s="9" t="s">
        <v>746</v>
      </c>
      <c r="J25" s="9" t="s">
        <v>123</v>
      </c>
      <c r="K25" s="9" t="s">
        <v>76</v>
      </c>
      <c r="O25" s="9" t="s">
        <v>847</v>
      </c>
      <c r="P25" s="9" t="s">
        <v>250</v>
      </c>
      <c r="T25" s="9" t="s">
        <v>839</v>
      </c>
      <c r="U25" s="9" t="s">
        <v>257</v>
      </c>
      <c r="AQ25" s="9"/>
      <c r="AV25" t="s">
        <v>753</v>
      </c>
    </row>
    <row r="26" spans="1:52" x14ac:dyDescent="0.25">
      <c r="A26" s="9"/>
      <c r="B26" s="9"/>
      <c r="C26" s="9"/>
      <c r="D26" s="9"/>
      <c r="E26" s="9"/>
      <c r="F26" s="9" t="s">
        <v>831</v>
      </c>
      <c r="J26" t="s">
        <v>5562</v>
      </c>
      <c r="K26" s="9" t="s">
        <v>224</v>
      </c>
      <c r="O26" s="9" t="s">
        <v>172</v>
      </c>
      <c r="P26" s="9" t="s">
        <v>826</v>
      </c>
      <c r="T26" s="9" t="s">
        <v>745</v>
      </c>
      <c r="U26" s="9" t="s">
        <v>179</v>
      </c>
      <c r="AQ26" s="9"/>
      <c r="AV26" t="s">
        <v>755</v>
      </c>
    </row>
    <row r="27" spans="1:52" x14ac:dyDescent="0.25">
      <c r="A27" s="9"/>
      <c r="B27" s="9"/>
      <c r="C27" s="9"/>
      <c r="D27" s="9"/>
      <c r="E27" s="9"/>
      <c r="F27" s="9" t="s">
        <v>801</v>
      </c>
      <c r="K27" s="9" t="s">
        <v>266</v>
      </c>
      <c r="P27" s="9" t="s">
        <v>803</v>
      </c>
      <c r="T27" s="9" t="s">
        <v>1668</v>
      </c>
      <c r="U27" t="s">
        <v>1446</v>
      </c>
      <c r="AQ27" s="9"/>
      <c r="AV27" t="s">
        <v>724</v>
      </c>
      <c r="AZ27" s="9"/>
    </row>
    <row r="28" spans="1:52" x14ac:dyDescent="0.25">
      <c r="A28" s="9"/>
      <c r="B28" s="9"/>
      <c r="C28" s="9"/>
      <c r="D28" s="9"/>
      <c r="E28" s="9"/>
      <c r="F28" s="9" t="s">
        <v>844</v>
      </c>
      <c r="K28" s="9" t="s">
        <v>265</v>
      </c>
      <c r="P28" s="9" t="s">
        <v>743</v>
      </c>
      <c r="T28" s="9" t="s">
        <v>180</v>
      </c>
      <c r="U28" s="9" t="s">
        <v>1675</v>
      </c>
      <c r="AV28" t="s">
        <v>152</v>
      </c>
    </row>
    <row r="29" spans="1:52" x14ac:dyDescent="0.25">
      <c r="A29" s="9"/>
      <c r="C29" s="9"/>
      <c r="D29" s="9"/>
      <c r="E29" s="9"/>
      <c r="K29" s="9" t="s">
        <v>79</v>
      </c>
      <c r="P29" s="9" t="s">
        <v>822</v>
      </c>
      <c r="U29" t="s">
        <v>5800</v>
      </c>
      <c r="AV29" t="s">
        <v>742</v>
      </c>
    </row>
    <row r="30" spans="1:52" x14ac:dyDescent="0.25">
      <c r="A30" s="9"/>
      <c r="C30" s="9"/>
      <c r="D30" s="9"/>
      <c r="E30" s="9"/>
      <c r="K30" s="9" t="s">
        <v>825</v>
      </c>
      <c r="P30" s="9" t="s">
        <v>1287</v>
      </c>
      <c r="U30" s="9" t="s">
        <v>799</v>
      </c>
      <c r="AV30" t="s">
        <v>1654</v>
      </c>
    </row>
    <row r="31" spans="1:52" x14ac:dyDescent="0.25">
      <c r="A31" s="9"/>
      <c r="C31" s="9"/>
      <c r="D31" s="9"/>
      <c r="E31" s="9"/>
      <c r="K31" s="9" t="s">
        <v>198</v>
      </c>
      <c r="P31" s="9" t="s">
        <v>1719</v>
      </c>
      <c r="U31" s="9" t="s">
        <v>230</v>
      </c>
      <c r="AV31" t="s">
        <v>728</v>
      </c>
    </row>
    <row r="32" spans="1:52" x14ac:dyDescent="0.25">
      <c r="A32" s="9"/>
      <c r="C32" s="9"/>
      <c r="D32" s="9"/>
      <c r="E32" s="9"/>
      <c r="P32" s="9" t="s">
        <v>95</v>
      </c>
      <c r="U32" t="s">
        <v>1805</v>
      </c>
      <c r="AV32" t="s">
        <v>109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1720</v>
      </c>
      <c r="AV33" t="s">
        <v>835</v>
      </c>
    </row>
    <row r="34" spans="1:48" x14ac:dyDescent="0.25">
      <c r="A34" s="9"/>
      <c r="C34" s="9"/>
      <c r="D34" s="9"/>
      <c r="E34" s="9"/>
      <c r="U34" s="9" t="s">
        <v>906</v>
      </c>
      <c r="AV34" t="s">
        <v>1233</v>
      </c>
    </row>
    <row r="35" spans="1:48" x14ac:dyDescent="0.25">
      <c r="A35" s="9"/>
      <c r="C35" s="9"/>
      <c r="D35" s="9"/>
      <c r="E35" s="9"/>
      <c r="U35" s="9" t="s">
        <v>246</v>
      </c>
      <c r="AV35" t="s">
        <v>725</v>
      </c>
    </row>
    <row r="36" spans="1:48" x14ac:dyDescent="0.25">
      <c r="A36" s="9"/>
      <c r="C36" s="9"/>
      <c r="D36" s="9"/>
      <c r="E36" s="9"/>
      <c r="U36" s="9" t="s">
        <v>1733</v>
      </c>
      <c r="AV36" t="s">
        <v>716</v>
      </c>
    </row>
    <row r="37" spans="1:48" x14ac:dyDescent="0.25">
      <c r="A37" s="9"/>
      <c r="C37" s="9"/>
      <c r="D37" s="9"/>
      <c r="E37" s="9"/>
      <c r="U37" s="9" t="s">
        <v>160</v>
      </c>
      <c r="AV37" t="s">
        <v>125</v>
      </c>
    </row>
    <row r="38" spans="1:48" x14ac:dyDescent="0.25">
      <c r="A38" s="9"/>
      <c r="C38" s="9"/>
      <c r="D38" s="9"/>
      <c r="E38" s="9"/>
      <c r="U38" t="s">
        <v>1729</v>
      </c>
      <c r="AV38" t="s">
        <v>1467</v>
      </c>
    </row>
    <row r="39" spans="1:48" x14ac:dyDescent="0.25">
      <c r="A39" s="9"/>
      <c r="C39" s="9"/>
      <c r="D39" s="9"/>
      <c r="E39" s="9"/>
      <c r="U39" s="9" t="s">
        <v>800</v>
      </c>
      <c r="AV39" t="s">
        <v>1497</v>
      </c>
    </row>
    <row r="40" spans="1:48" x14ac:dyDescent="0.25">
      <c r="A40" s="9"/>
      <c r="C40" s="9"/>
      <c r="D40" s="9"/>
      <c r="E40" s="9"/>
      <c r="U40" s="9" t="s">
        <v>133</v>
      </c>
      <c r="AV40" t="s">
        <v>75</v>
      </c>
    </row>
    <row r="41" spans="1:48" x14ac:dyDescent="0.25">
      <c r="A41" s="9"/>
      <c r="C41" s="9"/>
      <c r="D41" s="9"/>
      <c r="E41" s="9"/>
      <c r="U41" s="9" t="s">
        <v>134</v>
      </c>
      <c r="AV41" t="s">
        <v>1799</v>
      </c>
    </row>
    <row r="42" spans="1:48" x14ac:dyDescent="0.25">
      <c r="A42" s="9"/>
      <c r="C42" s="9"/>
      <c r="D42" s="9"/>
      <c r="U42" s="9" t="s">
        <v>815</v>
      </c>
      <c r="AV42" t="s">
        <v>1479</v>
      </c>
    </row>
    <row r="43" spans="1:48" x14ac:dyDescent="0.25">
      <c r="A43" s="9"/>
      <c r="C43" s="9"/>
      <c r="D43" s="9"/>
      <c r="U43" t="s">
        <v>5829</v>
      </c>
      <c r="AV43" t="s">
        <v>1477</v>
      </c>
    </row>
    <row r="44" spans="1:48" x14ac:dyDescent="0.25">
      <c r="A44" s="9"/>
      <c r="C44" s="9"/>
      <c r="D44" s="9"/>
      <c r="U44" s="9" t="s">
        <v>169</v>
      </c>
      <c r="AV44" t="s">
        <v>741</v>
      </c>
    </row>
    <row r="45" spans="1:48" x14ac:dyDescent="0.25">
      <c r="A45" s="9"/>
      <c r="C45" s="9"/>
      <c r="D45" s="9"/>
      <c r="AV45" t="s">
        <v>840</v>
      </c>
    </row>
    <row r="46" spans="1:48" x14ac:dyDescent="0.25">
      <c r="A46" s="9"/>
      <c r="C46" s="9"/>
      <c r="D46" s="9"/>
      <c r="AV46" t="s">
        <v>1806</v>
      </c>
    </row>
    <row r="47" spans="1:48" x14ac:dyDescent="0.25">
      <c r="A47" s="9"/>
      <c r="C47" s="9"/>
      <c r="D47" s="9"/>
      <c r="AV47" t="s">
        <v>120</v>
      </c>
    </row>
    <row r="48" spans="1:48" x14ac:dyDescent="0.25">
      <c r="A48" s="9"/>
      <c r="C48" s="9"/>
      <c r="D48" s="9"/>
      <c r="AV48" t="s">
        <v>1736</v>
      </c>
    </row>
    <row r="49" spans="1:48" x14ac:dyDescent="0.25">
      <c r="A49" s="9"/>
      <c r="C49" s="9"/>
      <c r="D49" s="9"/>
      <c r="AV49" t="s">
        <v>249</v>
      </c>
    </row>
    <row r="50" spans="1:48" x14ac:dyDescent="0.25">
      <c r="A50" s="9"/>
      <c r="C50" s="9"/>
      <c r="D50" s="9"/>
      <c r="AV50" t="s">
        <v>223</v>
      </c>
    </row>
    <row r="51" spans="1:48" x14ac:dyDescent="0.25">
      <c r="A51" s="9"/>
      <c r="C51" s="9"/>
      <c r="D51" s="9"/>
      <c r="AV51" t="s">
        <v>260</v>
      </c>
    </row>
    <row r="52" spans="1:48" x14ac:dyDescent="0.25">
      <c r="A52" s="9"/>
      <c r="C52" s="9"/>
      <c r="D52" s="9"/>
      <c r="AV52" t="s">
        <v>1770</v>
      </c>
    </row>
    <row r="53" spans="1:48" x14ac:dyDescent="0.25">
      <c r="A53" s="9"/>
      <c r="C53" s="9"/>
      <c r="D53" s="9"/>
      <c r="AV53" t="s">
        <v>263</v>
      </c>
    </row>
    <row r="54" spans="1:48" x14ac:dyDescent="0.25">
      <c r="A54" s="9"/>
      <c r="C54" s="9"/>
      <c r="D54" s="9"/>
      <c r="AV54" t="s">
        <v>78</v>
      </c>
    </row>
    <row r="55" spans="1:48" x14ac:dyDescent="0.25">
      <c r="A55" s="9"/>
      <c r="C55" s="9"/>
      <c r="D55" s="9"/>
      <c r="AV55" t="s">
        <v>1742</v>
      </c>
    </row>
    <row r="56" spans="1:48" x14ac:dyDescent="0.25">
      <c r="A56" s="9"/>
      <c r="C56" s="9"/>
      <c r="D56" s="9"/>
      <c r="AV56" t="s">
        <v>192</v>
      </c>
    </row>
    <row r="57" spans="1:48" x14ac:dyDescent="0.25">
      <c r="A57" s="9"/>
      <c r="C57" s="9"/>
      <c r="D57" s="9"/>
      <c r="AV57" t="s">
        <v>762</v>
      </c>
    </row>
    <row r="58" spans="1:48" x14ac:dyDescent="0.25">
      <c r="A58" s="9"/>
      <c r="C58" s="9"/>
      <c r="D58" s="9"/>
      <c r="AV58" t="s">
        <v>765</v>
      </c>
    </row>
    <row r="59" spans="1:48" x14ac:dyDescent="0.25">
      <c r="A59" s="9"/>
      <c r="C59" s="9"/>
      <c r="D59" s="9"/>
      <c r="AV59" t="s">
        <v>766</v>
      </c>
    </row>
    <row r="60" spans="1:48" x14ac:dyDescent="0.25">
      <c r="A60" s="9"/>
      <c r="C60" s="9"/>
      <c r="D60" s="9"/>
      <c r="AV60" t="s">
        <v>763</v>
      </c>
    </row>
    <row r="61" spans="1:48" x14ac:dyDescent="0.25">
      <c r="A61" s="9"/>
      <c r="C61" s="9"/>
      <c r="D61" s="9"/>
      <c r="AV61" t="s">
        <v>761</v>
      </c>
    </row>
    <row r="62" spans="1:48" x14ac:dyDescent="0.25">
      <c r="A62" s="9"/>
      <c r="C62" s="9"/>
      <c r="D62" s="9"/>
      <c r="AV62" t="s">
        <v>764</v>
      </c>
    </row>
    <row r="63" spans="1:48" x14ac:dyDescent="0.25">
      <c r="A63" s="9"/>
      <c r="C63" s="9"/>
      <c r="D63" s="9"/>
      <c r="AV63" t="s">
        <v>767</v>
      </c>
    </row>
    <row r="64" spans="1:48" x14ac:dyDescent="0.25">
      <c r="C64" s="9"/>
      <c r="D64" s="9"/>
      <c r="AV64" t="s">
        <v>850</v>
      </c>
    </row>
    <row r="65" spans="3:48" x14ac:dyDescent="0.25">
      <c r="C65" s="9"/>
      <c r="D65" s="9"/>
      <c r="AV65" t="s">
        <v>93</v>
      </c>
    </row>
    <row r="66" spans="3:48" x14ac:dyDescent="0.25">
      <c r="C66" s="9"/>
      <c r="D66" s="9"/>
      <c r="AV66" t="s">
        <v>729</v>
      </c>
    </row>
    <row r="67" spans="3:48" x14ac:dyDescent="0.25">
      <c r="C67" s="9"/>
      <c r="D67" s="9"/>
      <c r="AV67" t="s">
        <v>267</v>
      </c>
    </row>
    <row r="68" spans="3:48" x14ac:dyDescent="0.25">
      <c r="D68" s="9"/>
      <c r="AV68" t="s">
        <v>96</v>
      </c>
    </row>
    <row r="69" spans="3:48" x14ac:dyDescent="0.25">
      <c r="D69" s="9"/>
      <c r="AV69" t="s">
        <v>262</v>
      </c>
    </row>
    <row r="70" spans="3:48" x14ac:dyDescent="0.25">
      <c r="D70" s="9"/>
      <c r="AV70" t="s">
        <v>256</v>
      </c>
    </row>
    <row r="71" spans="3:48" x14ac:dyDescent="0.25">
      <c r="AV71" t="s">
        <v>98</v>
      </c>
    </row>
    <row r="72" spans="3:48" x14ac:dyDescent="0.25">
      <c r="AV72" t="s">
        <v>793</v>
      </c>
    </row>
    <row r="73" spans="3:48" x14ac:dyDescent="0.25">
      <c r="AV73" t="s">
        <v>731</v>
      </c>
    </row>
    <row r="74" spans="3:48" x14ac:dyDescent="0.25">
      <c r="AV74" t="s">
        <v>254</v>
      </c>
    </row>
    <row r="75" spans="3:48" x14ac:dyDescent="0.25">
      <c r="AV75" t="s">
        <v>105</v>
      </c>
    </row>
    <row r="76" spans="3:48" x14ac:dyDescent="0.25">
      <c r="AV76" t="s">
        <v>261</v>
      </c>
    </row>
    <row r="77" spans="3:48" x14ac:dyDescent="0.25">
      <c r="AV77" t="s">
        <v>107</v>
      </c>
    </row>
    <row r="78" spans="3:48" x14ac:dyDescent="0.25">
      <c r="AV78" t="s">
        <v>89</v>
      </c>
    </row>
    <row r="79" spans="3:48" x14ac:dyDescent="0.25">
      <c r="AV79" t="s">
        <v>1221</v>
      </c>
    </row>
    <row r="80" spans="3:48" x14ac:dyDescent="0.25">
      <c r="AV80" t="s">
        <v>77</v>
      </c>
    </row>
    <row r="81" spans="48:48" x14ac:dyDescent="0.25">
      <c r="AV81" t="s">
        <v>147</v>
      </c>
    </row>
    <row r="82" spans="48:48" x14ac:dyDescent="0.25">
      <c r="AV82" t="s">
        <v>720</v>
      </c>
    </row>
    <row r="83" spans="48:48" x14ac:dyDescent="0.25">
      <c r="AV83" t="s">
        <v>258</v>
      </c>
    </row>
    <row r="84" spans="48:48" x14ac:dyDescent="0.25">
      <c r="AV84" t="s">
        <v>257</v>
      </c>
    </row>
    <row r="85" spans="48:48" x14ac:dyDescent="0.25">
      <c r="AV85" t="s">
        <v>722</v>
      </c>
    </row>
    <row r="86" spans="48:48" x14ac:dyDescent="0.25">
      <c r="AV86" t="s">
        <v>63</v>
      </c>
    </row>
    <row r="87" spans="48:48" x14ac:dyDescent="0.25">
      <c r="AV87" t="s">
        <v>264</v>
      </c>
    </row>
    <row r="88" spans="48:48" x14ac:dyDescent="0.25">
      <c r="AV88" t="s">
        <v>68</v>
      </c>
    </row>
    <row r="89" spans="48:48" x14ac:dyDescent="0.25">
      <c r="AV89" t="s">
        <v>954</v>
      </c>
    </row>
    <row r="90" spans="48:48" x14ac:dyDescent="0.25">
      <c r="AV90" t="s">
        <v>179</v>
      </c>
    </row>
    <row r="91" spans="48:48" x14ac:dyDescent="0.25">
      <c r="AV91" t="s">
        <v>1446</v>
      </c>
    </row>
    <row r="92" spans="48:48" x14ac:dyDescent="0.25">
      <c r="AV92" t="s">
        <v>114</v>
      </c>
    </row>
    <row r="93" spans="48:48" x14ac:dyDescent="0.25">
      <c r="AV93" t="s">
        <v>301</v>
      </c>
    </row>
    <row r="94" spans="48:48" x14ac:dyDescent="0.25">
      <c r="AV94" t="s">
        <v>943</v>
      </c>
    </row>
    <row r="95" spans="48:48" x14ac:dyDescent="0.25">
      <c r="AV95" t="s">
        <v>255</v>
      </c>
    </row>
    <row r="96" spans="48:48" x14ac:dyDescent="0.25">
      <c r="AV96" t="s">
        <v>1450</v>
      </c>
    </row>
    <row r="97" spans="48:48" x14ac:dyDescent="0.25">
      <c r="AV97" t="s">
        <v>1228</v>
      </c>
    </row>
    <row r="98" spans="48:48" x14ac:dyDescent="0.25">
      <c r="AV98" t="s">
        <v>814</v>
      </c>
    </row>
    <row r="99" spans="48:48" x14ac:dyDescent="0.25">
      <c r="AV99" t="s">
        <v>735</v>
      </c>
    </row>
    <row r="100" spans="48:48" x14ac:dyDescent="0.25">
      <c r="AV100" t="s">
        <v>1730</v>
      </c>
    </row>
    <row r="101" spans="48:48" x14ac:dyDescent="0.25">
      <c r="AV101" t="s">
        <v>1804</v>
      </c>
    </row>
    <row r="102" spans="48:48" x14ac:dyDescent="0.25">
      <c r="AV102" t="s">
        <v>1734</v>
      </c>
    </row>
    <row r="103" spans="48:48" x14ac:dyDescent="0.25">
      <c r="AV103" t="s">
        <v>736</v>
      </c>
    </row>
    <row r="104" spans="48:48" x14ac:dyDescent="0.25">
      <c r="AV104" t="s">
        <v>1459</v>
      </c>
    </row>
    <row r="105" spans="48:48" x14ac:dyDescent="0.25">
      <c r="AV105" t="s">
        <v>1732</v>
      </c>
    </row>
    <row r="106" spans="48:48" x14ac:dyDescent="0.25">
      <c r="AV106" t="s">
        <v>131</v>
      </c>
    </row>
    <row r="107" spans="48:48" x14ac:dyDescent="0.25">
      <c r="AV107" t="s">
        <v>1744</v>
      </c>
    </row>
    <row r="108" spans="48:48" x14ac:dyDescent="0.25">
      <c r="AV108" t="s">
        <v>1745</v>
      </c>
    </row>
    <row r="109" spans="48:48" x14ac:dyDescent="0.25">
      <c r="AV109" t="s">
        <v>69</v>
      </c>
    </row>
    <row r="110" spans="48:48" x14ac:dyDescent="0.25">
      <c r="AV110" t="s">
        <v>1443</v>
      </c>
    </row>
    <row r="111" spans="48:48" x14ac:dyDescent="0.25">
      <c r="AV111" t="s">
        <v>111</v>
      </c>
    </row>
    <row r="112" spans="48:48" x14ac:dyDescent="0.25">
      <c r="AV112" t="s">
        <v>1735</v>
      </c>
    </row>
    <row r="113" spans="48:48" x14ac:dyDescent="0.25">
      <c r="AV113" t="s">
        <v>1183</v>
      </c>
    </row>
    <row r="114" spans="48:48" x14ac:dyDescent="0.25">
      <c r="AV114" t="s">
        <v>70</v>
      </c>
    </row>
    <row r="115" spans="48:48" x14ac:dyDescent="0.25">
      <c r="AV115" t="s">
        <v>920</v>
      </c>
    </row>
    <row r="116" spans="48:48" x14ac:dyDescent="0.25">
      <c r="AV116" t="s">
        <v>5814</v>
      </c>
    </row>
    <row r="117" spans="48:48" x14ac:dyDescent="0.25">
      <c r="AV117" t="s">
        <v>91</v>
      </c>
    </row>
    <row r="118" spans="48:48" x14ac:dyDescent="0.25">
      <c r="AV118" t="s">
        <v>186</v>
      </c>
    </row>
    <row r="119" spans="48:48" x14ac:dyDescent="0.25">
      <c r="AV119" t="s">
        <v>64</v>
      </c>
    </row>
    <row r="120" spans="48:48" x14ac:dyDescent="0.25">
      <c r="AV120" t="s">
        <v>159</v>
      </c>
    </row>
    <row r="121" spans="48:48" x14ac:dyDescent="0.25">
      <c r="AV121" t="s">
        <v>230</v>
      </c>
    </row>
    <row r="122" spans="48:48" x14ac:dyDescent="0.25">
      <c r="AV122" t="s">
        <v>1805</v>
      </c>
    </row>
    <row r="123" spans="48:48" x14ac:dyDescent="0.25">
      <c r="AV123" t="s">
        <v>250</v>
      </c>
    </row>
    <row r="124" spans="48:48" x14ac:dyDescent="0.25">
      <c r="AV124" t="s">
        <v>944</v>
      </c>
    </row>
    <row r="125" spans="48:48" x14ac:dyDescent="0.25">
      <c r="AV125" t="s">
        <v>834</v>
      </c>
    </row>
    <row r="126" spans="48:48" x14ac:dyDescent="0.25">
      <c r="AV126" t="s">
        <v>110</v>
      </c>
    </row>
    <row r="127" spans="48:48" x14ac:dyDescent="0.25">
      <c r="AV127" t="s">
        <v>268</v>
      </c>
    </row>
    <row r="128" spans="48:48" x14ac:dyDescent="0.25">
      <c r="AV128" t="s">
        <v>757</v>
      </c>
    </row>
    <row r="129" spans="48:48" x14ac:dyDescent="0.25">
      <c r="AV129" t="s">
        <v>738</v>
      </c>
    </row>
    <row r="130" spans="48:48" x14ac:dyDescent="0.25">
      <c r="AV130" t="s">
        <v>756</v>
      </c>
    </row>
    <row r="131" spans="48:48" x14ac:dyDescent="0.25">
      <c r="AV131" t="s">
        <v>751</v>
      </c>
    </row>
    <row r="132" spans="48:48" x14ac:dyDescent="0.25">
      <c r="AV132" t="s">
        <v>81</v>
      </c>
    </row>
    <row r="133" spans="48:48" x14ac:dyDescent="0.25">
      <c r="AV133" t="s">
        <v>116</v>
      </c>
    </row>
    <row r="134" spans="48:48" x14ac:dyDescent="0.25">
      <c r="AV134" t="s">
        <v>87</v>
      </c>
    </row>
    <row r="135" spans="48:48" x14ac:dyDescent="0.25">
      <c r="AV135" t="s">
        <v>1677</v>
      </c>
    </row>
    <row r="136" spans="48:48" x14ac:dyDescent="0.25">
      <c r="AV136" t="s">
        <v>100</v>
      </c>
    </row>
    <row r="137" spans="48:48" x14ac:dyDescent="0.25">
      <c r="AV137" t="s">
        <v>1733</v>
      </c>
    </row>
    <row r="138" spans="48:48" x14ac:dyDescent="0.25">
      <c r="AV138" t="s">
        <v>67</v>
      </c>
    </row>
    <row r="139" spans="48:48" x14ac:dyDescent="0.25">
      <c r="AV139" t="s">
        <v>746</v>
      </c>
    </row>
    <row r="140" spans="48:48" x14ac:dyDescent="0.25">
      <c r="AV140" t="s">
        <v>743</v>
      </c>
    </row>
    <row r="141" spans="48:48" x14ac:dyDescent="0.25">
      <c r="AV141" t="s">
        <v>837</v>
      </c>
    </row>
    <row r="142" spans="48:48" x14ac:dyDescent="0.25">
      <c r="AV142" t="s">
        <v>732</v>
      </c>
    </row>
    <row r="143" spans="48:48" x14ac:dyDescent="0.25">
      <c r="AV143" t="s">
        <v>127</v>
      </c>
    </row>
    <row r="144" spans="48:48" x14ac:dyDescent="0.25">
      <c r="AV144" t="s">
        <v>841</v>
      </c>
    </row>
    <row r="145" spans="48:48" x14ac:dyDescent="0.25">
      <c r="AV145" t="s">
        <v>1731</v>
      </c>
    </row>
    <row r="146" spans="48:48" x14ac:dyDescent="0.25">
      <c r="AV146" t="s">
        <v>92</v>
      </c>
    </row>
    <row r="147" spans="48:48" x14ac:dyDescent="0.25">
      <c r="AV147" t="s">
        <v>1287</v>
      </c>
    </row>
    <row r="148" spans="48:48" x14ac:dyDescent="0.25">
      <c r="AV148" t="s">
        <v>745</v>
      </c>
    </row>
    <row r="149" spans="48:48" x14ac:dyDescent="0.25">
      <c r="AV149" t="s">
        <v>76</v>
      </c>
    </row>
    <row r="150" spans="48:48" x14ac:dyDescent="0.25">
      <c r="AV150" t="s">
        <v>251</v>
      </c>
    </row>
    <row r="151" spans="48:48" x14ac:dyDescent="0.25">
      <c r="AV151" t="s">
        <v>243</v>
      </c>
    </row>
    <row r="152" spans="48:48" x14ac:dyDescent="0.25">
      <c r="AV152" t="s">
        <v>838</v>
      </c>
    </row>
    <row r="153" spans="48:48" x14ac:dyDescent="0.25">
      <c r="AV153" t="s">
        <v>224</v>
      </c>
    </row>
    <row r="154" spans="48:48" x14ac:dyDescent="0.25">
      <c r="AV154" t="s">
        <v>239</v>
      </c>
    </row>
    <row r="155" spans="48:48" x14ac:dyDescent="0.25">
      <c r="AV155" t="s">
        <v>136</v>
      </c>
    </row>
    <row r="156" spans="48:48" x14ac:dyDescent="0.25">
      <c r="AV156" t="s">
        <v>118</v>
      </c>
    </row>
    <row r="157" spans="48:48" x14ac:dyDescent="0.25">
      <c r="AV157" t="s">
        <v>747</v>
      </c>
    </row>
    <row r="158" spans="48:48" x14ac:dyDescent="0.25">
      <c r="AV158" t="s">
        <v>842</v>
      </c>
    </row>
    <row r="159" spans="48:48" x14ac:dyDescent="0.25">
      <c r="AV159" t="s">
        <v>119</v>
      </c>
    </row>
    <row r="160" spans="48:48" x14ac:dyDescent="0.25">
      <c r="AV160" t="s">
        <v>847</v>
      </c>
    </row>
    <row r="161" spans="48:48" x14ac:dyDescent="0.25">
      <c r="AV161" t="s">
        <v>717</v>
      </c>
    </row>
    <row r="162" spans="48:48" x14ac:dyDescent="0.25">
      <c r="AV162" t="s">
        <v>740</v>
      </c>
    </row>
    <row r="163" spans="48:48" x14ac:dyDescent="0.25">
      <c r="AV163" t="s">
        <v>737</v>
      </c>
    </row>
    <row r="164" spans="48:48" x14ac:dyDescent="0.25">
      <c r="AV164" t="s">
        <v>266</v>
      </c>
    </row>
    <row r="165" spans="48:48" x14ac:dyDescent="0.25">
      <c r="AV165" t="s">
        <v>265</v>
      </c>
    </row>
    <row r="166" spans="48:48" x14ac:dyDescent="0.25">
      <c r="AV166" t="s">
        <v>97</v>
      </c>
    </row>
    <row r="167" spans="48:48" x14ac:dyDescent="0.25">
      <c r="AV167" t="s">
        <v>95</v>
      </c>
    </row>
    <row r="168" spans="48:48" x14ac:dyDescent="0.25">
      <c r="AV168" t="s">
        <v>843</v>
      </c>
    </row>
    <row r="169" spans="48:48" x14ac:dyDescent="0.25">
      <c r="AV169" t="s">
        <v>945</v>
      </c>
    </row>
    <row r="170" spans="48:48" x14ac:dyDescent="0.25">
      <c r="AV170" t="s">
        <v>5829</v>
      </c>
    </row>
    <row r="171" spans="48:48" x14ac:dyDescent="0.25">
      <c r="AV171" t="s">
        <v>1741</v>
      </c>
    </row>
  </sheetData>
  <sortState ref="AV2:AV171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2DF2ED-03B7-4B4C-B465-65AB3668E6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52</vt:i4>
      </vt:variant>
    </vt:vector>
  </HeadingPairs>
  <TitlesOfParts>
    <vt:vector size="79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2022-01-21T15:58:07Z</dcterms:modified>
</cp:coreProperties>
</file>